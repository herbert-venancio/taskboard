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1.xml" ContentType="application/vnd.openxmlformats-officedocument.spreadsheetml.pivotCacheDefinition+xml"/>
  <Override PartName="/xl/pivotCache/_rels/pivotCacheDefinition4.xml.rels" ContentType="application/vnd.openxmlformats-package.relationships+xml"/>
  <Override PartName="/xl/pivotCache/_rels/pivotCacheDefinition3.xml.rels" ContentType="application/vnd.openxmlformats-package.relationships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Tables/pivotTable2.xml" ContentType="application/vnd.openxmlformats-officedocument.spreadsheetml.pivotTable+xml"/>
  <Override PartName="/xl/pivotTables/_rels/pivotTable3.xml.rels" ContentType="application/vnd.openxmlformats-package.relationships+xml"/>
  <Override PartName="/xl/pivotTables/_rels/pivotTable1.xml.rels" ContentType="application/vnd.openxmlformats-package.relationships+xml"/>
  <Override PartName="/xl/pivotTables/_rels/pivotTable4.xml.rels" ContentType="application/vnd.openxmlformats-package.relationships+xml"/>
  <Override PartName="/xl/pivotTables/_rels/pivotTable2.xml.rels" ContentType="application/vnd.openxmlformats-package.relationships+xml"/>
  <Override PartName="/xl/pivotTables/pivotTable1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sharedStrings.xml" ContentType="application/vnd.openxmlformats-officedocument.spreadsheetml.sharedStrings+xml"/>
  <Override PartName="/xl/drawings/drawing4.xml" ContentType="application/vnd.openxmlformats-officedocument.drawing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workbook.xml" ContentType="application/vnd.ms-excel.sheet.macroEnabled.main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ables/table4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5.xml" ContentType="application/vnd.openxmlformats-officedocument.spreadsheetml.table+xml"/>
  <Override PartName="/xl/styles.xml" ContentType="application/vnd.openxmlformats-officedocument.spreadsheetml.styles+xml"/>
  <Override PartName="/xl/vbaProject.bin" ContentType="application/vnd.ms-office.vbaProject"/>
  <Override PartName="/xl/worksheets/_rels/sheet1.xml.rels" ContentType="application/vnd.openxmlformats-package.relationship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10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2" firstSheet="0" activeTab="6"/>
  </bookViews>
  <sheets>
    <sheet name="Demands by Status" sheetId="1" state="visible" r:id="rId3"/>
    <sheet name="Progress by Demand" sheetId="2" state="visible" r:id="rId4"/>
    <sheet name="Timeline" sheetId="3" state="visible" r:id="rId5"/>
    <sheet name="Gantt" sheetId="4" state="visible" r:id="rId6"/>
    <sheet name="Role Mapping &amp; Issue Type" sheetId="5" state="visible" r:id="rId7"/>
    <sheet name="T-shirt Size" sheetId="6" state="visible" r:id="rId8"/>
    <sheet name="From Jira" sheetId="7" state="visible" r:id="rId9"/>
    <sheet name="Ordered Status" sheetId="8" state="visible" r:id="rId10"/>
    <sheet name="GanttBase" sheetId="9" state="visible" r:id="rId11"/>
    <sheet name="Activities" sheetId="10" state="visible" r:id="rId12"/>
  </sheets>
  <definedNames>
    <definedName function="false" hidden="false" name="Cluster_Name" vbProcedure="false">'T-shirt Size'!$H$3</definedName>
    <definedName function="false" hidden="false" name="EstimateByVelocity" vbProcedure="false">'progress by demand'!#ref!</definedName>
    <definedName function="false" hidden="false" name="HipotesisTreshold" vbProcedure="false">'Progress by Demand'!$B$1</definedName>
    <definedName function="false" hidden="false" name="UseBallpark" vbProcedure="false">'progress by demand'!#ref!</definedName>
    <definedName function="false" hidden="false" name="Velocity" vbProcedure="false">'progress by demand'!#ref!</definedName>
    <definedName function="false" hidden="false" name="_" vbProcedure="false">'T-shirt Size'!$H$3</definedName>
    <definedName function="false" hidden="false" localSheetId="6" name="jira_all_issues_1" vbProcedure="false">'From Jira'!$A$1:$AC$3665</definedName>
    <definedName function="false" hidden="false" localSheetId="8" name="_xlnm._FilterDatabase" vbProcedure="false">GanttBase!$A$1:$R$94</definedName>
    <definedName function="false" hidden="false" localSheetId="9" name="_xlnm._FilterDatabase" vbProcedure="false">Activities!$A$1:$U$1</definedName>
  </definedNames>
  <calcPr iterateCount="100" refMode="A1" iterate="false" iterateDelta="0.0001"/>
  <pivotCaches>
    <pivotCache cacheId="1" r:id="rId14"/>
    <pivotCache cacheId="2" r:id="rId15"/>
    <pivotCache cacheId="3" r:id="rId16"/>
    <pivotCache cacheId="4" r:id="rId17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<sst xmlns="http://schemas.openxmlformats.org/spreadsheetml/2006/main" count="1181" uniqueCount="231">
  <si>
    <t xml:space="preserve">Dados</t>
  </si>
  <si>
    <t xml:space="preserve">- todas -</t>
  </si>
  <si>
    <t xml:space="preserve">(vazio)</t>
  </si>
  <si>
    <t xml:space="preserve">Expected</t>
  </si>
  <si>
    <t xml:space="preserve">Start</t>
  </si>
  <si>
    <t xml:space="preserve">End</t>
  </si>
  <si>
    <t xml:space="preserve">Today</t>
  </si>
  <si>
    <t xml:space="preserve">TASK_TYPE</t>
  </si>
  <si>
    <t xml:space="preserve">(All)</t>
  </si>
  <si>
    <t xml:space="preserve">TASK_STATUS</t>
  </si>
  <si>
    <t xml:space="preserve">TASK_NUM</t>
  </si>
  <si>
    <t xml:space="preserve">SUBTASK_STATUS</t>
  </si>
  <si>
    <t xml:space="preserve">SUBTASK_TYPE</t>
  </si>
  <si>
    <t xml:space="preserve">SUBTASK_NUM</t>
  </si>
  <si>
    <t xml:space="preserve">Quantity</t>
  </si>
  <si>
    <t xml:space="preserve">Ballpark vs Planned</t>
  </si>
  <si>
    <t xml:space="preserve">Scope</t>
  </si>
  <si>
    <t xml:space="preserve">Worklog</t>
  </si>
  <si>
    <t xml:space="preserve">Bugs</t>
  </si>
  <si>
    <t xml:space="preserve">Risk</t>
  </si>
  <si>
    <t xml:space="preserve">Holyday</t>
  </si>
  <si>
    <t xml:space="preserve">Date</t>
  </si>
  <si>
    <t xml:space="preserve">Release Date</t>
  </si>
  <si>
    <t xml:space="preserve">Week</t>
  </si>
  <si>
    <t xml:space="preserve">Release Name</t>
  </si>
  <si>
    <t xml:space="preserve">Thread Name</t>
  </si>
  <si>
    <t xml:space="preserve">Role</t>
  </si>
  <si>
    <t xml:space="preserve">Last day of work</t>
  </si>
  <si>
    <t xml:space="preserve">Allocation</t>
  </si>
  <si>
    <t xml:space="preserve">First Day</t>
  </si>
  <si>
    <t xml:space="preserve">POC Delivery</t>
  </si>
  <si>
    <t xml:space="preserve">Tech Lead1</t>
  </si>
  <si>
    <t xml:space="preserve">Tech Lead</t>
  </si>
  <si>
    <t xml:space="preserve">Holydays</t>
  </si>
  <si>
    <t xml:space="preserve">Developer1</t>
  </si>
  <si>
    <t xml:space="preserve">Developer</t>
  </si>
  <si>
    <t xml:space="preserve">Critical Path (Days)</t>
  </si>
  <si>
    <t xml:space="preserve">Developer2</t>
  </si>
  <si>
    <t xml:space="preserve">Critical Path (Date)</t>
  </si>
  <si>
    <t xml:space="preserve">Months</t>
  </si>
  <si>
    <t xml:space="preserve">People</t>
  </si>
  <si>
    <t xml:space="preserve">Individual Daily Effort (net)</t>
  </si>
  <si>
    <t xml:space="preserve">Team Daily Capability</t>
  </si>
  <si>
    <t xml:space="preserve">Cycle Hours  on Backlog</t>
  </si>
  <si>
    <t xml:space="preserve">Total</t>
  </si>
  <si>
    <t xml:space="preserve">Working Days</t>
  </si>
  <si>
    <t xml:space="preserve">Last Day of Work</t>
  </si>
  <si>
    <t xml:space="preserve">Grand Total</t>
  </si>
  <si>
    <t xml:space="preserve">Type</t>
  </si>
  <si>
    <t xml:space="preserve">Thread</t>
  </si>
  <si>
    <t xml:space="preserve">Soma -  Allocated Days </t>
  </si>
  <si>
    <t xml:space="preserve">Release</t>
  </si>
  <si>
    <t xml:space="preserve">Issue Status</t>
  </si>
  <si>
    <t xml:space="preserve">Demand Name</t>
  </si>
  <si>
    <t xml:space="preserve">Feature Name</t>
  </si>
  <si>
    <t xml:space="preserve">SubtaskName</t>
  </si>
  <si>
    <t xml:space="preserve">Total Resultado</t>
  </si>
  <si>
    <t xml:space="preserve">1-POC</t>
  </si>
  <si>
    <t xml:space="preserve">3.Doing</t>
  </si>
  <si>
    <t xml:space="preserve">00001 - Enhanced Group Functionality (Site)</t>
  </si>
  <si>
    <t xml:space="preserve">#N/DISP</t>
  </si>
  <si>
    <t xml:space="preserve">00005 - System Architecture</t>
  </si>
  <si>
    <t xml:space="preserve">2-Discovery</t>
  </si>
  <si>
    <t xml:space="preserve">00004 - Google LMS Integration</t>
  </si>
  <si>
    <t xml:space="preserve">00003 - OpenID Connect SSO Support </t>
  </si>
  <si>
    <t xml:space="preserve">00069 - UI &amp; Theme</t>
  </si>
  <si>
    <t xml:space="preserve">No release set</t>
  </si>
  <si>
    <t xml:space="preserve">Feature | 00159 - Feature without assignee GOOGLE</t>
  </si>
  <si>
    <t xml:space="preserve">Sub-Task | S | 00160 - Sub-task of the feature without assignee</t>
  </si>
  <si>
    <t xml:space="preserve">Project</t>
  </si>
  <si>
    <t xml:space="preserve">Group</t>
  </si>
  <si>
    <t xml:space="preserve">Issue Type</t>
  </si>
  <si>
    <t xml:space="preserve">Role Allocation</t>
  </si>
  <si>
    <t xml:space="preserve">Issue Type Allocation</t>
  </si>
  <si>
    <t xml:space="preserve">Cycle on Backlog</t>
  </si>
  <si>
    <t xml:space="preserve">Effort on Backlog</t>
  </si>
  <si>
    <t xml:space="preserve">Group %</t>
  </si>
  <si>
    <t xml:space="preserve">PROJECT - Google LMS</t>
  </si>
  <si>
    <t xml:space="preserve">Ballpark - Alpha Test</t>
  </si>
  <si>
    <t xml:space="preserve">Ballpark - Developer Support</t>
  </si>
  <si>
    <t xml:space="preserve">Soma - Group %</t>
  </si>
  <si>
    <t xml:space="preserve">Ballpark</t>
  </si>
  <si>
    <t xml:space="preserve">Ballpark - Development</t>
  </si>
  <si>
    <t xml:space="preserve">Ballpark - Feature Planning</t>
  </si>
  <si>
    <t xml:space="preserve">Ballpark - Feature Review</t>
  </si>
  <si>
    <t xml:space="preserve">Ballpark - QA Support</t>
  </si>
  <si>
    <t xml:space="preserve">Ballpark - Tech Planning</t>
  </si>
  <si>
    <t xml:space="preserve">Ballpark - UX</t>
  </si>
  <si>
    <t xml:space="preserve">Plan</t>
  </si>
  <si>
    <t xml:space="preserve">Alpha Test</t>
  </si>
  <si>
    <t xml:space="preserve">Alpha-Bug</t>
  </si>
  <si>
    <t xml:space="preserve">Backend Development</t>
  </si>
  <si>
    <t xml:space="preserve">Feature Planning</t>
  </si>
  <si>
    <t xml:space="preserve">Feature Review</t>
  </si>
  <si>
    <t xml:space="preserve">Frontend Development</t>
  </si>
  <si>
    <t xml:space="preserve">QA</t>
  </si>
  <si>
    <t xml:space="preserve">Sub-Task</t>
  </si>
  <si>
    <t xml:space="preserve">Tech Planning</t>
  </si>
  <si>
    <t xml:space="preserve">UAT</t>
  </si>
  <si>
    <t xml:space="preserve">UX</t>
  </si>
  <si>
    <t xml:space="preserve">Cluster Name</t>
  </si>
  <si>
    <t xml:space="preserve">T-Shirt Size</t>
  </si>
  <si>
    <t xml:space="preserve">Effort</t>
  </si>
  <si>
    <t xml:space="preserve">Cycle</t>
  </si>
  <si>
    <t xml:space="preserve">IssueType</t>
  </si>
  <si>
    <t xml:space="preserve">Distribution</t>
  </si>
  <si>
    <t xml:space="preserve">Total Distribution</t>
  </si>
  <si>
    <t xml:space="preserve">XS</t>
  </si>
  <si>
    <t xml:space="preserve">Hours</t>
  </si>
  <si>
    <t xml:space="preserve">BALLPARK - Alpha Test</t>
  </si>
  <si>
    <t xml:space="preserve">S</t>
  </si>
  <si>
    <t xml:space="preserve">BALLPARK - Developer Support</t>
  </si>
  <si>
    <t xml:space="preserve">M</t>
  </si>
  <si>
    <t xml:space="preserve">BALLPARK - Development</t>
  </si>
  <si>
    <t xml:space="preserve">L</t>
  </si>
  <si>
    <t xml:space="preserve">BALLPARK - Feature Review</t>
  </si>
  <si>
    <t xml:space="preserve">XL</t>
  </si>
  <si>
    <t xml:space="preserve">BALLPARK - Feature Planning</t>
  </si>
  <si>
    <t xml:space="preserve">Alpha Bug</t>
  </si>
  <si>
    <t xml:space="preserve">BALLPARK - QA/UAT Support</t>
  </si>
  <si>
    <t xml:space="preserve">BALLPARK - Tech Planning</t>
  </si>
  <si>
    <t xml:space="preserve">BALLPARK - UX</t>
  </si>
  <si>
    <t xml:space="preserve">BALLPARK - Demand</t>
  </si>
  <si>
    <t xml:space="preserve">BALLPARK - Planning</t>
  </si>
  <si>
    <t xml:space="preserve">% Of (Dev + Alpha)</t>
  </si>
  <si>
    <t xml:space="preserve">% Of Dev</t>
  </si>
  <si>
    <t xml:space="preserve">BALLPARK - Subtask</t>
  </si>
  <si>
    <t xml:space="preserve">project</t>
  </si>
  <si>
    <t xml:space="preserve">demand_type</t>
  </si>
  <si>
    <t xml:space="preserve">demand_status</t>
  </si>
  <si>
    <t xml:space="preserve">demand_num</t>
  </si>
  <si>
    <t xml:space="preserve">DEMAND_SUMMARY</t>
  </si>
  <si>
    <t xml:space="preserve">demand_description</t>
  </si>
  <si>
    <t xml:space="preserve">TASK_SUMMARY</t>
  </si>
  <si>
    <t xml:space="preserve">TASK_DESCRIPTION</t>
  </si>
  <si>
    <t xml:space="preserve">TASK_FULL_DESCRIPTION</t>
  </si>
  <si>
    <t xml:space="preserve">SUBTASK_SUMMARY</t>
  </si>
  <si>
    <t xml:space="preserve">SUBTASK_DESCRIPTION</t>
  </si>
  <si>
    <t xml:space="preserve">SUBTASK_FULL_DESCRIPTION</t>
  </si>
  <si>
    <t xml:space="preserve">DEMAND_ID</t>
  </si>
  <si>
    <t xml:space="preserve">TASK_ID</t>
  </si>
  <si>
    <t xml:space="preserve">SUBTASK_ID</t>
  </si>
  <si>
    <t xml:space="preserve">planning_type</t>
  </si>
  <si>
    <t xml:space="preserve">task_release</t>
  </si>
  <si>
    <t xml:space="preserve">worklog</t>
  </si>
  <si>
    <t xml:space="preserve">wrong_worklog</t>
  </si>
  <si>
    <t xml:space="preserve">Demand_ballpark</t>
  </si>
  <si>
    <t xml:space="preserve">TASK_BALLPARK</t>
  </si>
  <si>
    <t xml:space="preserve">tshirt_size</t>
  </si>
  <si>
    <t xml:space="preserve">Query_Type</t>
  </si>
  <si>
    <t xml:space="preserve">EffortEstimate</t>
  </si>
  <si>
    <t xml:space="preserve">CycleEstimate</t>
  </si>
  <si>
    <t xml:space="preserve">EffortOnBacklog</t>
  </si>
  <si>
    <t xml:space="preserve">CycleOnBacklog</t>
  </si>
  <si>
    <t xml:space="preserve">BallparkEffort</t>
  </si>
  <si>
    <t xml:space="preserve">PlannedEffort</t>
  </si>
  <si>
    <t xml:space="preserve">EffortDone</t>
  </si>
  <si>
    <t xml:space="preserve">CycleDone</t>
  </si>
  <si>
    <t xml:space="preserve">WorklogDone</t>
  </si>
  <si>
    <t xml:space="preserve">WorklogDoing</t>
  </si>
  <si>
    <t xml:space="preserve">CountTasks</t>
  </si>
  <si>
    <t xml:space="preserve">CountDemands</t>
  </si>
  <si>
    <t xml:space="preserve">CountSubtasks</t>
  </si>
  <si>
    <t xml:space="preserve">SubtaskEstimativeForEEPCalculation</t>
  </si>
  <si>
    <t xml:space="preserve">DemandOrderedStatus</t>
  </si>
  <si>
    <t xml:space="preserve">TaskOrderedStatus</t>
  </si>
  <si>
    <t xml:space="preserve">SubtaskOrderedStatus</t>
  </si>
  <si>
    <t xml:space="preserve">SubtaskOrderedFullDescription</t>
  </si>
  <si>
    <t xml:space="preserve">PlannedEffortOnBug</t>
  </si>
  <si>
    <t xml:space="preserve">WorklogOnBug</t>
  </si>
  <si>
    <t xml:space="preserve">Demands</t>
  </si>
  <si>
    <t xml:space="preserve">Tasks</t>
  </si>
  <si>
    <t xml:space="preserve">Subtasks</t>
  </si>
  <si>
    <t xml:space="preserve">Done</t>
  </si>
  <si>
    <t xml:space="preserve">UATing</t>
  </si>
  <si>
    <t xml:space="preserve">QAing</t>
  </si>
  <si>
    <t xml:space="preserve">Reviewing</t>
  </si>
  <si>
    <t xml:space="preserve">To UAT</t>
  </si>
  <si>
    <t xml:space="preserve">To QA</t>
  </si>
  <si>
    <t xml:space="preserve">To Review</t>
  </si>
  <si>
    <t xml:space="preserve">Doing</t>
  </si>
  <si>
    <t xml:space="preserve">Feature Reviewing</t>
  </si>
  <si>
    <t xml:space="preserve">To Do</t>
  </si>
  <si>
    <t xml:space="preserve">To Feature Review</t>
  </si>
  <si>
    <t xml:space="preserve">Open</t>
  </si>
  <si>
    <t xml:space="preserve">Alpha Testing</t>
  </si>
  <si>
    <t xml:space="preserve">Cancelled</t>
  </si>
  <si>
    <t xml:space="preserve">0.Cancelled</t>
  </si>
  <si>
    <t xml:space="preserve">To Alpha Test</t>
  </si>
  <si>
    <t xml:space="preserve">Size</t>
  </si>
  <si>
    <t xml:space="preserve">Cycle Hours</t>
  </si>
  <si>
    <t xml:space="preserve">Cycle Hours per Role With Risk</t>
  </si>
  <si>
    <t xml:space="preserve">Day</t>
  </si>
  <si>
    <t xml:space="preserve">Allocated Days</t>
  </si>
  <si>
    <t xml:space="preserve">Allocated Cycle Hours</t>
  </si>
  <si>
    <t xml:space="preserve">Completion</t>
  </si>
  <si>
    <t xml:space="preserve">Allocated Effort</t>
  </si>
  <si>
    <t xml:space="preserve">Feature | 00023 - Add SCORM support</t>
  </si>
  <si>
    <t xml:space="preserve">Sub-Task | M | 00157 - Research SCORM - 2</t>
  </si>
  <si>
    <t xml:space="preserve">Feature | 00070 - Create Theme</t>
  </si>
  <si>
    <t xml:space="preserve">Tech Planning | M | 00072 - Discuss UI Architecture</t>
  </si>
  <si>
    <t xml:space="preserve">Feature | 00056 - Implement Celsus sync job to index Liferay Sites</t>
  </si>
  <si>
    <t xml:space="preserve">Feature Review | S | 00145 - Review of Implement Celsus sync job to index Liferay Sites</t>
  </si>
  <si>
    <t xml:space="preserve">Task | 00020 - Create Google Local Environment</t>
  </si>
  <si>
    <t xml:space="preserve">Feature Review | S | 00121 - Review of Create Google Local Environment</t>
  </si>
  <si>
    <t xml:space="preserve">Tech Planning | S | 00118 - Tech Planning for Implement Celsus sync</t>
  </si>
  <si>
    <t xml:space="preserve">Feature | 00099 - Add sorting capability to Site REST API</t>
  </si>
  <si>
    <t xml:space="preserve">QA | S | 00151 - QA for Add sorting capability to Site REST API</t>
  </si>
  <si>
    <t xml:space="preserve">Feature Planning | S | 00071 - Discuss UX</t>
  </si>
  <si>
    <t xml:space="preserve">Feature | 00022 - Add support for OpenID Connect Single Sign-on</t>
  </si>
  <si>
    <t xml:space="preserve">Sub-Task | XS | 00060 - Update OIDC modules to latest from master</t>
  </si>
  <si>
    <t xml:space="preserve">Frontend Development | L | 00073 - Implement Theme POC</t>
  </si>
  <si>
    <t xml:space="preserve">Feature | 00007 - Add expiration date</t>
  </si>
  <si>
    <t xml:space="preserve">Backend Development | M | 00136 - Add scheduler to expire sites</t>
  </si>
  <si>
    <t xml:space="preserve">Feature Planning | L | 00024 - Add SCORM support - Feature Planning</t>
  </si>
  <si>
    <t xml:space="preserve">Tech Planning | S | 00093 - Expiration Date - Tech Planning</t>
  </si>
  <si>
    <t xml:space="preserve">Feature Planning | S | 00008 - Expiration Date - Feature Planning</t>
  </si>
  <si>
    <t xml:space="preserve">Relase</t>
  </si>
  <si>
    <t xml:space="preserve">Demand</t>
  </si>
  <si>
    <t xml:space="preserve">Feature / Bug</t>
  </si>
  <si>
    <t xml:space="preserve">Activity</t>
  </si>
  <si>
    <t xml:space="preserve">Activity Type</t>
  </si>
  <si>
    <t xml:space="preserve">Daily Production</t>
  </si>
  <si>
    <t xml:space="preserve">Cycle Hours per Role</t>
  </si>
  <si>
    <t xml:space="preserve">Total Cycle Hours</t>
  </si>
  <si>
    <t xml:space="preserve">Needed Days</t>
  </si>
  <si>
    <t xml:space="preserve">Still need allocate (Days)</t>
  </si>
  <si>
    <t xml:space="preserve">Start Date</t>
  </si>
  <si>
    <t xml:space="preserve">Finish Date</t>
  </si>
  <si>
    <t xml:space="preserve">Subtask Status</t>
  </si>
  <si>
    <t xml:space="preserve">AllocatedHours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</si>
</sst>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0%"/>
    <numFmt numFmtId="166" formatCode="D/M/YYYY"/>
    <numFmt numFmtId="167" formatCode="0.00%"/>
    <numFmt numFmtId="168" formatCode="0.00"/>
    <numFmt numFmtId="169" formatCode="DDDD&quot;, &quot;MMMM\ DD&quot;, &quot;YYYY"/>
    <numFmt numFmtId="170" formatCode="#,##0"/>
    <numFmt numFmtId="171" formatCode="0.0"/>
    <numFmt numFmtId="172" formatCode="_(* #,##0.00_);_(* \(#,##0.00\);_(* \-??_);_(@_)"/>
    <numFmt numFmtId="173" formatCode="_(* #,##0.0_);_(* \(#,##0.0\);_(* \-??_);_(@_)"/>
    <numFmt numFmtId="174" formatCode="D\-MMM;@"/>
    <numFmt numFmtId="175" formatCode="_(* #,##0.000_);_(* \(#,##0.000\);_(* \-??_);_(@_)"/>
    <numFmt numFmtId="176" formatCode="MM/DD/YY;@"/>
  </numFmts>
  <fonts count="1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1"/>
      <color rgb="FF000000"/>
      <name val="Calibri"/>
      <family val="0"/>
      <charset val="1"/>
    </font>
    <font>
      <b val="true"/>
      <sz val="11"/>
      <color rgb="FFFFFFFF"/>
      <name val="Calibri"/>
      <family val="2"/>
      <charset val="1"/>
    </font>
    <font>
      <sz val="10"/>
      <color rgb="FF000000"/>
      <name val="Calibri"/>
      <family val="2"/>
      <charset val="1"/>
    </font>
    <font>
      <b val="true"/>
      <sz val="12"/>
      <color rgb="FFFFFFFF"/>
      <name val="Calibri"/>
      <family val="2"/>
      <charset val="1"/>
    </font>
    <font>
      <sz val="9"/>
      <color rgb="FF000000"/>
      <name val="Calibri"/>
      <family val="2"/>
      <charset val="1"/>
    </font>
    <font>
      <sz val="8"/>
      <color rgb="FF000000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b val="true"/>
      <sz val="8"/>
      <color rgb="FF000000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203864"/>
        <bgColor rgb="FF333399"/>
      </patternFill>
    </fill>
  </fills>
  <borders count="4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/>
      <right/>
      <top/>
      <bottom style="thin">
        <color rgb="FF203864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>
        <color rgb="FFCCCCCC"/>
      </left>
      <right style="medium">
        <color rgb="FFCCCCCC"/>
      </right>
      <top/>
      <bottom/>
      <diagonal/>
    </border>
    <border diagonalUp="false" diagonalDown="false">
      <left style="medium">
        <color rgb="FFCCCCCC"/>
      </left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2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4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6" fillId="2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center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9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6" fontId="10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0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0" fillId="0" borderId="1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0" fillId="0" borderId="1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9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3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9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90" wrapText="false" indent="0" shrinkToFit="false"/>
      <protection locked="true" hidden="false"/>
    </xf>
    <xf numFmtId="164" fontId="0" fillId="0" borderId="1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9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0" fillId="0" borderId="18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6" fontId="4" fillId="0" borderId="19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7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1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2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4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5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4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7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5" fontId="0" fillId="0" borderId="2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" fillId="0" borderId="1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7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8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5" fontId="0" fillId="0" borderId="21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31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" fillId="0" borderId="3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3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4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3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" fillId="0" borderId="3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" fillId="0" borderId="3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" fillId="0" borderId="3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2" fontId="0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37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9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2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4" fillId="0" borderId="3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72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72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4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11" fillId="0" borderId="4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1" fillId="0" borderId="1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4" fillId="0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0" borderId="4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12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Campo da tabela dinâmica" xfId="20" builtinId="53" customBuiltin="true"/>
    <cellStyle name="Canto da tabela dinâmica" xfId="21" builtinId="53" customBuiltin="true"/>
    <cellStyle name="Valor da tabela dinâmica" xfId="22" builtinId="53" customBuiltin="true"/>
    <cellStyle name="Categoria da tabela dinâmica" xfId="23" builtinId="53" customBuiltin="true"/>
    <cellStyle name="Título da tabela dinâmica" xfId="24" builtinId="53" customBuiltin="true"/>
    <cellStyle name="Resultado da tabela dinâmica" xfId="25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7C7C7C"/>
      <rgbColor rgb="FF969696"/>
      <rgbColor rgb="FF002060"/>
      <rgbColor rgb="FF339966"/>
      <rgbColor rgb="FF003300"/>
      <rgbColor rgb="FF333300"/>
      <rgbColor rgb="FF993300"/>
      <rgbColor rgb="FF993366"/>
      <rgbColor rgb="FF333399"/>
      <rgbColor rgb="FF203864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sharedStrings" Target="sharedStrings.xml"/><Relationship Id="rId14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2.xml"/><Relationship Id="rId16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_rels/pivotCacheDefinition3.xml.rels><?xml version="1.0" encoding="UTF-8"?>
<Relationships xmlns="http://schemas.openxmlformats.org/package/2006/relationships"><Relationship Id="rId1" Type="http://schemas.openxmlformats.org/officeDocument/2006/relationships/pivotCacheRecords" Target="pivotCacheRecords3.xml"/>
</Relationships>
</file>

<file path=xl/pivotCache/_rels/pivotCacheDefinition4.xml.rels><?xml version="1.0" encoding="UTF-8"?>
<Relationships xmlns="http://schemas.openxmlformats.org/package/2006/relationships"><Relationship Id="rId1" Type="http://schemas.openxmlformats.org/officeDocument/2006/relationships/pivotCacheRecords" Target="pivotCacheRecords4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0">
  <cacheSource type="worksheet">
    <worksheetSource ref="A1:AW3665" sheet="From Jira"/>
  </cacheSource>
  <cacheFields count="0"/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0">
  <cacheSource type="worksheet">
    <worksheetSource ref="A:AW" sheet="From Jira"/>
  </cacheSource>
  <cacheFields count="0"/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cordCount="35">
  <cacheSource type="worksheet">
    <worksheetSource ref="A:R" sheet="GanttBase"/>
  </cacheSource>
  <cacheFields count="18">
    <cacheField name="Release" numFmtId="0">
      <sharedItems count="4" containsMixedTypes="1" containsSemiMixedTypes="1" containsString="1" containsNumber="0">
        <s v="1-POC"/>
        <s v="2-Discovery"/>
        <s v="No release set"/>
        <m/>
      </sharedItems>
    </cacheField>
    <cacheField name="Demand Name" numFmtId="0">
      <sharedItems count="6" containsMixedTypes="1" containsSemiMixedTypes="1" containsString="1" containsNumber="0">
        <s v="00001 - Enhanced Group Functionality (Site)"/>
        <s v="00003 - OpenID Connect SSO Support "/>
        <s v="00004 - Google LMS Integration"/>
        <s v="00005 - System Architecture"/>
        <s v="00069 - UI &amp; Theme"/>
        <m/>
      </sharedItems>
    </cacheField>
    <cacheField name="Feature Name" numFmtId="0">
      <sharedItems count="9" containsMixedTypes="1" containsSemiMixedTypes="1" containsString="1" containsNumber="0">
        <s v="Feature | 00007 - Add expiration date"/>
        <s v="Feature | 00022 - Add support for OpenID Connect Single Sign-on"/>
        <s v="Feature | 00023 - Add SCORM support"/>
        <s v="Feature | 00056 - Implement Celsus sync job to index Liferay Sites"/>
        <s v="Feature | 00070 - Create Theme"/>
        <s v="Feature | 00099 - Add sorting capability to Site REST API"/>
        <s v="Feature | 00159 - Feature without assignee GOOGLE"/>
        <s v="Task | 00020 - Create Google Local Environment"/>
        <m/>
      </sharedItems>
    </cacheField>
    <cacheField name="SubtaskName" numFmtId="0">
      <sharedItems count="15" containsMixedTypes="1" containsSemiMixedTypes="1" containsString="1" containsNumber="0">
        <s v="Backend Development | M | 00136 - Add scheduler to expire sites"/>
        <s v="Feature Planning | L | 00024 - Add SCORM support - Feature Planning"/>
        <s v="Feature Planning | S | 00008 - Expiration Date - Feature Planning"/>
        <s v="Feature Planning | S | 00071 - Discuss UX"/>
        <s v="Feature Review | S | 00121 - Review of Create Google Local Environment"/>
        <s v="Feature Review | S | 00145 - Review of Implement Celsus sync job to index Liferay Sites"/>
        <s v="Frontend Development | L | 00073 - Implement Theme POC"/>
        <s v="QA | S | 00151 - QA for Add sorting capability to Site REST API"/>
        <s v="Sub-Task | M | 00157 - Research SCORM - 2"/>
        <s v="Sub-Task | S | 00160 - Sub-task of the feature without assignee"/>
        <s v="Sub-Task | XS | 00060 - Update OIDC modules to latest from master"/>
        <s v="Tech Planning | M | 00072 - Discuss UI Architecture"/>
        <s v="Tech Planning | S | 00093 - Expiration Date - Tech Planning"/>
        <s v="Tech Planning | S | 00118 - Tech Planning for Implement Celsus sync"/>
        <m/>
      </sharedItems>
    </cacheField>
    <cacheField name="Issue Status" numFmtId="0">
      <sharedItems count="3" containsMixedTypes="1" containsSemiMixedTypes="1" containsString="1" containsNumber="0">
        <s v="3.Doing"/>
        <e v="#N/DISP"/>
        <m/>
      </sharedItems>
    </cacheField>
    <cacheField name="Type" numFmtId="0">
      <sharedItems count="8" containsMixedTypes="1" containsSemiMixedTypes="1" containsString="1" containsNumber="0">
        <s v="Backend Development"/>
        <s v="Feature Planning"/>
        <s v="Feature Review"/>
        <s v="Frontend Development"/>
        <s v="QA"/>
        <s v="Sub-Task"/>
        <s v="Tech Planning"/>
        <m/>
      </sharedItems>
    </cacheField>
    <cacheField name="Role" numFmtId="0">
      <sharedItems count="3" containsMixedTypes="1" containsSemiMixedTypes="1" containsString="1" containsNumber="0">
        <s v="Developer"/>
        <s v="Tech Lead"/>
        <m/>
      </sharedItems>
    </cacheField>
    <cacheField name="Size" numFmtId="0">
      <sharedItems count="5" containsMixedTypes="1" containsSemiMixedTypes="1" containsString="1" containsNumber="0">
        <s v="L"/>
        <s v="M"/>
        <s v="S"/>
        <s v="XS"/>
        <m/>
      </sharedItems>
    </cacheField>
    <cacheField name="Effort" numFmtId="0">
      <sharedItems count="6" containsMixedTypes="1" containsSemiMixedTypes="1" containsString="0" containsNumber="1">
        <n v="2.12765957446808"/>
        <n v="4.25531914893617"/>
        <n v="8.51063829787234"/>
        <n v="9.57446808510638"/>
        <n v="10.6382978723404"/>
        <m/>
      </sharedItems>
    </cacheField>
    <cacheField name="Cycle Hours" numFmtId="0">
      <sharedItems count="16" containsMixedTypes="1" containsSemiMixedTypes="1" containsString="0" containsNumber="1">
        <n v="0.0340425531914912"/>
        <n v="0.10212765957447"/>
        <n v="1.56595744680851"/>
        <n v="1.66808510638298"/>
        <n v="2.5531914893617"/>
        <n v="2.79148936170213"/>
        <n v="3.77872340425532"/>
        <n v="4.69787234042554"/>
        <n v="5.1063829787234"/>
        <n v="5.88936170212766"/>
        <n v="7.42127659574468"/>
        <n v="8"/>
        <n v="10.2127659574468"/>
        <n v="11.4893617021277"/>
        <n v="12.7659574468085"/>
        <m/>
      </sharedItems>
    </cacheField>
    <cacheField name=" Cycle Hours per Role With Risk " numFmtId="0">
      <sharedItems count="15" containsMixedTypes="1" containsSemiMixedTypes="1" containsString="0" containsNumber="1">
        <n v="0.919148936170213"/>
        <n v="1.22553191489362"/>
        <n v="1.83829787234043"/>
        <n v="2.14468085106383"/>
        <n v="2.45106382978723"/>
        <n v="3.06382978723404"/>
        <n v="3.67659574468085"/>
        <n v="4.28936170212766"/>
        <n v="4.59574468085106"/>
        <n v="4.90212765957447"/>
        <n v="7.3531914893617"/>
        <n v="8.57872340425532"/>
        <n v="10.7234042553191"/>
        <n v="13.7872340425532"/>
        <m/>
      </sharedItems>
    </cacheField>
    <cacheField name="Thread" numFmtId="0">
      <sharedItems count="4" containsMixedTypes="1" containsSemiMixedTypes="1" containsString="1" containsNumber="0">
        <s v="Developer1"/>
        <s v="Developer2"/>
        <s v="Tech Lead1"/>
        <m/>
      </sharedItems>
    </cacheField>
    <cacheField name="Week" numFmtId="0">
      <sharedItems count="3" containsMixedTypes="1" containsSemiMixedTypes="1" containsString="0" containsNumber="1">
        <n v="42905"/>
        <n v="42912"/>
        <m/>
      </sharedItems>
    </cacheField>
    <cacheField name="Day" numFmtId="0">
      <sharedItems count="6" containsMixedTypes="1" containsSemiMixedTypes="1" containsString="0" containsNumber="1">
        <n v="42909"/>
        <n v="42912"/>
        <n v="42913"/>
        <n v="42914"/>
        <n v="42915"/>
        <m/>
      </sharedItems>
    </cacheField>
    <cacheField name=" Allocated Days " numFmtId="0">
      <sharedItems count="29" containsMixedTypes="1" containsSemiMixedTypes="1" containsString="0" containsNumber="1">
        <n v="0.0042553191489364"/>
        <n v="0.0127659574468088"/>
        <n v="0.0340425531914892"/>
        <n v="0.0723404255319147"/>
        <n v="0.102127659574468"/>
        <n v="0.114893617021277"/>
        <n v="0.153191489361702"/>
        <n v="0.182978723404255"/>
        <n v="0.195744680851064"/>
        <n v="0.208510638297873"/>
        <n v="0.229787234042553"/>
        <n v="0.251063829787233"/>
        <n v="0.25531914893617"/>
        <n v="0.268085106382979"/>
        <n v="0.306382978723404"/>
        <n v="0.348936170212766"/>
        <n v="0.382978723404255"/>
        <n v="0.412765957446808"/>
        <n v="0.459574468085106"/>
        <n v="0.472340425531915"/>
        <n v="0.485106382978723"/>
        <n v="0.536170212765957"/>
        <n v="0.587234042553192"/>
        <n v="0.612765957446808"/>
        <n v="0.719148936170213"/>
        <n v="0.736170212765958"/>
        <n v="0.927659574468085"/>
        <n v="1"/>
        <m/>
      </sharedItems>
    </cacheField>
    <cacheField name=" Allocated Cycle Hours " numFmtId="0">
      <sharedItems count="29" containsMixedTypes="1" containsSemiMixedTypes="1" containsString="0" containsNumber="1">
        <n v="0.0340425531914912"/>
        <n v="0.10212765957447"/>
        <n v="0.272340425531914"/>
        <n v="0.578723404255317"/>
        <n v="0.817021276595741"/>
        <n v="0.919148936170213"/>
        <n v="1.22553191489362"/>
        <n v="1.46382978723404"/>
        <n v="1.56595744680851"/>
        <n v="1.66808510638298"/>
        <n v="1.83829787234043"/>
        <n v="2.00851063829787"/>
        <n v="2.04255319148936"/>
        <n v="2.14468085106383"/>
        <n v="2.45106382978723"/>
        <n v="2.79148936170213"/>
        <n v="3.06382978723404"/>
        <n v="3.30212765957446"/>
        <n v="3.67659574468085"/>
        <n v="3.77872340425532"/>
        <n v="3.88085106382978"/>
        <n v="4.28936170212766"/>
        <n v="4.69787234042554"/>
        <n v="4.90212765957447"/>
        <n v="5.7531914893617"/>
        <n v="5.88936170212766"/>
        <n v="7.42127659574468"/>
        <n v="8"/>
        <m/>
      </sharedItems>
    </cacheField>
    <cacheField name="Completion" numFmtId="0">
      <sharedItems count="21" containsMixedTypes="1" containsSemiMixedTypes="1" containsString="0" containsNumber="1">
        <n v="0.00246913580246927"/>
        <n v="0.0476190476190485"/>
        <n v="0.0888888888888886"/>
        <n v="0.177777777777777"/>
        <n v="0.199074074074074"/>
        <n v="0.269841269841269"/>
        <n v="0.307936507936508"/>
        <n v="0.417283950617284"/>
        <n v="0.452380952380952"/>
        <n v="0.453703703703705"/>
        <n v="0.546296296296295"/>
        <n v="0.547619047619048"/>
        <n v="0.580246913580247"/>
        <n v="0.692063492063492"/>
        <n v="0.730158730158731"/>
        <n v="0.800925925925926"/>
        <n v="0.822222222222223"/>
        <n v="0.911111111111111"/>
        <n v="0.952380952380951"/>
        <n v="1"/>
        <m/>
      </sharedItems>
    </cacheField>
    <cacheField name="Allocated Effort" numFmtId="0">
      <sharedItems count="23" containsMixedTypes="1" containsSemiMixedTypes="1" containsString="0" containsNumber="1">
        <n v="0.0236406619385356"/>
        <n v="0.10131712259372"/>
        <n v="0.189125295508274"/>
        <n v="0.574130361364402"/>
        <n v="1.55352921310368"/>
        <n v="1.69424743892829"/>
        <n v="1.89125295508273"/>
        <n v="1.93065405831364"/>
        <n v="1.93853427895981"/>
        <n v="2.02634245187436"/>
        <n v="2.12765957446808"/>
        <n v="2.32466509062253"/>
        <n v="3.27592029719689"/>
        <n v="3.85005065856129"/>
        <n v="3.99527186761229"/>
        <n v="4.25531914893617"/>
        <n v="4.66058763931105"/>
        <n v="5.55555555555556"/>
        <n v="6.81639085894405"/>
        <n v="7.36237757514354"/>
        <n v="8.51063829787234"/>
        <n v="8.74704491725769"/>
        <m/>
      </sharedItems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cordCount="30">
  <cacheSource type="worksheet">
    <worksheetSource ref="A1:I31" sheet="Role Mapping &amp; Issue Type"/>
  </cacheSource>
  <cacheFields count="9">
    <cacheField name="Project" numFmtId="0">
      <sharedItems count="1" containsMixedTypes="0" containsSemiMixedTypes="0" containsString="1" containsNumber="0">
        <s v="PROJECT - Google LMS"/>
      </sharedItems>
    </cacheField>
    <cacheField name="Group" numFmtId="0">
      <sharedItems count="2" containsMixedTypes="0" containsSemiMixedTypes="0" containsString="1" containsNumber="0">
        <s v="Ballpark"/>
        <s v="Plan"/>
      </sharedItems>
    </cacheField>
    <cacheField name="Issue Type" numFmtId="0">
      <sharedItems count="19" containsMixedTypes="0" containsSemiMixedTypes="0" containsString="1" containsNumber="0">
        <s v="Alpha Test"/>
        <s v="Alpha-Bug"/>
        <s v="Backend Development"/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Feature Planning"/>
        <s v="Feature Review"/>
        <s v="Frontend Development"/>
        <s v="QA"/>
        <s v="Sub-Task"/>
        <s v="Tech Planning"/>
        <s v="UAT"/>
        <s v="UX"/>
      </sharedItems>
    </cacheField>
    <cacheField name="Role" numFmtId="0">
      <sharedItems count="2" containsMixedTypes="0" containsSemiMixedTypes="0" containsString="1" containsNumber="0">
        <s v="Developer"/>
        <s v="Tech Lead"/>
      </sharedItems>
    </cacheField>
    <cacheField name="Role Allocation" numFmtId="0">
      <sharedItems count="7" containsMixedTypes="0" containsSemiMixedTypes="0" containsString="0" containsNumber="1">
        <n v="0.2"/>
        <n v="0.3"/>
        <n v="0.4"/>
        <n v="0.6"/>
        <n v="0.7"/>
        <n v="0.8"/>
        <n v="1"/>
      </sharedItems>
    </cacheField>
    <cacheField name="Issue Type Allocation" numFmtId="0">
      <sharedItems count="1" containsMixedTypes="0" containsSemiMixedTypes="0" containsString="0" containsNumber="1">
        <n v="1"/>
      </sharedItems>
    </cacheField>
    <cacheField name=" Cycle on Backlog " numFmtId="0">
      <sharedItems count="1" containsMixedTypes="0" containsSemiMixedTypes="0" containsString="0" containsNumber="1">
        <n v="0"/>
      </sharedItems>
    </cacheField>
    <cacheField name=" Effort on Backlog " numFmtId="0">
      <sharedItems count="1" containsMixedTypes="0" containsSemiMixedTypes="0" containsString="0" containsNumber="1">
        <n v="0"/>
      </sharedItems>
    </cacheField>
    <cacheField name="Group %" numFmtId="0">
      <sharedItems count="1" containsMixedTypes="0" containsSemiMixedTypes="0" containsString="0" containsNumber="0">
        <e v="#DIV/0!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Cache/pivotCacheRecords2.xml><?xml version="1.0" encoding="utf-8"?>
<pivotCacheRecords xmlns="http://schemas.openxmlformats.org/spreadsheetml/2006/main" xmlns:r="http://schemas.openxmlformats.org/officeDocument/2006/relationships" count="0"/>
</file>

<file path=xl/pivotCache/pivotCacheRecords3.xml><?xml version="1.0" encoding="utf-8"?>
<pivotCacheRecords xmlns="http://schemas.openxmlformats.org/spreadsheetml/2006/main" xmlns:r="http://schemas.openxmlformats.org/officeDocument/2006/relationships" count="35">
  <r>
    <x v="1"/>
    <x v="2"/>
    <x v="2"/>
    <x v="8"/>
    <x v="0"/>
    <x v="5"/>
    <x v="0"/>
    <x v="1"/>
    <x v="2"/>
    <x v="12"/>
    <x v="9"/>
    <x v="1"/>
    <x v="0"/>
    <x v="0"/>
    <x v="23"/>
    <x v="23"/>
    <x v="19"/>
    <x v="20"/>
  </r>
  <r>
    <x v="1"/>
    <x v="4"/>
    <x v="4"/>
    <x v="11"/>
    <x v="0"/>
    <x v="6"/>
    <x v="0"/>
    <x v="1"/>
    <x v="1"/>
    <x v="8"/>
    <x v="7"/>
    <x v="0"/>
    <x v="0"/>
    <x v="0"/>
    <x v="21"/>
    <x v="21"/>
    <x v="19"/>
    <x v="15"/>
  </r>
  <r>
    <x v="0"/>
    <x v="0"/>
    <x v="3"/>
    <x v="5"/>
    <x v="1"/>
    <x v="2"/>
    <x v="1"/>
    <x v="2"/>
    <x v="0"/>
    <x v="4"/>
    <x v="5"/>
    <x v="2"/>
    <x v="0"/>
    <x v="0"/>
    <x v="16"/>
    <x v="16"/>
    <x v="19"/>
    <x v="10"/>
  </r>
  <r>
    <x v="0"/>
    <x v="3"/>
    <x v="7"/>
    <x v="4"/>
    <x v="1"/>
    <x v="2"/>
    <x v="1"/>
    <x v="2"/>
    <x v="0"/>
    <x v="4"/>
    <x v="5"/>
    <x v="2"/>
    <x v="0"/>
    <x v="0"/>
    <x v="15"/>
    <x v="15"/>
    <x v="17"/>
    <x v="8"/>
  </r>
  <r>
    <x v="0"/>
    <x v="0"/>
    <x v="3"/>
    <x v="13"/>
    <x v="0"/>
    <x v="6"/>
    <x v="0"/>
    <x v="2"/>
    <x v="0"/>
    <x v="4"/>
    <x v="3"/>
    <x v="0"/>
    <x v="0"/>
    <x v="0"/>
    <x v="13"/>
    <x v="13"/>
    <x v="19"/>
    <x v="10"/>
  </r>
  <r>
    <x v="0"/>
    <x v="0"/>
    <x v="5"/>
    <x v="7"/>
    <x v="1"/>
    <x v="4"/>
    <x v="0"/>
    <x v="2"/>
    <x v="0"/>
    <x v="4"/>
    <x v="2"/>
    <x v="1"/>
    <x v="0"/>
    <x v="0"/>
    <x v="10"/>
    <x v="10"/>
    <x v="19"/>
    <x v="10"/>
  </r>
  <r>
    <x v="1"/>
    <x v="4"/>
    <x v="4"/>
    <x v="3"/>
    <x v="0"/>
    <x v="1"/>
    <x v="0"/>
    <x v="2"/>
    <x v="0"/>
    <x v="4"/>
    <x v="3"/>
    <x v="0"/>
    <x v="0"/>
    <x v="0"/>
    <x v="8"/>
    <x v="8"/>
    <x v="14"/>
    <x v="4"/>
  </r>
  <r>
    <x v="0"/>
    <x v="0"/>
    <x v="5"/>
    <x v="7"/>
    <x v="1"/>
    <x v="4"/>
    <x v="1"/>
    <x v="2"/>
    <x v="0"/>
    <x v="4"/>
    <x v="1"/>
    <x v="2"/>
    <x v="0"/>
    <x v="0"/>
    <x v="6"/>
    <x v="6"/>
    <x v="19"/>
    <x v="10"/>
  </r>
  <r>
    <x v="1"/>
    <x v="1"/>
    <x v="1"/>
    <x v="10"/>
    <x v="0"/>
    <x v="5"/>
    <x v="0"/>
    <x v="3"/>
    <x v="0"/>
    <x v="4"/>
    <x v="1"/>
    <x v="1"/>
    <x v="0"/>
    <x v="0"/>
    <x v="6"/>
    <x v="6"/>
    <x v="19"/>
    <x v="10"/>
  </r>
  <r>
    <x v="0"/>
    <x v="0"/>
    <x v="3"/>
    <x v="13"/>
    <x v="0"/>
    <x v="6"/>
    <x v="1"/>
    <x v="2"/>
    <x v="0"/>
    <x v="4"/>
    <x v="0"/>
    <x v="2"/>
    <x v="0"/>
    <x v="0"/>
    <x v="5"/>
    <x v="5"/>
    <x v="19"/>
    <x v="10"/>
  </r>
  <r>
    <x v="1"/>
    <x v="4"/>
    <x v="4"/>
    <x v="6"/>
    <x v="0"/>
    <x v="3"/>
    <x v="0"/>
    <x v="0"/>
    <x v="3"/>
    <x v="13"/>
    <x v="13"/>
    <x v="1"/>
    <x v="0"/>
    <x v="0"/>
    <x v="0"/>
    <x v="0"/>
    <x v="0"/>
    <x v="0"/>
  </r>
  <r>
    <x v="1"/>
    <x v="4"/>
    <x v="4"/>
    <x v="6"/>
    <x v="0"/>
    <x v="3"/>
    <x v="0"/>
    <x v="0"/>
    <x v="3"/>
    <x v="0"/>
    <x v="13"/>
    <x v="1"/>
    <x v="1"/>
    <x v="1"/>
    <x v="27"/>
    <x v="27"/>
    <x v="12"/>
    <x v="17"/>
  </r>
  <r>
    <x v="1"/>
    <x v="0"/>
    <x v="0"/>
    <x v="0"/>
    <x v="1"/>
    <x v="0"/>
    <x v="0"/>
    <x v="1"/>
    <x v="4"/>
    <x v="14"/>
    <x v="12"/>
    <x v="0"/>
    <x v="1"/>
    <x v="1"/>
    <x v="26"/>
    <x v="26"/>
    <x v="13"/>
    <x v="19"/>
  </r>
  <r>
    <x v="1"/>
    <x v="2"/>
    <x v="2"/>
    <x v="8"/>
    <x v="0"/>
    <x v="5"/>
    <x v="1"/>
    <x v="1"/>
    <x v="2"/>
    <x v="12"/>
    <x v="10"/>
    <x v="2"/>
    <x v="1"/>
    <x v="1"/>
    <x v="25"/>
    <x v="25"/>
    <x v="15"/>
    <x v="18"/>
  </r>
  <r>
    <x v="1"/>
    <x v="1"/>
    <x v="1"/>
    <x v="10"/>
    <x v="0"/>
    <x v="5"/>
    <x v="1"/>
    <x v="3"/>
    <x v="0"/>
    <x v="4"/>
    <x v="2"/>
    <x v="2"/>
    <x v="1"/>
    <x v="1"/>
    <x v="10"/>
    <x v="10"/>
    <x v="19"/>
    <x v="10"/>
  </r>
  <r>
    <x v="1"/>
    <x v="4"/>
    <x v="4"/>
    <x v="3"/>
    <x v="0"/>
    <x v="1"/>
    <x v="0"/>
    <x v="2"/>
    <x v="0"/>
    <x v="2"/>
    <x v="3"/>
    <x v="0"/>
    <x v="1"/>
    <x v="1"/>
    <x v="3"/>
    <x v="3"/>
    <x v="5"/>
    <x v="3"/>
  </r>
  <r>
    <x v="0"/>
    <x v="3"/>
    <x v="7"/>
    <x v="4"/>
    <x v="1"/>
    <x v="2"/>
    <x v="1"/>
    <x v="2"/>
    <x v="0"/>
    <x v="5"/>
    <x v="5"/>
    <x v="2"/>
    <x v="1"/>
    <x v="1"/>
    <x v="2"/>
    <x v="2"/>
    <x v="2"/>
    <x v="2"/>
  </r>
  <r>
    <x v="1"/>
    <x v="4"/>
    <x v="4"/>
    <x v="6"/>
    <x v="0"/>
    <x v="3"/>
    <x v="0"/>
    <x v="0"/>
    <x v="3"/>
    <x v="11"/>
    <x v="13"/>
    <x v="1"/>
    <x v="1"/>
    <x v="2"/>
    <x v="24"/>
    <x v="24"/>
    <x v="7"/>
    <x v="14"/>
  </r>
  <r>
    <x v="1"/>
    <x v="2"/>
    <x v="2"/>
    <x v="1"/>
    <x v="1"/>
    <x v="1"/>
    <x v="0"/>
    <x v="0"/>
    <x v="2"/>
    <x v="12"/>
    <x v="11"/>
    <x v="0"/>
    <x v="1"/>
    <x v="2"/>
    <x v="22"/>
    <x v="22"/>
    <x v="11"/>
    <x v="16"/>
  </r>
  <r>
    <x v="1"/>
    <x v="0"/>
    <x v="0"/>
    <x v="0"/>
    <x v="1"/>
    <x v="0"/>
    <x v="1"/>
    <x v="1"/>
    <x v="4"/>
    <x v="14"/>
    <x v="8"/>
    <x v="2"/>
    <x v="1"/>
    <x v="2"/>
    <x v="19"/>
    <x v="19"/>
    <x v="16"/>
    <x v="21"/>
  </r>
  <r>
    <x v="1"/>
    <x v="0"/>
    <x v="0"/>
    <x v="0"/>
    <x v="1"/>
    <x v="0"/>
    <x v="0"/>
    <x v="1"/>
    <x v="4"/>
    <x v="10"/>
    <x v="12"/>
    <x v="0"/>
    <x v="1"/>
    <x v="2"/>
    <x v="17"/>
    <x v="17"/>
    <x v="6"/>
    <x v="12"/>
  </r>
  <r>
    <x v="1"/>
    <x v="0"/>
    <x v="0"/>
    <x v="12"/>
    <x v="1"/>
    <x v="6"/>
    <x v="0"/>
    <x v="2"/>
    <x v="0"/>
    <x v="4"/>
    <x v="3"/>
    <x v="1"/>
    <x v="1"/>
    <x v="2"/>
    <x v="13"/>
    <x v="13"/>
    <x v="19"/>
    <x v="10"/>
  </r>
  <r>
    <x v="1"/>
    <x v="4"/>
    <x v="4"/>
    <x v="11"/>
    <x v="0"/>
    <x v="6"/>
    <x v="1"/>
    <x v="1"/>
    <x v="1"/>
    <x v="8"/>
    <x v="2"/>
    <x v="2"/>
    <x v="1"/>
    <x v="2"/>
    <x v="10"/>
    <x v="10"/>
    <x v="19"/>
    <x v="15"/>
  </r>
  <r>
    <x v="1"/>
    <x v="2"/>
    <x v="2"/>
    <x v="8"/>
    <x v="0"/>
    <x v="5"/>
    <x v="1"/>
    <x v="1"/>
    <x v="2"/>
    <x v="9"/>
    <x v="10"/>
    <x v="2"/>
    <x v="1"/>
    <x v="2"/>
    <x v="7"/>
    <x v="7"/>
    <x v="4"/>
    <x v="5"/>
  </r>
  <r>
    <x v="1"/>
    <x v="4"/>
    <x v="4"/>
    <x v="3"/>
    <x v="0"/>
    <x v="1"/>
    <x v="1"/>
    <x v="2"/>
    <x v="0"/>
    <x v="4"/>
    <x v="0"/>
    <x v="2"/>
    <x v="1"/>
    <x v="2"/>
    <x v="5"/>
    <x v="5"/>
    <x v="19"/>
    <x v="10"/>
  </r>
  <r>
    <x v="1"/>
    <x v="0"/>
    <x v="0"/>
    <x v="2"/>
    <x v="1"/>
    <x v="1"/>
    <x v="0"/>
    <x v="2"/>
    <x v="0"/>
    <x v="4"/>
    <x v="3"/>
    <x v="1"/>
    <x v="1"/>
    <x v="2"/>
    <x v="1"/>
    <x v="1"/>
    <x v="1"/>
    <x v="1"/>
  </r>
  <r>
    <x v="1"/>
    <x v="2"/>
    <x v="2"/>
    <x v="1"/>
    <x v="1"/>
    <x v="1"/>
    <x v="0"/>
    <x v="0"/>
    <x v="2"/>
    <x v="7"/>
    <x v="11"/>
    <x v="0"/>
    <x v="1"/>
    <x v="3"/>
    <x v="20"/>
    <x v="20"/>
    <x v="8"/>
    <x v="13"/>
  </r>
  <r>
    <x v="1"/>
    <x v="2"/>
    <x v="2"/>
    <x v="1"/>
    <x v="1"/>
    <x v="1"/>
    <x v="1"/>
    <x v="0"/>
    <x v="2"/>
    <x v="12"/>
    <x v="6"/>
    <x v="2"/>
    <x v="1"/>
    <x v="3"/>
    <x v="18"/>
    <x v="18"/>
    <x v="19"/>
    <x v="20"/>
  </r>
  <r>
    <x v="2"/>
    <x v="5"/>
    <x v="6"/>
    <x v="9"/>
    <x v="1"/>
    <x v="5"/>
    <x v="0"/>
    <x v="2"/>
    <x v="1"/>
    <x v="8"/>
    <x v="4"/>
    <x v="1"/>
    <x v="1"/>
    <x v="3"/>
    <x v="14"/>
    <x v="14"/>
    <x v="19"/>
    <x v="15"/>
  </r>
  <r>
    <x v="1"/>
    <x v="0"/>
    <x v="0"/>
    <x v="2"/>
    <x v="1"/>
    <x v="1"/>
    <x v="0"/>
    <x v="2"/>
    <x v="0"/>
    <x v="1"/>
    <x v="3"/>
    <x v="1"/>
    <x v="1"/>
    <x v="3"/>
    <x v="12"/>
    <x v="12"/>
    <x v="18"/>
    <x v="9"/>
  </r>
  <r>
    <x v="2"/>
    <x v="5"/>
    <x v="6"/>
    <x v="9"/>
    <x v="1"/>
    <x v="5"/>
    <x v="1"/>
    <x v="2"/>
    <x v="1"/>
    <x v="8"/>
    <x v="6"/>
    <x v="2"/>
    <x v="1"/>
    <x v="3"/>
    <x v="9"/>
    <x v="9"/>
    <x v="9"/>
    <x v="7"/>
  </r>
  <r>
    <x v="1"/>
    <x v="0"/>
    <x v="0"/>
    <x v="12"/>
    <x v="1"/>
    <x v="6"/>
    <x v="1"/>
    <x v="2"/>
    <x v="0"/>
    <x v="4"/>
    <x v="0"/>
    <x v="2"/>
    <x v="1"/>
    <x v="3"/>
    <x v="5"/>
    <x v="5"/>
    <x v="19"/>
    <x v="10"/>
  </r>
  <r>
    <x v="1"/>
    <x v="0"/>
    <x v="0"/>
    <x v="2"/>
    <x v="1"/>
    <x v="1"/>
    <x v="1"/>
    <x v="2"/>
    <x v="0"/>
    <x v="4"/>
    <x v="0"/>
    <x v="2"/>
    <x v="1"/>
    <x v="3"/>
    <x v="5"/>
    <x v="5"/>
    <x v="19"/>
    <x v="10"/>
  </r>
  <r>
    <x v="1"/>
    <x v="0"/>
    <x v="0"/>
    <x v="0"/>
    <x v="1"/>
    <x v="0"/>
    <x v="1"/>
    <x v="1"/>
    <x v="4"/>
    <x v="6"/>
    <x v="8"/>
    <x v="2"/>
    <x v="1"/>
    <x v="3"/>
    <x v="4"/>
    <x v="4"/>
    <x v="3"/>
    <x v="6"/>
  </r>
  <r>
    <x v="2"/>
    <x v="5"/>
    <x v="6"/>
    <x v="9"/>
    <x v="1"/>
    <x v="5"/>
    <x v="1"/>
    <x v="2"/>
    <x v="1"/>
    <x v="3"/>
    <x v="6"/>
    <x v="2"/>
    <x v="1"/>
    <x v="4"/>
    <x v="11"/>
    <x v="11"/>
    <x v="10"/>
    <x v="1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">
  <r>
    <x v="0"/>
    <x v="0"/>
    <x v="3"/>
    <x v="0"/>
    <x v="6"/>
    <x v="0"/>
    <x v="0"/>
    <x v="0"/>
    <x v="0"/>
  </r>
  <r>
    <x v="0"/>
    <x v="0"/>
    <x v="4"/>
    <x v="0"/>
    <x v="0"/>
    <x v="0"/>
    <x v="0"/>
    <x v="0"/>
    <x v="0"/>
  </r>
  <r>
    <x v="0"/>
    <x v="0"/>
    <x v="4"/>
    <x v="1"/>
    <x v="5"/>
    <x v="0"/>
    <x v="0"/>
    <x v="0"/>
    <x v="0"/>
  </r>
  <r>
    <x v="0"/>
    <x v="0"/>
    <x v="5"/>
    <x v="0"/>
    <x v="4"/>
    <x v="0"/>
    <x v="0"/>
    <x v="0"/>
    <x v="0"/>
  </r>
  <r>
    <x v="0"/>
    <x v="0"/>
    <x v="5"/>
    <x v="1"/>
    <x v="1"/>
    <x v="0"/>
    <x v="0"/>
    <x v="0"/>
    <x v="0"/>
  </r>
  <r>
    <x v="0"/>
    <x v="0"/>
    <x v="6"/>
    <x v="0"/>
    <x v="4"/>
    <x v="0"/>
    <x v="0"/>
    <x v="0"/>
    <x v="0"/>
  </r>
  <r>
    <x v="0"/>
    <x v="0"/>
    <x v="6"/>
    <x v="1"/>
    <x v="1"/>
    <x v="0"/>
    <x v="0"/>
    <x v="0"/>
    <x v="0"/>
  </r>
  <r>
    <x v="0"/>
    <x v="0"/>
    <x v="7"/>
    <x v="1"/>
    <x v="6"/>
    <x v="0"/>
    <x v="0"/>
    <x v="0"/>
    <x v="0"/>
  </r>
  <r>
    <x v="0"/>
    <x v="0"/>
    <x v="8"/>
    <x v="0"/>
    <x v="1"/>
    <x v="0"/>
    <x v="0"/>
    <x v="0"/>
    <x v="0"/>
  </r>
  <r>
    <x v="0"/>
    <x v="0"/>
    <x v="8"/>
    <x v="1"/>
    <x v="4"/>
    <x v="0"/>
    <x v="0"/>
    <x v="0"/>
    <x v="0"/>
  </r>
  <r>
    <x v="0"/>
    <x v="0"/>
    <x v="9"/>
    <x v="0"/>
    <x v="4"/>
    <x v="0"/>
    <x v="0"/>
    <x v="0"/>
    <x v="0"/>
  </r>
  <r>
    <x v="0"/>
    <x v="0"/>
    <x v="9"/>
    <x v="1"/>
    <x v="1"/>
    <x v="0"/>
    <x v="0"/>
    <x v="0"/>
    <x v="0"/>
  </r>
  <r>
    <x v="0"/>
    <x v="0"/>
    <x v="10"/>
    <x v="0"/>
    <x v="6"/>
    <x v="0"/>
    <x v="0"/>
    <x v="0"/>
    <x v="0"/>
  </r>
  <r>
    <x v="0"/>
    <x v="1"/>
    <x v="0"/>
    <x v="0"/>
    <x v="6"/>
    <x v="0"/>
    <x v="0"/>
    <x v="0"/>
    <x v="0"/>
  </r>
  <r>
    <x v="0"/>
    <x v="1"/>
    <x v="1"/>
    <x v="0"/>
    <x v="6"/>
    <x v="0"/>
    <x v="0"/>
    <x v="0"/>
    <x v="0"/>
  </r>
  <r>
    <x v="0"/>
    <x v="1"/>
    <x v="2"/>
    <x v="1"/>
    <x v="1"/>
    <x v="0"/>
    <x v="0"/>
    <x v="0"/>
    <x v="0"/>
  </r>
  <r>
    <x v="0"/>
    <x v="1"/>
    <x v="2"/>
    <x v="0"/>
    <x v="4"/>
    <x v="0"/>
    <x v="0"/>
    <x v="0"/>
    <x v="0"/>
  </r>
  <r>
    <x v="0"/>
    <x v="1"/>
    <x v="11"/>
    <x v="1"/>
    <x v="1"/>
    <x v="0"/>
    <x v="0"/>
    <x v="0"/>
    <x v="0"/>
  </r>
  <r>
    <x v="0"/>
    <x v="1"/>
    <x v="11"/>
    <x v="0"/>
    <x v="4"/>
    <x v="0"/>
    <x v="0"/>
    <x v="0"/>
    <x v="0"/>
  </r>
  <r>
    <x v="0"/>
    <x v="1"/>
    <x v="12"/>
    <x v="1"/>
    <x v="6"/>
    <x v="0"/>
    <x v="0"/>
    <x v="0"/>
    <x v="0"/>
  </r>
  <r>
    <x v="0"/>
    <x v="1"/>
    <x v="13"/>
    <x v="0"/>
    <x v="6"/>
    <x v="0"/>
    <x v="0"/>
    <x v="0"/>
    <x v="0"/>
  </r>
  <r>
    <x v="0"/>
    <x v="1"/>
    <x v="14"/>
    <x v="1"/>
    <x v="2"/>
    <x v="0"/>
    <x v="0"/>
    <x v="0"/>
    <x v="0"/>
  </r>
  <r>
    <x v="0"/>
    <x v="1"/>
    <x v="14"/>
    <x v="0"/>
    <x v="3"/>
    <x v="0"/>
    <x v="0"/>
    <x v="0"/>
    <x v="0"/>
  </r>
  <r>
    <x v="0"/>
    <x v="1"/>
    <x v="15"/>
    <x v="1"/>
    <x v="3"/>
    <x v="0"/>
    <x v="0"/>
    <x v="0"/>
    <x v="0"/>
  </r>
  <r>
    <x v="0"/>
    <x v="1"/>
    <x v="15"/>
    <x v="0"/>
    <x v="2"/>
    <x v="0"/>
    <x v="0"/>
    <x v="0"/>
    <x v="0"/>
  </r>
  <r>
    <x v="0"/>
    <x v="1"/>
    <x v="16"/>
    <x v="0"/>
    <x v="4"/>
    <x v="0"/>
    <x v="0"/>
    <x v="0"/>
    <x v="0"/>
  </r>
  <r>
    <x v="0"/>
    <x v="1"/>
    <x v="16"/>
    <x v="1"/>
    <x v="1"/>
    <x v="0"/>
    <x v="0"/>
    <x v="0"/>
    <x v="0"/>
  </r>
  <r>
    <x v="0"/>
    <x v="1"/>
    <x v="17"/>
    <x v="1"/>
    <x v="2"/>
    <x v="0"/>
    <x v="0"/>
    <x v="0"/>
    <x v="0"/>
  </r>
  <r>
    <x v="0"/>
    <x v="1"/>
    <x v="17"/>
    <x v="0"/>
    <x v="3"/>
    <x v="0"/>
    <x v="0"/>
    <x v="0"/>
    <x v="0"/>
  </r>
  <r>
    <x v="0"/>
    <x v="1"/>
    <x v="18"/>
    <x v="0"/>
    <x v="6"/>
    <x v="0"/>
    <x v="0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3.xml"/>
</Relationships>
</file>

<file path=xl/pivotTables/_rels/pivotTable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4.xml"/>
</Relationships>
</file>

<file path=xl/pivotTables/pivotTable1.xml><?xml version="1.0" encoding="utf-8"?>
<pivotTableDefinition xmlns="http://schemas.openxmlformats.org/spreadsheetml/2006/main" name="ProgressByDemand" cacheId="1" applyNumberFormats="0" applyBorderFormats="0" applyFontFormats="0" applyPatternFormats="0" applyAlignmentFormats="0" applyWidthHeightFormats="0" dataCaption="Values" useAutoFormatting="0" itemPrintTitles="1" indent="0" outline="1" outlineData="1">
  <location ref="A5:B6" firstHeaderRow="0" firstDataRow="1" firstDataCol="0" rowPageCount="1" colPageCount="1"/>
  <pivotFields count="0"/>
  <pageFields count="1">
    <pageField fld="-2" hier="-1"/>
  </pageFields>
</pivotTableDefinition>
</file>

<file path=xl/pivotTables/pivotTable2.xml><?xml version="1.0" encoding="utf-8"?>
<pivotTableDefinition xmlns="http://schemas.openxmlformats.org/spreadsheetml/2006/main" name="DemandsByStatus" cacheId="2" applyNumberFormats="0" applyBorderFormats="0" applyFontFormats="0" applyPatternFormats="0" applyAlignmentFormats="0" applyWidthHeightFormats="0" dataCaption="Values" useAutoFormatting="0" itemPrintTitles="1" indent="0" outline="1" outlineData="1">
  <location ref="A3:B4" firstHeaderRow="0" firstDataRow="1" firstDataCol="0" rowPageCount="1" colPageCount="1"/>
  <pivotFields count="0"/>
  <pageFields count="1">
    <pageField fld="-2" hier="-1"/>
  </pageFields>
</pivotTableDefinition>
</file>

<file path=xl/pivotTables/pivotTable3.xml><?xml version="1.0" encoding="utf-8"?>
<pivotTableDefinition xmlns="http://schemas.openxmlformats.org/spreadsheetml/2006/main" name="Gantt" cacheId="3" applyNumberFormats="0" applyBorderFormats="0" applyFontFormats="0" applyPatternFormats="0" applyAlignmentFormats="0" applyWidthHeightFormats="0" dataCaption="Values" useAutoFormatting="0" itemPrintTitles="1" indent="0" outline="1" outlineData="1">
  <location ref="A5:I27" firstHeaderRow="1" firstDataRow="2" firstDataCol="5" rowPageCount="3" colPageCount="1"/>
  <pivotFields count="18">
    <pivotField axis="axisRow" showAll="0"/>
    <pivotField axis="axisRow" showAll="0"/>
    <pivotField axis="axisRow" showAll="0"/>
    <pivotField axis="axisRow" showAll="0"/>
    <pivotField axis="axisRow" showAll="0"/>
    <pivotField axis="axisPage" showAll="0"/>
    <pivotField axis="axisPage" showAll="0"/>
    <pivotField showAll="0"/>
    <pivotField showAll="0"/>
    <pivotField showAll="0"/>
    <pivotField showAll="0"/>
    <pivotField axis="axisPage" showAll="0"/>
    <pivotField axis="axisCol" showAll="0"/>
    <pivotField showAll="0"/>
    <pivotField dataField="1" showAll="0"/>
    <pivotField showAll="0"/>
    <pivotField showAll="0"/>
    <pivotField showAll="0"/>
  </pivotFields>
  <rowFields count="5">
    <field x="0"/>
    <field x="4"/>
    <field x="1"/>
    <field x="2"/>
    <field x="3"/>
  </rowFields>
  <colFields count="1">
    <field x="12"/>
  </colFields>
  <pageFields count="3">
    <pageField fld="5" hier="-1"/>
    <pageField fld="6" hier="-1"/>
    <pageField fld="11" hier="-1"/>
  </pageFields>
  <dataFields count="1">
    <dataField fld="14" subtotal="sum"/>
  </dataFields>
</pivotTableDefinition>
</file>

<file path=xl/pivotTables/pivotTable4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0" dataCaption="Values" useAutoFormatting="0" itemPrintTitles="1" indent="0" outline="1" outlineData="1">
  <location ref="K3:M25" firstHeaderRow="0" firstDataRow="1" firstDataCol="2" rowPageCount="1" colPageCount="1"/>
  <pivotFields count="9">
    <pivotField axis="axisPage" showAll="0"/>
    <pivotField axis="axisRow" showAll="0"/>
    <pivotField axis="axisRow" showAll="0"/>
    <pivotField axis="axisRow" showAll="0"/>
    <pivotField showAll="0"/>
    <pivotField showAll="0"/>
    <pivotField showAll="0"/>
    <pivotField showAll="0"/>
    <pivotField dataField="1" showAll="0"/>
  </pivotFields>
  <rowFields count="3">
    <field x="1"/>
    <field x="2"/>
    <field x="3"/>
  </rowFields>
  <pageFields count="1">
    <pageField fld="0" hier="-1"/>
  </pageFields>
  <dataFields count="1">
    <dataField fld="8" subtotal="sum"/>
  </dataFields>
</pivotTableDefinition>
</file>

<file path=xl/tables/table1.xml><?xml version="1.0" encoding="utf-8"?>
<table xmlns="http://schemas.openxmlformats.org/spreadsheetml/2006/main" id="1" name="AllIssues" displayName="AllIssues" ref="A1:AW3665" headerRowCount="1" totalsRowCount="0" totalsRowShown="0">
  <autoFilter ref="A1:AW3665"/>
  <tableColumns count="49">
    <tableColumn id="1" name="project"/>
    <tableColumn id="2" name="demand_type"/>
    <tableColumn id="3" name="demand_status"/>
    <tableColumn id="4" name="demand_num"/>
    <tableColumn id="5" name="DEMAND_SUMMARY"/>
    <tableColumn id="6" name="demand_description"/>
    <tableColumn id="7" name="TASK_TYPE"/>
    <tableColumn id="8" name="TASK_STATUS"/>
    <tableColumn id="9" name="TASK_NUM"/>
    <tableColumn id="10" name="TASK_SUMMARY"/>
    <tableColumn id="11" name="TASK_DESCRIPTION"/>
    <tableColumn id="12" name="TASK_FULL_DESCRIPTION"/>
    <tableColumn id="13" name="SUBTASK_TYPE"/>
    <tableColumn id="14" name="SUBTASK_STATUS"/>
    <tableColumn id="15" name="SUBTASK_NUM"/>
    <tableColumn id="16" name="SUBTASK_SUMMARY"/>
    <tableColumn id="17" name="SUBTASK_DESCRIPTION"/>
    <tableColumn id="18" name="SUBTASK_FULL_DESCRIPTION"/>
    <tableColumn id="19" name="DEMAND_ID"/>
    <tableColumn id="20" name="TASK_ID"/>
    <tableColumn id="21" name="SUBTASK_ID"/>
    <tableColumn id="22" name="planning_type"/>
    <tableColumn id="23" name="task_release"/>
    <tableColumn id="24" name="worklog"/>
    <tableColumn id="25" name="wrong_worklog"/>
    <tableColumn id="26" name="Demand_ballpark"/>
    <tableColumn id="27" name="TASK_BALLPARK"/>
    <tableColumn id="28" name="tshirt_size"/>
    <tableColumn id="29" name="Query_Type"/>
    <tableColumn id="30" name="EffortEstimate"/>
    <tableColumn id="31" name="CycleEstimate"/>
    <tableColumn id="32" name="EffortOnBacklog"/>
    <tableColumn id="33" name="CycleOnBacklog"/>
    <tableColumn id="34" name="BallparkEffort"/>
    <tableColumn id="35" name="PlannedEffort"/>
    <tableColumn id="36" name="EffortDone"/>
    <tableColumn id="37" name="CycleDone"/>
    <tableColumn id="38" name="WorklogDone"/>
    <tableColumn id="39" name="WorklogDoing"/>
    <tableColumn id="40" name="CountTasks"/>
    <tableColumn id="41" name="CountDemands"/>
    <tableColumn id="42" name="CountSubtasks"/>
    <tableColumn id="43" name="SubtaskEstimativeForEEPCalculation"/>
    <tableColumn id="44" name="DemandOrderedStatus"/>
    <tableColumn id="45" name="TaskOrderedStatus"/>
    <tableColumn id="46" name="SubtaskOrderedStatus"/>
    <tableColumn id="47" name="SubtaskOrderedFullDescription"/>
    <tableColumn id="48" name="PlannedEffortOnBug"/>
    <tableColumn id="49" name="WorklogOnBug"/>
  </tableColumns>
</table>
</file>

<file path=xl/tables/table2.xml><?xml version="1.0" encoding="utf-8"?>
<table xmlns="http://schemas.openxmlformats.org/spreadsheetml/2006/main" id="2" name="Clusters" displayName="Clusters" ref="A1:E101" headerRowCount="1" totalsRowCount="0" totalsRowShown="0">
  <autoFilter ref="A1:E101"/>
  <tableColumns count="5">
    <tableColumn id="1" name="Cluster Name"/>
    <tableColumn id="2" name="T-Shirt Size"/>
    <tableColumn id="3" name="Type"/>
    <tableColumn id="4" name="Effort"/>
    <tableColumn id="5" name="Cycle"/>
  </tableColumns>
</table>
</file>

<file path=xl/tables/table3.xml><?xml version="1.0" encoding="utf-8"?>
<table xmlns="http://schemas.openxmlformats.org/spreadsheetml/2006/main" id="3" name="EffortDistribution" displayName="EffortDistribution" ref="G1:J22" headerRowCount="1" totalsRowCount="0" totalsRowShown="0">
  <autoFilter ref="G1:J22"/>
  <tableColumns count="4">
    <tableColumn id="1" name="Group"/>
    <tableColumn id="2" name="IssueType"/>
    <tableColumn id="3" name="Distribution"/>
    <tableColumn id="4" name="Total Distribution"/>
  </tableColumns>
</table>
</file>

<file path=xl/tables/table4.xml><?xml version="1.0" encoding="utf-8"?>
<table xmlns="http://schemas.openxmlformats.org/spreadsheetml/2006/main" id="4" name="Holydays" displayName="Holydays" ref="K1:L4" headerRowCount="1" totalsRowCount="0" totalsRowShown="0">
  <autoFilter ref="K1:L4"/>
  <tableColumns count="2">
    <tableColumn id="1" name="Holyday"/>
    <tableColumn id="2" name="Date"/>
  </tableColumns>
</table>
</file>

<file path=xl/tables/table5.xml><?xml version="1.0" encoding="utf-8"?>
<table xmlns="http://schemas.openxmlformats.org/spreadsheetml/2006/main" id="5" name="IssueTypeVsRoleMapping" displayName="IssueTypeVsRoleMapping" ref="A1:I32" headerRowCount="1" totalsRowCount="1" totalsRowShown="1">
  <tableColumns count="9">
    <tableColumn id="1" name="Project"/>
    <tableColumn id="2" name="Group"/>
    <tableColumn id="3" name="Issue Type"/>
    <tableColumn id="4" name="Role"/>
    <tableColumn id="5" name="Role Allocation"/>
    <tableColumn id="6" name="Issue Type Allocation"/>
    <tableColumn id="7" name="Cycle on Backlog"/>
    <tableColumn id="8" name="Effort on Backlog"/>
    <tableColumn id="9" name="Group %"/>
  </tableColumns>
</table>
</file>

<file path=xl/tables/table6.xml><?xml version="1.0" encoding="utf-8"?>
<table xmlns="http://schemas.openxmlformats.org/spreadsheetml/2006/main" id="6" name="Releases" displayName="Releases" ref="N1:P10" headerRowCount="1" totalsRowCount="0" totalsRowShown="0">
  <autoFilter ref="N1:P10"/>
  <tableColumns count="3">
    <tableColumn id="1" name="Release Date"/>
    <tableColumn id="2" name="Week"/>
    <tableColumn id="3" name="Release Name"/>
  </tableColumns>
</table>
</file>

<file path=xl/tables/table7.xml><?xml version="1.0" encoding="utf-8"?>
<table xmlns="http://schemas.openxmlformats.org/spreadsheetml/2006/main" id="7" name="Timeline" displayName="Timeline" ref="A9:I16" headerRowCount="1" totalsRowCount="1" totalsRowShown="1">
  <tableColumns count="9">
    <tableColumn id="1" name="Role"/>
    <tableColumn id="2" name="People"/>
    <tableColumn id="3" name="Individual Daily Effort (net)"/>
    <tableColumn id="4" name="Team Daily Capability"/>
    <tableColumn id="5" name="Cycle Hours  on Backlog"/>
    <tableColumn id="6" name="Risk"/>
    <tableColumn id="7" name="Total"/>
    <tableColumn id="8" name="Working Days"/>
    <tableColumn id="9" name="Last Day of Work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ivotTable" Target="../pivotTables/pivot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4.xml"/><Relationship Id="rId3" Type="http://schemas.openxmlformats.org/officeDocument/2006/relationships/table" Target="../tables/table6.xml"/><Relationship Id="rId4" Type="http://schemas.openxmlformats.org/officeDocument/2006/relationships/table" Target="../tables/table7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pivotTable" Target="../pivotTables/pivotTable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5.xml"/><Relationship Id="rId2" Type="http://schemas.openxmlformats.org/officeDocument/2006/relationships/pivotTable" Target="../pivotTables/pivotTable4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table" Target="../tables/table3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tabColor rgb="FF002060"/>
    <pageSetUpPr fitToPage="false"/>
  </sheetPr>
  <dimension ref="A1:F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44.4534412955466"/>
    <col collapsed="false" hidden="false" max="2" min="2" style="1" width="25.4939271255061"/>
    <col collapsed="false" hidden="false" max="3" min="3" style="1" width="7.39271255060729"/>
    <col collapsed="false" hidden="false" max="4" min="4" style="1" width="5.57085020242915"/>
    <col collapsed="false" hidden="false" max="7" min="5" style="1" width="11.3562753036437"/>
    <col collapsed="false" hidden="false" max="9" min="8" style="0" width="11.3562753036437"/>
    <col collapsed="false" hidden="false" max="10" min="10" style="0" width="10.7125506072875"/>
    <col collapsed="false" hidden="false" max="11" min="11" style="0" width="11.3562753036437"/>
    <col collapsed="false" hidden="false" max="12" min="12" style="0" width="36.4210526315789"/>
    <col collapsed="false" hidden="false" max="13" min="13" style="0" width="17.7813765182186"/>
    <col collapsed="false" hidden="false" max="14" min="14" style="0" width="67.4858299595142"/>
    <col collapsed="false" hidden="false" max="15" min="15" style="0" width="44.2388663967611"/>
    <col collapsed="false" hidden="false" max="17" min="16" style="0" width="57.9514170040486"/>
    <col collapsed="false" hidden="false" max="18" min="18" style="0" width="63.9514170040486"/>
    <col collapsed="false" hidden="false" max="19" min="19" style="0" width="73.0566801619433"/>
    <col collapsed="false" hidden="false" max="20" min="20" style="0" width="47.0242914979757"/>
    <col collapsed="false" hidden="false" max="21" min="21" style="0" width="52.914979757085"/>
    <col collapsed="false" hidden="false" max="22" min="22" style="0" width="51.3117408906883"/>
    <col collapsed="false" hidden="false" max="23" min="23" style="0" width="52.2753036437247"/>
    <col collapsed="false" hidden="false" max="24" min="24" style="0" width="63.9514170040486"/>
    <col collapsed="false" hidden="false" max="25" min="25" style="0" width="55.3805668016194"/>
    <col collapsed="false" hidden="false" max="26" min="26" style="0" width="40.2753036437247"/>
    <col collapsed="false" hidden="false" max="27" min="27" style="0" width="63.412955465587"/>
    <col collapsed="false" hidden="false" max="28" min="28" style="0" width="69.5182186234818"/>
    <col collapsed="false" hidden="false" max="29" min="29" style="0" width="54.7368421052632"/>
    <col collapsed="false" hidden="false" max="30" min="30" style="0" width="55.914979757085"/>
    <col collapsed="false" hidden="false" max="31" min="31" style="0" width="67.7004048582996"/>
    <col collapsed="false" hidden="false" max="32" min="32" style="0" width="58.8097165991903"/>
    <col collapsed="false" hidden="false" max="33" min="33" style="0" width="43.8097165991903"/>
    <col collapsed="false" hidden="false" max="34" min="34" style="0" width="66.9473684210526"/>
    <col collapsed="false" hidden="false" max="35" min="35" style="0" width="72.9473684210526"/>
    <col collapsed="false" hidden="false" max="36" min="36" style="0" width="65.4493927125506"/>
    <col collapsed="false" hidden="false" max="37" min="37" style="0" width="58.165991902834"/>
    <col collapsed="false" hidden="false" max="38" min="38" style="0" width="65.9838056680162"/>
    <col collapsed="false" hidden="false" max="39" min="39" style="0" width="60.6275303643725"/>
    <col collapsed="false" hidden="false" max="40" min="40" style="0" width="73.6963562753036"/>
    <col collapsed="false" hidden="false" max="41" min="41" style="0" width="61.914979757085"/>
    <col collapsed="false" hidden="false" max="42" min="42" style="0" width="53.7732793522267"/>
    <col collapsed="false" hidden="false" max="43" min="43" style="0" width="53.3441295546559"/>
    <col collapsed="false" hidden="false" max="44" min="44" style="0" width="56.7732793522267"/>
    <col collapsed="false" hidden="false" max="45" min="45" style="0" width="40.8137651821862"/>
    <col collapsed="false" hidden="false" max="46" min="46" style="0" width="35.6720647773279"/>
    <col collapsed="false" hidden="false" max="47" min="47" style="0" width="40.7044534412955"/>
    <col collapsed="false" hidden="false" max="48" min="48" style="0" width="6.42914979757085"/>
    <col collapsed="false" hidden="false" max="49" min="49" style="0" width="10.0688259109312"/>
    <col collapsed="false" hidden="false" max="1025" min="50" style="0" width="10.7125506072875"/>
  </cols>
  <sheetData>
    <row r="1" customFormat="false" ht="15" hidden="false" customHeight="false" outlineLevel="0" collapsed="false">
      <c r="A1" s="2" t="s">
        <v>0</v>
      </c>
      <c r="B1" s="3" t="s">
        <v>1</v>
      </c>
      <c r="C1" s="0"/>
      <c r="D1" s="0"/>
      <c r="E1" s="0"/>
      <c r="F1" s="0"/>
    </row>
    <row r="2" customFormat="false" ht="15" hidden="false" customHeight="false" outlineLevel="0" collapsed="false">
      <c r="B2" s="0"/>
      <c r="C2" s="0"/>
      <c r="D2" s="0"/>
      <c r="E2" s="0"/>
      <c r="F2" s="0"/>
    </row>
    <row r="3" customFormat="false" ht="15" hidden="false" customHeight="false" outlineLevel="0" collapsed="false">
      <c r="A3" s="4" t="s">
        <v>2</v>
      </c>
      <c r="B3" s="5"/>
      <c r="C3" s="0"/>
      <c r="D3" s="0"/>
      <c r="E3" s="0"/>
      <c r="F3" s="0"/>
    </row>
    <row r="4" customFormat="false" ht="15" hidden="false" customHeight="false" outlineLevel="0" collapsed="false">
      <c r="A4" s="6"/>
      <c r="B4" s="7"/>
      <c r="C4" s="0"/>
      <c r="D4" s="0"/>
      <c r="E4" s="0"/>
      <c r="F4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002060"/>
    <pageSetUpPr fitToPage="false"/>
  </sheetPr>
  <dimension ref="A1:S14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2" ySplit="14" topLeftCell="C15" activePane="bottomRight" state="frozen"/>
      <selection pane="topLeft" activeCell="A1" activeCellId="0" sqref="A1"/>
      <selection pane="topRight" activeCell="C1" activeCellId="0" sqref="C1"/>
      <selection pane="bottomLeft" activeCell="A15" activeCellId="0" sqref="A15"/>
      <selection pane="bottomRight" activeCell="A1" activeCellId="0" sqref="A1"/>
    </sheetView>
  </sheetViews>
  <sheetFormatPr defaultRowHeight="15"/>
  <cols>
    <col collapsed="false" hidden="false" max="1" min="1" style="0" width="56.0242914979757"/>
    <col collapsed="false" hidden="false" max="2" min="2" style="0" width="23.1376518218623"/>
    <col collapsed="false" hidden="false" max="3" min="3" style="1" width="9.31983805668016"/>
    <col collapsed="false" hidden="false" max="4" min="4" style="1" width="10.0688259109312"/>
    <col collapsed="false" hidden="false" max="5" min="5" style="1" width="9.31983805668016"/>
    <col collapsed="false" hidden="false" max="7" min="6" style="0" width="8.1417004048583"/>
    <col collapsed="false" hidden="false" max="9" min="8" style="0" width="8.35627530364373"/>
    <col collapsed="false" hidden="false" max="10" min="10" style="0" width="7.71255060728745"/>
    <col collapsed="false" hidden="false" max="12" min="11" style="0" width="6.96356275303644"/>
    <col collapsed="false" hidden="false" max="13" min="13" style="0" width="6.10526315789474"/>
    <col collapsed="false" hidden="false" max="14" min="14" style="0" width="6.63967611336032"/>
    <col collapsed="false" hidden="false" max="15" min="15" style="0" width="10.7125506072875"/>
    <col collapsed="false" hidden="false" max="16" min="16" style="0" width="7.17813765182186"/>
    <col collapsed="false" hidden="false" max="17" min="17" style="0" width="8.57085020242915"/>
    <col collapsed="false" hidden="false" max="18" min="18" style="0" width="12.5344129554656"/>
    <col collapsed="false" hidden="false" max="19" min="19" style="0" width="8.57085020242915"/>
    <col collapsed="false" hidden="false" max="1025" min="20" style="0" width="53.8825910931174"/>
  </cols>
  <sheetData>
    <row r="1" customFormat="false" ht="15" hidden="false" customHeight="false" outlineLevel="0" collapsed="false">
      <c r="A1" s="8"/>
      <c r="B1" s="9"/>
      <c r="C1" s="0"/>
      <c r="D1" s="0"/>
      <c r="E1" s="10"/>
      <c r="Q1" s="11" t="s">
        <v>3</v>
      </c>
    </row>
    <row r="2" customFormat="false" ht="15" hidden="false" customHeight="false" outlineLevel="0" collapsed="false">
      <c r="A2" s="8"/>
      <c r="B2" s="8"/>
      <c r="C2" s="0"/>
      <c r="D2" s="0"/>
      <c r="E2" s="0"/>
      <c r="N2" s="11" t="s">
        <v>4</v>
      </c>
      <c r="O2" s="12" t="n">
        <v>42835</v>
      </c>
      <c r="Q2" s="13" t="n">
        <f aca="false">(O4-O2-1)/(O3-O2)</f>
        <v>1.97435897435897</v>
      </c>
    </row>
    <row r="3" customFormat="false" ht="15" hidden="false" customHeight="false" outlineLevel="0" collapsed="false">
      <c r="A3" s="2" t="s">
        <v>0</v>
      </c>
      <c r="B3" s="3" t="s">
        <v>1</v>
      </c>
      <c r="C3" s="0"/>
      <c r="D3" s="0"/>
      <c r="E3" s="0"/>
      <c r="F3" s="1"/>
      <c r="G3" s="1"/>
      <c r="H3" s="1"/>
      <c r="I3" s="1"/>
      <c r="N3" s="11" t="s">
        <v>5</v>
      </c>
      <c r="O3" s="12" t="n">
        <v>42874</v>
      </c>
    </row>
    <row r="4" customFormat="false" ht="15" hidden="false" customHeight="false" outlineLevel="0" collapsed="false">
      <c r="C4" s="0"/>
      <c r="D4" s="0"/>
      <c r="E4" s="0"/>
      <c r="F4" s="1"/>
      <c r="G4" s="1"/>
      <c r="H4" s="1"/>
      <c r="I4" s="1"/>
      <c r="N4" s="11" t="s">
        <v>6</v>
      </c>
      <c r="O4" s="12" t="n">
        <f aca="true">TODAY()</f>
        <v>42913</v>
      </c>
    </row>
    <row r="5" s="14" customFormat="true" ht="15" hidden="false" customHeight="false" outlineLevel="0" collapsed="false">
      <c r="A5" s="4" t="s">
        <v>2</v>
      </c>
      <c r="B5" s="5"/>
    </row>
    <row r="6" s="15" customFormat="true" ht="15" hidden="false" customHeight="false" outlineLevel="0" collapsed="false">
      <c r="A6" s="6"/>
      <c r="B6" s="7"/>
      <c r="E6" s="16"/>
      <c r="F6" s="1"/>
      <c r="G6" s="1"/>
      <c r="H6" s="1"/>
    </row>
    <row r="7" customFormat="false" ht="15" hidden="false" customHeight="false" outlineLevel="0" collapsed="false">
      <c r="A7" s="17" t="s">
        <v>7</v>
      </c>
      <c r="B7" s="0" t="s">
        <v>8</v>
      </c>
      <c r="C7" s="0"/>
      <c r="D7" s="0"/>
      <c r="E7" s="0"/>
      <c r="F7" s="1"/>
      <c r="G7" s="1"/>
      <c r="H7" s="1"/>
      <c r="I7" s="1"/>
    </row>
    <row r="8" customFormat="false" ht="15" hidden="false" customHeight="false" outlineLevel="0" collapsed="false">
      <c r="A8" s="17" t="s">
        <v>9</v>
      </c>
      <c r="B8" s="0" t="s">
        <v>8</v>
      </c>
      <c r="C8" s="0"/>
      <c r="D8" s="0"/>
      <c r="E8" s="0"/>
    </row>
    <row r="9" customFormat="false" ht="15" hidden="false" customHeight="false" outlineLevel="0" collapsed="false">
      <c r="A9" s="17" t="s">
        <v>10</v>
      </c>
      <c r="B9" s="0" t="s">
        <v>8</v>
      </c>
      <c r="C9" s="0"/>
      <c r="D9" s="0"/>
      <c r="E9" s="0"/>
    </row>
    <row r="10" customFormat="false" ht="15" hidden="false" customHeight="false" outlineLevel="0" collapsed="false">
      <c r="A10" s="17" t="s">
        <v>11</v>
      </c>
      <c r="B10" s="0" t="s">
        <v>8</v>
      </c>
      <c r="C10" s="0"/>
      <c r="D10" s="0"/>
      <c r="E10" s="0"/>
    </row>
    <row r="11" customFormat="false" ht="15" hidden="false" customHeight="false" outlineLevel="0" collapsed="false">
      <c r="A11" s="17" t="s">
        <v>12</v>
      </c>
      <c r="B11" s="0" t="s">
        <v>8</v>
      </c>
      <c r="C11" s="0"/>
      <c r="D11" s="0"/>
      <c r="E11" s="0"/>
    </row>
    <row r="12" customFormat="false" ht="15" hidden="false" customHeight="false" outlineLevel="0" collapsed="false">
      <c r="A12" s="17" t="s">
        <v>13</v>
      </c>
      <c r="B12" s="0" t="s">
        <v>8</v>
      </c>
      <c r="C12" s="0"/>
      <c r="D12" s="0"/>
      <c r="E12" s="0"/>
    </row>
    <row r="13" s="18" customFormat="true" ht="15.75" hidden="false" customHeight="false" outlineLevel="0" collapsed="false">
      <c r="C13" s="19" t="s">
        <v>14</v>
      </c>
      <c r="D13" s="19"/>
      <c r="E13" s="19"/>
      <c r="F13" s="19" t="s">
        <v>15</v>
      </c>
      <c r="G13" s="19"/>
      <c r="H13" s="19"/>
      <c r="I13" s="19"/>
      <c r="J13" s="19" t="s">
        <v>16</v>
      </c>
      <c r="K13" s="19"/>
      <c r="L13" s="19"/>
      <c r="M13" s="20" t="s">
        <v>17</v>
      </c>
      <c r="N13" s="20"/>
      <c r="O13" s="20"/>
      <c r="P13" s="20"/>
      <c r="Q13" s="20"/>
      <c r="R13" s="21" t="s">
        <v>18</v>
      </c>
      <c r="S13" s="21"/>
    </row>
    <row r="14" customFormat="false" ht="30" hidden="false" customHeight="false" outlineLevel="0" collapsed="false"/>
  </sheetData>
  <mergeCells count="5">
    <mergeCell ref="C13:E13"/>
    <mergeCell ref="F13:I13"/>
    <mergeCell ref="J13:L13"/>
    <mergeCell ref="M13:Q13"/>
    <mergeCell ref="R13:S1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002060"/>
    <pageSetUpPr fitToPage="false"/>
  </sheetPr>
  <dimension ref="A1:W1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5.2105263157895"/>
    <col collapsed="false" hidden="false" max="2" min="2" style="0" width="30.8502024291498"/>
    <col collapsed="false" hidden="false" max="3" min="3" style="0" width="12.9595141700405"/>
    <col collapsed="false" hidden="false" max="4" min="4" style="0" width="12.5344129554656"/>
    <col collapsed="false" hidden="false" max="5" min="5" style="0" width="10.9271255060729"/>
    <col collapsed="false" hidden="false" max="6" min="6" style="0" width="8.1417004048583"/>
    <col collapsed="false" hidden="false" max="8" min="7" style="0" width="8.89068825910931"/>
    <col collapsed="false" hidden="false" max="9" min="9" style="0" width="34.8137651821862"/>
    <col collapsed="false" hidden="false" max="10" min="10" style="0" width="8.67611336032389"/>
    <col collapsed="false" hidden="false" max="11" min="11" style="12" width="12.748987854251"/>
    <col collapsed="false" hidden="false" max="12" min="12" style="0" width="10.0688259109312"/>
    <col collapsed="false" hidden="false" max="13" min="13" style="12" width="5.67611336032389"/>
    <col collapsed="false" hidden="false" max="15" min="14" style="22" width="35.9919028340081"/>
    <col collapsed="false" hidden="false" max="16" min="16" style="0" width="15.7449392712551"/>
    <col collapsed="false" hidden="false" max="17" min="17" style="0" width="9.10526315789474"/>
    <col collapsed="false" hidden="false" max="18" min="18" style="23" width="6.96356275303644"/>
    <col collapsed="false" hidden="false" max="19" min="19" style="0" width="8.1417004048583"/>
    <col collapsed="false" hidden="false" max="20" min="20" style="0" width="11.1417004048583"/>
    <col collapsed="false" hidden="false" max="21" min="21" style="0" width="8.89068825910931"/>
    <col collapsed="false" hidden="false" max="22" min="22" style="0" width="13.3886639676113"/>
    <col collapsed="false" hidden="false" max="23" min="23" style="0" width="12.2105263157895"/>
    <col collapsed="false" hidden="false" max="40" min="24" style="0" width="11.0323886639676"/>
    <col collapsed="false" hidden="false" max="41" min="41" style="0" width="6.63967611336032"/>
    <col collapsed="false" hidden="false" max="42" min="42" style="0" width="8.67611336032389"/>
    <col collapsed="false" hidden="false" max="43" min="43" style="0" width="8.35627530364373"/>
    <col collapsed="false" hidden="false" max="44" min="44" style="0" width="9.4251012145749"/>
    <col collapsed="false" hidden="false" max="1025" min="45" style="0" width="8.67611336032389"/>
  </cols>
  <sheetData>
    <row r="1" customFormat="false" ht="15" hidden="false" customHeight="false" outlineLevel="0" collapsed="false">
      <c r="A1" s="24" t="s">
        <v>19</v>
      </c>
      <c r="B1" s="25" t="n">
        <v>0.2</v>
      </c>
      <c r="K1" s="26" t="s">
        <v>20</v>
      </c>
      <c r="L1" s="27" t="s">
        <v>21</v>
      </c>
      <c r="M1" s="0"/>
      <c r="N1" s="28" t="s">
        <v>22</v>
      </c>
      <c r="O1" s="28" t="s">
        <v>23</v>
      </c>
      <c r="P1" s="0" t="s">
        <v>24</v>
      </c>
      <c r="R1" s="0"/>
      <c r="T1" s="0" t="s">
        <v>25</v>
      </c>
      <c r="U1" s="0" t="s">
        <v>26</v>
      </c>
      <c r="V1" s="0" t="s">
        <v>27</v>
      </c>
      <c r="W1" s="0" t="s">
        <v>28</v>
      </c>
    </row>
    <row r="2" customFormat="false" ht="15" hidden="false" customHeight="false" outlineLevel="0" collapsed="false">
      <c r="A2" s="16" t="s">
        <v>29</v>
      </c>
      <c r="B2" s="29" t="n">
        <f aca="true">TODAY()</f>
        <v>42913</v>
      </c>
      <c r="K2" s="30"/>
      <c r="L2" s="31"/>
      <c r="M2" s="0"/>
      <c r="N2" s="32" t="n">
        <v>42874</v>
      </c>
      <c r="O2" s="32" t="n">
        <f aca="false">Releases[[#This Row],[Release Date]]-WEEKDAY(Releases[[#This Row],[Release Date]],3)</f>
        <v>42870</v>
      </c>
      <c r="P2" s="33" t="s">
        <v>30</v>
      </c>
      <c r="R2" s="0"/>
      <c r="T2" s="0" t="s">
        <v>31</v>
      </c>
      <c r="U2" s="0" t="s">
        <v>32</v>
      </c>
      <c r="V2" s="12" t="n">
        <v>42915</v>
      </c>
      <c r="W2" s="0" t="n">
        <v>0.251063829787233</v>
      </c>
    </row>
    <row r="3" customFormat="false" ht="15" hidden="false" customHeight="false" outlineLevel="0" collapsed="false">
      <c r="A3" s="34" t="s">
        <v>33</v>
      </c>
      <c r="B3" s="35" t="n">
        <f aca="false">COUNTA(Holydays[Holyday])</f>
        <v>0</v>
      </c>
      <c r="K3" s="36"/>
      <c r="L3" s="37"/>
      <c r="M3" s="0"/>
      <c r="N3" s="32"/>
      <c r="O3" s="32"/>
      <c r="P3" s="33"/>
      <c r="R3" s="0"/>
      <c r="T3" s="0" t="s">
        <v>34</v>
      </c>
      <c r="U3" s="0" t="s">
        <v>35</v>
      </c>
      <c r="V3" s="12" t="n">
        <v>42914</v>
      </c>
      <c r="W3" s="0" t="n">
        <v>0.485106382978723</v>
      </c>
    </row>
    <row r="4" customFormat="false" ht="15" hidden="false" customHeight="false" outlineLevel="0" collapsed="false">
      <c r="A4" s="16" t="s">
        <v>36</v>
      </c>
      <c r="B4" s="38" t="n">
        <f aca="false">Timeline[[#Totals],[Working Days]]</f>
        <v>0</v>
      </c>
      <c r="K4" s="39"/>
      <c r="L4" s="40"/>
      <c r="M4" s="0"/>
      <c r="N4" s="32"/>
      <c r="O4" s="32"/>
      <c r="P4" s="33"/>
      <c r="R4" s="0"/>
      <c r="T4" s="0" t="s">
        <v>37</v>
      </c>
      <c r="U4" s="0" t="s">
        <v>35</v>
      </c>
      <c r="V4" s="12" t="n">
        <v>42914</v>
      </c>
      <c r="W4" s="0" t="n">
        <v>0.561702127659574</v>
      </c>
    </row>
    <row r="5" customFormat="false" ht="15" hidden="false" customHeight="false" outlineLevel="0" collapsed="false">
      <c r="A5" s="16" t="s">
        <v>38</v>
      </c>
      <c r="B5" s="29" t="n">
        <f aca="false">Timeline[[#Totals],[Last Day of Work]]</f>
        <v>42913</v>
      </c>
      <c r="K5" s="41"/>
      <c r="L5" s="42"/>
      <c r="M5" s="0"/>
      <c r="N5" s="32"/>
      <c r="O5" s="32"/>
      <c r="P5" s="33"/>
      <c r="R5" s="0"/>
    </row>
    <row r="6" customFormat="false" ht="15" hidden="false" customHeight="false" outlineLevel="0" collapsed="false">
      <c r="A6" s="16" t="s">
        <v>39</v>
      </c>
      <c r="B6" s="43" t="n">
        <f aca="false">(B5-B2)/30</f>
        <v>0</v>
      </c>
      <c r="K6" s="44"/>
      <c r="L6" s="16"/>
      <c r="M6" s="0"/>
      <c r="N6" s="32"/>
      <c r="O6" s="32"/>
      <c r="P6" s="33"/>
      <c r="R6" s="0"/>
    </row>
    <row r="7" customFormat="false" ht="15" hidden="false" customHeight="false" outlineLevel="0" collapsed="false">
      <c r="K7" s="0"/>
      <c r="M7" s="0"/>
      <c r="N7" s="32"/>
      <c r="O7" s="32"/>
      <c r="P7" s="33"/>
      <c r="R7" s="0"/>
    </row>
    <row r="8" customFormat="false" ht="15" hidden="false" customHeight="false" outlineLevel="0" collapsed="false">
      <c r="A8" s="45"/>
      <c r="B8" s="45"/>
      <c r="C8" s="45"/>
      <c r="D8" s="45"/>
      <c r="E8" s="46" t="n">
        <f aca="false">SUM(Activities!L:L)-Timeline[[#Totals],[Cycle Hours  on Backlog]]</f>
        <v>75.3191489361702</v>
      </c>
      <c r="F8" s="46"/>
      <c r="G8" s="46" t="n">
        <f aca="false">Timeline[[#Totals],[Total]]-SUM(Activities!N:N)</f>
        <v>-90.3829787234043</v>
      </c>
      <c r="H8" s="46"/>
      <c r="I8" s="47"/>
      <c r="J8" s="42"/>
      <c r="K8" s="0"/>
      <c r="M8" s="0"/>
      <c r="N8" s="32"/>
      <c r="O8" s="32"/>
      <c r="P8" s="33"/>
      <c r="R8" s="0"/>
    </row>
    <row r="9" s="15" customFormat="true" ht="45" hidden="false" customHeight="false" outlineLevel="0" collapsed="false">
      <c r="A9" s="48" t="s">
        <v>26</v>
      </c>
      <c r="B9" s="48" t="s">
        <v>40</v>
      </c>
      <c r="C9" s="48" t="s">
        <v>41</v>
      </c>
      <c r="D9" s="48" t="s">
        <v>42</v>
      </c>
      <c r="E9" s="48" t="s">
        <v>43</v>
      </c>
      <c r="F9" s="48" t="s">
        <v>19</v>
      </c>
      <c r="G9" s="48" t="s">
        <v>44</v>
      </c>
      <c r="H9" s="48" t="s">
        <v>45</v>
      </c>
      <c r="I9" s="48" t="s">
        <v>46</v>
      </c>
      <c r="J9" s="49"/>
      <c r="K9" s="50"/>
      <c r="L9" s="50"/>
      <c r="M9" s="51"/>
      <c r="N9" s="32"/>
      <c r="O9" s="32"/>
      <c r="P9" s="52"/>
      <c r="R9" s="53"/>
    </row>
    <row r="10" customFormat="false" ht="15" hidden="false" customHeight="false" outlineLevel="0" collapsed="false">
      <c r="A10" s="0" t="s">
        <v>32</v>
      </c>
      <c r="B10" s="54" t="n">
        <v>1</v>
      </c>
      <c r="C10" s="54" t="n">
        <v>8</v>
      </c>
      <c r="D10" s="54" t="n">
        <f aca="false">B10*C10</f>
        <v>8</v>
      </c>
      <c r="E10" s="54" t="n">
        <f aca="false">SUMIFS(IssueTypeVsRoleMapping[Cycle on Backlog],IssueTypeVsRoleMapping[Role],Timeline[[#This Row],[Role]])</f>
        <v>0</v>
      </c>
      <c r="F10" s="54" t="n">
        <f aca="false">Timeline[[#This Row],[Cycle Hours  on Backlog]]*$B$1</f>
        <v>0</v>
      </c>
      <c r="G10" s="54" t="n">
        <f aca="false">Timeline[[#This Row],[Cycle Hours  on Backlog]]+Timeline[[#This Row],[Risk]]</f>
        <v>0</v>
      </c>
      <c r="H10" s="54" t="n">
        <f aca="false">IF(D10=0,0,G10/D10)</f>
        <v>0</v>
      </c>
      <c r="I10" s="30" t="n">
        <f aca="false">IF(Timeline[[#This Row],[People]]&lt;=0,"",WORKDAY($B$2,Timeline[[#This Row],[Working Days]],Holydays[Holyday]))</f>
        <v>42913</v>
      </c>
      <c r="J10" s="42"/>
      <c r="K10" s="0"/>
      <c r="M10" s="0"/>
      <c r="N10" s="32"/>
      <c r="O10" s="32"/>
      <c r="P10" s="33"/>
      <c r="R10" s="0"/>
    </row>
    <row r="11" customFormat="false" ht="15" hidden="false" customHeight="false" outlineLevel="0" collapsed="false">
      <c r="A11" s="0" t="s">
        <v>35</v>
      </c>
      <c r="B11" s="54" t="n">
        <v>2.5</v>
      </c>
      <c r="C11" s="54" t="n">
        <v>8</v>
      </c>
      <c r="D11" s="54" t="n">
        <f aca="false">B11*C11</f>
        <v>20</v>
      </c>
      <c r="E11" s="54" t="n">
        <f aca="false">SUMIFS(IssueTypeVsRoleMapping[Cycle on Backlog],IssueTypeVsRoleMapping[Role],Timeline[[#This Row],[Role]])</f>
        <v>0</v>
      </c>
      <c r="F11" s="54" t="n">
        <f aca="false">Timeline[[#This Row],[Cycle Hours  on Backlog]]*$B$1</f>
        <v>0</v>
      </c>
      <c r="G11" s="54" t="n">
        <f aca="false">Timeline[[#This Row],[Cycle Hours  on Backlog]]+Timeline[[#This Row],[Risk]]</f>
        <v>0</v>
      </c>
      <c r="H11" s="54" t="n">
        <f aca="false">IF(D11=0,0,G11/D11)</f>
        <v>0</v>
      </c>
      <c r="I11" s="30" t="n">
        <f aca="false">IF(Timeline[[#This Row],[People]]&lt;=0,"",WORKDAY($B$2,Timeline[[#This Row],[Working Days]],Holydays[Holyday]))</f>
        <v>42913</v>
      </c>
      <c r="J11" s="42"/>
      <c r="K11" s="0"/>
      <c r="M11" s="0"/>
      <c r="N11" s="0"/>
      <c r="O11" s="0"/>
      <c r="R11" s="0"/>
    </row>
    <row r="12" customFormat="false" ht="15" hidden="false" customHeight="false" outlineLevel="0" collapsed="false">
      <c r="B12" s="54"/>
      <c r="C12" s="54"/>
      <c r="D12" s="54" t="n">
        <f aca="false">B12*C12</f>
        <v>0</v>
      </c>
      <c r="E12" s="54" t="n">
        <f aca="false">SUMIFS(IssueTypeVsRoleMapping[Cycle on Backlog],IssueTypeVsRoleMapping[Role],Timeline[[#This Row],[Role]])</f>
        <v>0</v>
      </c>
      <c r="F12" s="54" t="n">
        <f aca="false">Timeline[[#This Row],[Cycle Hours  on Backlog]]*$B$1</f>
        <v>0</v>
      </c>
      <c r="G12" s="54" t="n">
        <f aca="false">Timeline[[#This Row],[Cycle Hours  on Backlog]]+Timeline[[#This Row],[Risk]]</f>
        <v>0</v>
      </c>
      <c r="H12" s="54" t="n">
        <f aca="false">IF(D12=0,0,G12/D12)</f>
        <v>0</v>
      </c>
      <c r="I12" s="30" t="str">
        <f aca="false">IF(Timeline[[#This Row],[People]]&lt;=0,"",WORKDAY($B$2,Timeline[[#This Row],[Working Days]],Holydays[Holyday]))</f>
        <v/>
      </c>
      <c r="J12" s="42"/>
      <c r="K12" s="0"/>
      <c r="M12" s="0"/>
      <c r="N12" s="0"/>
      <c r="O12" s="0"/>
      <c r="R12" s="0"/>
    </row>
    <row r="13" customFormat="false" ht="15" hidden="false" customHeight="false" outlineLevel="0" collapsed="false">
      <c r="B13" s="54"/>
      <c r="C13" s="54"/>
      <c r="D13" s="54" t="n">
        <f aca="false">B13*C13</f>
        <v>0</v>
      </c>
      <c r="E13" s="54" t="n">
        <f aca="false">SUMIFS(IssueTypeVsRoleMapping[Cycle on Backlog],IssueTypeVsRoleMapping[Role],Timeline[[#This Row],[Role]])</f>
        <v>0</v>
      </c>
      <c r="F13" s="54" t="n">
        <f aca="false">Timeline[[#This Row],[Cycle Hours  on Backlog]]*$B$1</f>
        <v>0</v>
      </c>
      <c r="G13" s="54" t="n">
        <f aca="false">Timeline[[#This Row],[Cycle Hours  on Backlog]]+Timeline[[#This Row],[Risk]]</f>
        <v>0</v>
      </c>
      <c r="H13" s="54" t="n">
        <f aca="false">IF(D13=0,0,G13/D13)</f>
        <v>0</v>
      </c>
      <c r="I13" s="30" t="str">
        <f aca="false">IF(Timeline[[#This Row],[People]]&lt;=0,"",WORKDAY($B$2,Timeline[[#This Row],[Working Days]],Holydays[Holyday]))</f>
        <v/>
      </c>
      <c r="J13" s="42"/>
      <c r="K13" s="0"/>
      <c r="M13" s="0"/>
      <c r="N13" s="0"/>
      <c r="O13" s="0"/>
      <c r="R13" s="0"/>
    </row>
    <row r="14" customFormat="false" ht="15" hidden="false" customHeight="false" outlineLevel="0" collapsed="false">
      <c r="B14" s="54"/>
      <c r="C14" s="54"/>
      <c r="D14" s="54" t="n">
        <f aca="false">B14*C14</f>
        <v>0</v>
      </c>
      <c r="E14" s="54" t="n">
        <f aca="false">SUMIFS(IssueTypeVsRoleMapping[Cycle on Backlog],IssueTypeVsRoleMapping[Role],Timeline[[#This Row],[Role]])</f>
        <v>0</v>
      </c>
      <c r="F14" s="54" t="n">
        <f aca="false">Timeline[[#This Row],[Cycle Hours  on Backlog]]*$B$1</f>
        <v>0</v>
      </c>
      <c r="G14" s="54" t="n">
        <f aca="false">Timeline[[#This Row],[Cycle Hours  on Backlog]]+Timeline[[#This Row],[Risk]]</f>
        <v>0</v>
      </c>
      <c r="H14" s="54" t="n">
        <f aca="false">IF(D14=0,0,G14/D14)</f>
        <v>0</v>
      </c>
      <c r="I14" s="30" t="str">
        <f aca="false">IF(Timeline[[#This Row],[People]]&lt;=0,"",WORKDAY($B$2,Timeline[[#This Row],[Working Days]],Holydays[Holyday]))</f>
        <v/>
      </c>
      <c r="J14" s="42"/>
      <c r="K14" s="0"/>
      <c r="M14" s="0"/>
      <c r="N14" s="0"/>
      <c r="O14" s="0"/>
      <c r="R14" s="0"/>
    </row>
    <row r="15" customFormat="false" ht="15" hidden="false" customHeight="false" outlineLevel="0" collapsed="false">
      <c r="B15" s="54"/>
      <c r="C15" s="54"/>
      <c r="D15" s="54" t="n">
        <f aca="false">B15*C15</f>
        <v>0</v>
      </c>
      <c r="E15" s="54" t="n">
        <f aca="false">SUMIFS(IssueTypeVsRoleMapping[Cycle on Backlog],IssueTypeVsRoleMapping[Role],Timeline[[#This Row],[Role]])</f>
        <v>0</v>
      </c>
      <c r="F15" s="54" t="n">
        <f aca="false">Timeline[[#This Row],[Cycle Hours  on Backlog]]*$B$1</f>
        <v>0</v>
      </c>
      <c r="G15" s="54" t="n">
        <f aca="false">Timeline[[#This Row],[Cycle Hours  on Backlog]]+Timeline[[#This Row],[Risk]]</f>
        <v>0</v>
      </c>
      <c r="H15" s="54" t="n">
        <f aca="false">IF(D15=0,0,G15/D15)</f>
        <v>0</v>
      </c>
      <c r="I15" s="30" t="str">
        <f aca="false">IF(Timeline[[#This Row],[People]]&lt;=0,"",WORKDAY($B$2,Timeline[[#This Row],[Working Days]],Holydays[Holyday]))</f>
        <v/>
      </c>
      <c r="J15" s="42"/>
      <c r="K15" s="0"/>
      <c r="M15" s="0"/>
      <c r="N15" s="0"/>
      <c r="O15" s="0"/>
      <c r="R15" s="0"/>
    </row>
    <row r="16" customFormat="false" ht="15" hidden="false" customHeight="false" outlineLevel="0" collapsed="false">
      <c r="A16" s="0" t="s">
        <v>47</v>
      </c>
      <c r="B16" s="55" t="n">
        <f aca="false">SUBTOTAL(109,Timeline[People])</f>
        <v>3.5</v>
      </c>
      <c r="C16" s="55"/>
      <c r="D16" s="55" t="n">
        <f aca="false">SUBTOTAL(109,Timeline[Team Daily Capability])</f>
        <v>28</v>
      </c>
      <c r="E16" s="55" t="n">
        <f aca="false">SUBTOTAL(109,Timeline[Cycle Hours  on Backlog])</f>
        <v>0</v>
      </c>
      <c r="F16" s="55" t="n">
        <f aca="false">SUBTOTAL(109,Timeline[Risk])</f>
        <v>0</v>
      </c>
      <c r="G16" s="55" t="n">
        <f aca="false">SUBTOTAL(109,Timeline[Total])</f>
        <v>0</v>
      </c>
      <c r="H16" s="55" t="n">
        <f aca="false">SUBTOTAL(104,Timeline[Working Days])</f>
        <v>0</v>
      </c>
      <c r="I16" s="30" t="n">
        <f aca="false">SUBTOTAL(104,Timeline[Last Day of Work])</f>
        <v>42913</v>
      </c>
      <c r="J16" s="16"/>
      <c r="K16" s="0"/>
      <c r="M16" s="0"/>
      <c r="N16" s="0"/>
      <c r="O16" s="0"/>
      <c r="R16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203864"/>
    <pageSetUpPr fitToPage="false"/>
  </sheetPr>
  <dimension ref="A1:J6553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A1" activeCellId="0" sqref="A1"/>
    </sheetView>
  </sheetViews>
  <sheetFormatPr defaultRowHeight="65.25"/>
  <cols>
    <col collapsed="false" hidden="false" max="1" min="1" style="0" width="68.0202429149798"/>
    <col collapsed="false" hidden="false" max="2" min="2" style="0" width="18.6396761133603"/>
    <col collapsed="false" hidden="false" max="4" min="3" style="0" width="6.96356275303644"/>
    <col collapsed="false" hidden="false" max="5" min="5" style="0" width="9.63967611336032"/>
    <col collapsed="false" hidden="false" max="6" min="6" style="0" width="7.92712550607287"/>
    <col collapsed="false" hidden="false" max="9" min="7" style="0" width="9.63967611336032"/>
    <col collapsed="false" hidden="false" max="10" min="10" style="0" width="5.89068825910931"/>
    <col collapsed="false" hidden="false" max="13" min="11" style="0" width="6.96356275303644"/>
    <col collapsed="false" hidden="false" max="14" min="14" style="0" width="5.35627530364372"/>
    <col collapsed="false" hidden="false" max="19" min="15" style="0" width="6.31983805668016"/>
    <col collapsed="false" hidden="false" max="22" min="20" style="0" width="7.39271255060729"/>
    <col collapsed="false" hidden="false" max="23" min="23" style="0" width="6.10526315789474"/>
    <col collapsed="false" hidden="false" max="26" min="24" style="0" width="7.39271255060729"/>
    <col collapsed="false" hidden="false" max="28" min="27" style="0" width="6"/>
    <col collapsed="false" hidden="false" max="31" min="29" style="0" width="7.17813765182186"/>
    <col collapsed="false" hidden="false" max="32" min="32" style="0" width="6.31983805668016"/>
    <col collapsed="false" hidden="false" max="34" min="33" style="0" width="7.49797570850202"/>
    <col collapsed="false" hidden="false" max="35" min="35" style="0" width="9.63967611336032"/>
    <col collapsed="false" hidden="false" max="36" min="36" style="0" width="7.39271255060729"/>
    <col collapsed="false" hidden="false" max="38" min="37" style="0" width="6"/>
    <col collapsed="false" hidden="false" max="41" min="39" style="0" width="7.17813765182186"/>
    <col collapsed="false" hidden="false" max="42" min="42" style="0" width="6.31983805668016"/>
    <col collapsed="false" hidden="false" max="45" min="43" style="0" width="7.49797570850202"/>
    <col collapsed="false" hidden="false" max="46" min="46" style="0" width="6.31983805668016"/>
    <col collapsed="false" hidden="false" max="47" min="47" style="0" width="7.39271255060729"/>
    <col collapsed="false" hidden="false" max="48" min="48" style="0" width="9.63967611336032"/>
    <col collapsed="false" hidden="false" max="72" min="49" style="0" width="6.31983805668016"/>
    <col collapsed="false" hidden="false" max="1025" min="73" style="0" width="8.89068825910931"/>
  </cols>
  <sheetData>
    <row r="1" customFormat="false" ht="15" hidden="false" customHeight="false" outlineLevel="0" collapsed="false">
      <c r="A1" s="2" t="s">
        <v>48</v>
      </c>
      <c r="B1" s="3" t="s">
        <v>1</v>
      </c>
    </row>
    <row r="2" customFormat="false" ht="15" hidden="false" customHeight="false" outlineLevel="0" collapsed="false">
      <c r="A2" s="2" t="s">
        <v>26</v>
      </c>
      <c r="B2" s="3" t="s">
        <v>1</v>
      </c>
      <c r="J2" s="56"/>
    </row>
    <row r="3" s="57" customFormat="true" ht="15" hidden="false" customHeight="false" outlineLevel="0" collapsed="false">
      <c r="A3" s="2" t="s">
        <v>49</v>
      </c>
      <c r="B3" s="3" t="s">
        <v>1</v>
      </c>
      <c r="C3" s="0"/>
      <c r="D3" s="0"/>
      <c r="E3" s="0"/>
      <c r="F3" s="0"/>
      <c r="G3" s="0"/>
      <c r="H3" s="0"/>
      <c r="I3" s="0"/>
    </row>
    <row r="5" customFormat="false" ht="15" hidden="false" customHeight="false" outlineLevel="0" collapsed="false">
      <c r="A5" s="58" t="s">
        <v>50</v>
      </c>
      <c r="B5" s="59"/>
      <c r="C5" s="59"/>
      <c r="D5" s="59"/>
      <c r="E5" s="60"/>
      <c r="F5" s="61" t="s">
        <v>23</v>
      </c>
      <c r="G5" s="62"/>
      <c r="H5" s="62"/>
      <c r="I5" s="5"/>
    </row>
    <row r="6" s="68" customFormat="true" ht="15" hidden="false" customHeight="false" outlineLevel="0" collapsed="false">
      <c r="A6" s="63" t="s">
        <v>51</v>
      </c>
      <c r="B6" s="64" t="s">
        <v>52</v>
      </c>
      <c r="C6" s="64" t="s">
        <v>53</v>
      </c>
      <c r="D6" s="64" t="s">
        <v>54</v>
      </c>
      <c r="E6" s="64" t="s">
        <v>55</v>
      </c>
      <c r="F6" s="65" t="s">
        <v>2</v>
      </c>
      <c r="G6" s="66" t="n">
        <v>42905</v>
      </c>
      <c r="H6" s="66" t="n">
        <v>42912</v>
      </c>
      <c r="I6" s="67" t="s">
        <v>56</v>
      </c>
    </row>
    <row r="7" customFormat="false" ht="15" hidden="false" customHeight="false" outlineLevel="0" collapsed="false">
      <c r="A7" s="69" t="s">
        <v>2</v>
      </c>
      <c r="B7" s="70"/>
      <c r="C7" s="70"/>
      <c r="D7" s="70"/>
      <c r="E7" s="71"/>
      <c r="F7" s="72"/>
      <c r="G7" s="73"/>
      <c r="H7" s="74"/>
      <c r="I7" s="75"/>
    </row>
    <row r="8" customFormat="false" ht="15" hidden="false" customHeight="false" outlineLevel="0" collapsed="false">
      <c r="A8" s="76" t="s">
        <v>57</v>
      </c>
      <c r="B8" s="77"/>
      <c r="C8" s="77"/>
      <c r="D8" s="77"/>
      <c r="E8" s="78"/>
      <c r="F8" s="79"/>
      <c r="G8" s="79"/>
      <c r="H8" s="79"/>
      <c r="I8" s="75"/>
    </row>
    <row r="9" customFormat="false" ht="15" hidden="false" customHeight="false" outlineLevel="0" collapsed="false">
      <c r="A9" s="80"/>
      <c r="B9" s="81" t="s">
        <v>58</v>
      </c>
      <c r="C9" s="77"/>
      <c r="D9" s="77"/>
      <c r="E9" s="78"/>
      <c r="F9" s="72"/>
      <c r="G9" s="73"/>
      <c r="H9" s="74"/>
      <c r="I9" s="75"/>
    </row>
    <row r="10" customFormat="false" ht="15" hidden="false" customHeight="false" outlineLevel="0" collapsed="false">
      <c r="A10" s="80"/>
      <c r="B10" s="82"/>
      <c r="C10" s="83" t="s">
        <v>59</v>
      </c>
      <c r="D10" s="70"/>
      <c r="E10" s="71"/>
      <c r="F10" s="73"/>
      <c r="G10" s="84" t="n">
        <v>0.382978723404255</v>
      </c>
      <c r="H10" s="73"/>
      <c r="I10" s="85" t="n">
        <v>0.382978723404255</v>
      </c>
    </row>
    <row r="11" customFormat="false" ht="15" hidden="false" customHeight="false" outlineLevel="0" collapsed="false">
      <c r="A11" s="80"/>
      <c r="B11" s="81" t="s">
        <v>60</v>
      </c>
      <c r="C11" s="77"/>
      <c r="D11" s="77"/>
      <c r="E11" s="78"/>
      <c r="F11" s="72"/>
      <c r="G11" s="73"/>
      <c r="H11" s="74"/>
      <c r="I11" s="75"/>
    </row>
    <row r="12" customFormat="false" ht="15" hidden="false" customHeight="false" outlineLevel="0" collapsed="false">
      <c r="A12" s="80"/>
      <c r="B12" s="86"/>
      <c r="C12" s="83" t="s">
        <v>59</v>
      </c>
      <c r="D12" s="70"/>
      <c r="E12" s="71"/>
      <c r="F12" s="73"/>
      <c r="G12" s="84" t="n">
        <v>0.765957446808511</v>
      </c>
      <c r="H12" s="73"/>
      <c r="I12" s="85" t="n">
        <v>0.765957446808511</v>
      </c>
    </row>
    <row r="13" customFormat="false" ht="15" hidden="false" customHeight="false" outlineLevel="0" collapsed="false">
      <c r="A13" s="87"/>
      <c r="B13" s="82"/>
      <c r="C13" s="83" t="s">
        <v>61</v>
      </c>
      <c r="D13" s="70"/>
      <c r="E13" s="71"/>
      <c r="F13" s="72"/>
      <c r="G13" s="84" t="n">
        <v>0.348936170212766</v>
      </c>
      <c r="H13" s="88" t="n">
        <v>0.0340425531914892</v>
      </c>
      <c r="I13" s="85" t="n">
        <v>0.382978723404255</v>
      </c>
    </row>
    <row r="14" customFormat="false" ht="15" hidden="false" customHeight="false" outlineLevel="0" collapsed="false">
      <c r="A14" s="76" t="s">
        <v>62</v>
      </c>
      <c r="B14" s="77"/>
      <c r="C14" s="77"/>
      <c r="D14" s="77"/>
      <c r="E14" s="78"/>
      <c r="F14" s="79"/>
      <c r="G14" s="79"/>
      <c r="H14" s="79"/>
      <c r="I14" s="75"/>
    </row>
    <row r="15" customFormat="false" ht="15" hidden="false" customHeight="false" outlineLevel="0" collapsed="false">
      <c r="A15" s="80"/>
      <c r="B15" s="81" t="s">
        <v>58</v>
      </c>
      <c r="C15" s="77"/>
      <c r="D15" s="77"/>
      <c r="E15" s="78"/>
      <c r="F15" s="72"/>
      <c r="G15" s="73"/>
      <c r="H15" s="74"/>
      <c r="I15" s="75"/>
    </row>
    <row r="16" customFormat="false" ht="15" hidden="false" customHeight="false" outlineLevel="0" collapsed="false">
      <c r="A16" s="80"/>
      <c r="B16" s="86"/>
      <c r="C16" s="83" t="s">
        <v>63</v>
      </c>
      <c r="D16" s="70"/>
      <c r="E16" s="71"/>
      <c r="F16" s="73"/>
      <c r="G16" s="84" t="n">
        <v>0.612765957446808</v>
      </c>
      <c r="H16" s="84" t="n">
        <v>0.919148936170213</v>
      </c>
      <c r="I16" s="85" t="n">
        <v>1.53191489361702</v>
      </c>
    </row>
    <row r="17" customFormat="false" ht="15" hidden="false" customHeight="false" outlineLevel="0" collapsed="false">
      <c r="A17" s="80"/>
      <c r="B17" s="86"/>
      <c r="C17" s="83" t="s">
        <v>64</v>
      </c>
      <c r="D17" s="70"/>
      <c r="E17" s="71"/>
      <c r="F17" s="72"/>
      <c r="G17" s="84" t="n">
        <v>0.153191489361702</v>
      </c>
      <c r="H17" s="88" t="n">
        <v>0.229787234042553</v>
      </c>
      <c r="I17" s="85" t="n">
        <v>0.382978723404255</v>
      </c>
    </row>
    <row r="18" customFormat="false" ht="15" hidden="false" customHeight="false" outlineLevel="0" collapsed="false">
      <c r="A18" s="80"/>
      <c r="B18" s="82"/>
      <c r="C18" s="83" t="s">
        <v>65</v>
      </c>
      <c r="D18" s="70"/>
      <c r="E18" s="71"/>
      <c r="F18" s="73"/>
      <c r="G18" s="84" t="n">
        <v>0.736170212765958</v>
      </c>
      <c r="H18" s="84" t="n">
        <v>2.13617021276596</v>
      </c>
      <c r="I18" s="85" t="n">
        <v>2.87234042553191</v>
      </c>
    </row>
    <row r="19" customFormat="false" ht="15" hidden="false" customHeight="false" outlineLevel="0" collapsed="false">
      <c r="A19" s="80"/>
      <c r="B19" s="81" t="s">
        <v>60</v>
      </c>
      <c r="C19" s="77"/>
      <c r="D19" s="77"/>
      <c r="E19" s="78"/>
      <c r="F19" s="72"/>
      <c r="G19" s="73"/>
      <c r="H19" s="74"/>
      <c r="I19" s="75"/>
    </row>
    <row r="20" customFormat="false" ht="15" hidden="false" customHeight="false" outlineLevel="0" collapsed="false">
      <c r="A20" s="80"/>
      <c r="B20" s="86"/>
      <c r="C20" s="83" t="s">
        <v>59</v>
      </c>
      <c r="D20" s="70"/>
      <c r="E20" s="71"/>
      <c r="F20" s="73"/>
      <c r="G20" s="73"/>
      <c r="H20" s="84" t="n">
        <v>2.68085106382979</v>
      </c>
      <c r="I20" s="85" t="n">
        <v>2.68085106382979</v>
      </c>
    </row>
    <row r="21" customFormat="false" ht="15" hidden="false" customHeight="false" outlineLevel="0" collapsed="false">
      <c r="A21" s="87"/>
      <c r="B21" s="82"/>
      <c r="C21" s="83" t="s">
        <v>63</v>
      </c>
      <c r="D21" s="70"/>
      <c r="E21" s="71"/>
      <c r="F21" s="72"/>
      <c r="G21" s="73"/>
      <c r="H21" s="88" t="n">
        <v>1.53191489361702</v>
      </c>
      <c r="I21" s="85" t="n">
        <v>1.53191489361702</v>
      </c>
    </row>
    <row r="22" customFormat="false" ht="15" hidden="false" customHeight="false" outlineLevel="0" collapsed="false">
      <c r="A22" s="76" t="s">
        <v>66</v>
      </c>
      <c r="B22" s="77"/>
      <c r="C22" s="77"/>
      <c r="D22" s="77"/>
      <c r="E22" s="78"/>
      <c r="F22" s="79"/>
      <c r="G22" s="79"/>
      <c r="H22" s="79"/>
      <c r="I22" s="75"/>
    </row>
    <row r="23" customFormat="false" ht="15" hidden="false" customHeight="false" outlineLevel="0" collapsed="false">
      <c r="A23" s="80"/>
      <c r="B23" s="81" t="s">
        <v>60</v>
      </c>
      <c r="C23" s="77"/>
      <c r="D23" s="77"/>
      <c r="E23" s="78"/>
      <c r="F23" s="72"/>
      <c r="G23" s="73"/>
      <c r="H23" s="74"/>
      <c r="I23" s="75"/>
    </row>
    <row r="24" customFormat="false" ht="15" hidden="false" customHeight="false" outlineLevel="0" collapsed="false">
      <c r="A24" s="80"/>
      <c r="B24" s="86"/>
      <c r="C24" s="81" t="s">
        <v>2</v>
      </c>
      <c r="D24" s="77"/>
      <c r="E24" s="78"/>
      <c r="F24" s="79"/>
      <c r="G24" s="79"/>
      <c r="H24" s="79"/>
      <c r="I24" s="75"/>
    </row>
    <row r="25" customFormat="false" ht="15" hidden="false" customHeight="false" outlineLevel="0" collapsed="false">
      <c r="A25" s="80"/>
      <c r="B25" s="86"/>
      <c r="C25" s="86"/>
      <c r="D25" s="81" t="s">
        <v>67</v>
      </c>
      <c r="E25" s="81"/>
      <c r="F25" s="89"/>
      <c r="G25" s="79"/>
      <c r="H25" s="90"/>
      <c r="I25" s="91"/>
    </row>
    <row r="26" customFormat="false" ht="15" hidden="false" customHeight="false" outlineLevel="0" collapsed="false">
      <c r="A26" s="87"/>
      <c r="B26" s="82"/>
      <c r="C26" s="82"/>
      <c r="D26" s="82"/>
      <c r="E26" s="82" t="s">
        <v>68</v>
      </c>
      <c r="F26" s="92"/>
      <c r="G26" s="93"/>
      <c r="H26" s="94" t="n">
        <v>0.765957446808511</v>
      </c>
      <c r="I26" s="95" t="n">
        <v>0.765957446808511</v>
      </c>
    </row>
    <row r="27" customFormat="false" ht="15" hidden="false" customHeight="false" outlineLevel="0" collapsed="false">
      <c r="A27" s="96" t="s">
        <v>56</v>
      </c>
      <c r="B27" s="97"/>
      <c r="C27" s="97"/>
      <c r="D27" s="97"/>
      <c r="E27" s="98"/>
      <c r="F27" s="99"/>
      <c r="G27" s="100" t="n">
        <v>3</v>
      </c>
      <c r="H27" s="101" t="n">
        <v>8.29787234042553</v>
      </c>
      <c r="I27" s="102" t="n">
        <v>11.2978723404255</v>
      </c>
    </row>
    <row r="1048576" customFormat="false" ht="15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7C7C7C"/>
    <pageSetUpPr fitToPage="false"/>
  </sheetPr>
  <dimension ref="A1:M3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23.4574898785425"/>
    <col collapsed="false" hidden="false" max="2" min="2" style="0" width="10.7125506072875"/>
    <col collapsed="false" hidden="false" max="3" min="3" style="0" width="29.1376518218623"/>
    <col collapsed="false" hidden="false" max="4" min="4" style="0" width="16.7125506072875"/>
    <col collapsed="false" hidden="false" max="5" min="5" style="0" width="14.6761133603239"/>
    <col collapsed="false" hidden="false" max="6" min="6" style="103" width="20.1376518218623"/>
    <col collapsed="false" hidden="false" max="7" min="7" style="104" width="17.4615384615385"/>
    <col collapsed="false" hidden="false" max="8" min="8" style="104" width="17.6761133603239"/>
    <col collapsed="false" hidden="false" max="9" min="9" style="0" width="8.57085020242915"/>
    <col collapsed="false" hidden="false" max="10" min="10" style="0" width="29.2429149797571"/>
    <col collapsed="false" hidden="false" max="11" min="11" style="0" width="31.3846153846154"/>
    <col collapsed="false" hidden="false" max="12" min="12" style="0" width="23.1376518218623"/>
    <col collapsed="false" hidden="false" max="1025" min="13" style="0" width="29.2429149797571"/>
  </cols>
  <sheetData>
    <row r="1" s="105" customFormat="true" ht="15" hidden="false" customHeight="false" outlineLevel="0" collapsed="false">
      <c r="A1" s="105" t="s">
        <v>69</v>
      </c>
      <c r="B1" s="105" t="s">
        <v>70</v>
      </c>
      <c r="C1" s="105" t="s">
        <v>71</v>
      </c>
      <c r="D1" s="105" t="s">
        <v>26</v>
      </c>
      <c r="E1" s="105" t="s">
        <v>72</v>
      </c>
      <c r="F1" s="103" t="s">
        <v>73</v>
      </c>
      <c r="G1" s="104" t="s">
        <v>74</v>
      </c>
      <c r="H1" s="104" t="s">
        <v>75</v>
      </c>
      <c r="I1" s="105" t="s">
        <v>76</v>
      </c>
      <c r="K1" s="2" t="s">
        <v>69</v>
      </c>
      <c r="L1" s="3" t="s">
        <v>1</v>
      </c>
      <c r="M1" s="0"/>
    </row>
    <row r="2" customFormat="false" ht="15" hidden="false" customHeight="false" outlineLevel="0" collapsed="false">
      <c r="A2" s="106" t="s">
        <v>77</v>
      </c>
      <c r="B2" s="107" t="str">
        <f aca="false">IF(ISERROR(FIND("Ballpark",C2)), "Plan", "Ballpark")</f>
        <v>Ballpark</v>
      </c>
      <c r="C2" s="107" t="s">
        <v>78</v>
      </c>
      <c r="D2" s="0" t="s">
        <v>35</v>
      </c>
      <c r="E2" s="108" t="n">
        <v>1</v>
      </c>
      <c r="F2" s="109" t="n">
        <f aca="false">SUMIFS(IssueTypeVsRoleMapping[Role Allocation],IssueTypeVsRoleMapping[Issue Type],IssueTypeVsRoleMapping[[#This Row],[Issue Type]])</f>
        <v>1</v>
      </c>
      <c r="G2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2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2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11"/>
    </row>
    <row r="3" customFormat="false" ht="15" hidden="false" customHeight="false" outlineLevel="0" collapsed="false">
      <c r="A3" s="106" t="s">
        <v>77</v>
      </c>
      <c r="B3" s="107" t="str">
        <f aca="false">IF(ISERROR(FIND("Ballpark",C3)), "Plan", "Ballpark")</f>
        <v>Ballpark</v>
      </c>
      <c r="C3" s="107" t="s">
        <v>79</v>
      </c>
      <c r="D3" s="0" t="s">
        <v>35</v>
      </c>
      <c r="E3" s="108" t="n">
        <v>0.2</v>
      </c>
      <c r="F3" s="109" t="n">
        <f aca="false">SUMIFS(IssueTypeVsRoleMapping[Role Allocation],IssueTypeVsRoleMapping[Issue Type],IssueTypeVsRoleMapping[[#This Row],[Issue Type]])</f>
        <v>1</v>
      </c>
      <c r="G3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3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3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11"/>
      <c r="K3" s="112" t="s">
        <v>70</v>
      </c>
      <c r="L3" s="61" t="s">
        <v>71</v>
      </c>
      <c r="M3" s="113" t="s">
        <v>80</v>
      </c>
    </row>
    <row r="4" customFormat="false" ht="15" hidden="false" customHeight="false" outlineLevel="0" collapsed="false">
      <c r="A4" s="106" t="s">
        <v>77</v>
      </c>
      <c r="B4" s="107" t="str">
        <f aca="false">IF(ISERROR(FIND("Ballpark",C4)), "Plan", "Ballpark")</f>
        <v>Ballpark</v>
      </c>
      <c r="C4" s="107" t="s">
        <v>79</v>
      </c>
      <c r="D4" s="0" t="s">
        <v>32</v>
      </c>
      <c r="E4" s="108" t="n">
        <v>0.8</v>
      </c>
      <c r="F4" s="109" t="n">
        <f aca="false">SUMIFS(IssueTypeVsRoleMapping[Role Allocation],IssueTypeVsRoleMapping[Issue Type],IssueTypeVsRoleMapping[[#This Row],[Issue Type]])</f>
        <v>1</v>
      </c>
      <c r="G4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4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4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11"/>
      <c r="K4" s="76" t="s">
        <v>81</v>
      </c>
      <c r="L4" s="81"/>
      <c r="M4" s="114"/>
    </row>
    <row r="5" customFormat="false" ht="15" hidden="false" customHeight="false" outlineLevel="0" collapsed="false">
      <c r="A5" s="106" t="s">
        <v>77</v>
      </c>
      <c r="B5" s="107" t="str">
        <f aca="false">IF(ISERROR(FIND("Ballpark",C5)), "Plan", "Ballpark")</f>
        <v>Ballpark</v>
      </c>
      <c r="C5" s="107" t="s">
        <v>82</v>
      </c>
      <c r="D5" s="0" t="s">
        <v>35</v>
      </c>
      <c r="E5" s="108" t="n">
        <v>0.7</v>
      </c>
      <c r="F5" s="109" t="n">
        <f aca="false">SUMIFS(IssueTypeVsRoleMapping[Role Allocation],IssueTypeVsRoleMapping[Issue Type],IssueTypeVsRoleMapping[[#This Row],[Issue Type]])</f>
        <v>1</v>
      </c>
      <c r="G5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5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5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11"/>
      <c r="K5" s="80"/>
      <c r="L5" s="86" t="s">
        <v>78</v>
      </c>
      <c r="M5" s="115" t="e">
        <f aca="false"/>
        <v>#VALUE!</v>
      </c>
    </row>
    <row r="6" customFormat="false" ht="15" hidden="false" customHeight="false" outlineLevel="0" collapsed="false">
      <c r="A6" s="106" t="s">
        <v>77</v>
      </c>
      <c r="B6" s="107" t="str">
        <f aca="false">IF(ISERROR(FIND("Ballpark",C6)), "Plan", "Ballpark")</f>
        <v>Ballpark</v>
      </c>
      <c r="C6" s="107" t="s">
        <v>82</v>
      </c>
      <c r="D6" s="0" t="s">
        <v>32</v>
      </c>
      <c r="E6" s="108" t="n">
        <v>0.3</v>
      </c>
      <c r="F6" s="109" t="n">
        <f aca="false">SUMIFS(IssueTypeVsRoleMapping[Role Allocation],IssueTypeVsRoleMapping[Issue Type],IssueTypeVsRoleMapping[[#This Row],[Issue Type]])</f>
        <v>1</v>
      </c>
      <c r="G6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6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6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11"/>
      <c r="K6" s="80"/>
      <c r="L6" s="86" t="s">
        <v>79</v>
      </c>
      <c r="M6" s="115" t="e">
        <f aca="false"/>
        <v>#VALUE!</v>
      </c>
    </row>
    <row r="7" customFormat="false" ht="15" hidden="false" customHeight="false" outlineLevel="0" collapsed="false">
      <c r="A7" s="106" t="s">
        <v>77</v>
      </c>
      <c r="B7" s="107" t="str">
        <f aca="false">IF(ISERROR(FIND("Ballpark",C7)), "Plan", "Ballpark")</f>
        <v>Ballpark</v>
      </c>
      <c r="C7" s="107" t="s">
        <v>83</v>
      </c>
      <c r="D7" s="0" t="s">
        <v>35</v>
      </c>
      <c r="E7" s="108" t="n">
        <v>0.7</v>
      </c>
      <c r="F7" s="109" t="n">
        <f aca="false">SUMIFS(IssueTypeVsRoleMapping[Role Allocation],IssueTypeVsRoleMapping[Issue Type],IssueTypeVsRoleMapping[[#This Row],[Issue Type]])</f>
        <v>1</v>
      </c>
      <c r="G7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7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7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11"/>
      <c r="K7" s="80"/>
      <c r="L7" s="86" t="s">
        <v>82</v>
      </c>
      <c r="M7" s="115" t="e">
        <f aca="false"/>
        <v>#VALUE!</v>
      </c>
    </row>
    <row r="8" customFormat="false" ht="15" hidden="false" customHeight="false" outlineLevel="0" collapsed="false">
      <c r="A8" s="106" t="s">
        <v>77</v>
      </c>
      <c r="B8" s="107" t="str">
        <f aca="false">IF(ISERROR(FIND("Ballpark",C8)), "Plan", "Ballpark")</f>
        <v>Ballpark</v>
      </c>
      <c r="C8" s="107" t="s">
        <v>83</v>
      </c>
      <c r="D8" s="0" t="s">
        <v>32</v>
      </c>
      <c r="E8" s="108" t="n">
        <v>0.3</v>
      </c>
      <c r="F8" s="109" t="n">
        <f aca="false">SUMIFS(IssueTypeVsRoleMapping[Role Allocation],IssueTypeVsRoleMapping[Issue Type],IssueTypeVsRoleMapping[[#This Row],[Issue Type]])</f>
        <v>1</v>
      </c>
      <c r="G8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8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8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11"/>
      <c r="K8" s="80"/>
      <c r="L8" s="86" t="s">
        <v>83</v>
      </c>
      <c r="M8" s="115" t="e">
        <f aca="false"/>
        <v>#VALUE!</v>
      </c>
    </row>
    <row r="9" customFormat="false" ht="15" hidden="false" customHeight="false" outlineLevel="0" collapsed="false">
      <c r="A9" s="106" t="s">
        <v>77</v>
      </c>
      <c r="B9" s="107" t="str">
        <f aca="false">IF(ISERROR(FIND("Ballpark",C9)), "Plan", "Ballpark")</f>
        <v>Ballpark</v>
      </c>
      <c r="C9" s="107" t="s">
        <v>84</v>
      </c>
      <c r="D9" s="0" t="s">
        <v>32</v>
      </c>
      <c r="E9" s="108" t="n">
        <v>1</v>
      </c>
      <c r="F9" s="109" t="n">
        <f aca="false">SUMIFS(IssueTypeVsRoleMapping[Role Allocation],IssueTypeVsRoleMapping[Issue Type],IssueTypeVsRoleMapping[[#This Row],[Issue Type]])</f>
        <v>1</v>
      </c>
      <c r="G9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9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9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11"/>
      <c r="K9" s="80"/>
      <c r="L9" s="86" t="s">
        <v>84</v>
      </c>
      <c r="M9" s="115" t="e">
        <f aca="false"/>
        <v>#VALUE!</v>
      </c>
    </row>
    <row r="10" customFormat="false" ht="15" hidden="false" customHeight="false" outlineLevel="0" collapsed="false">
      <c r="A10" s="106" t="s">
        <v>77</v>
      </c>
      <c r="B10" s="107" t="str">
        <f aca="false">IF(ISERROR(FIND("Ballpark",C10)), "Plan", "Ballpark")</f>
        <v>Ballpark</v>
      </c>
      <c r="C10" s="107" t="s">
        <v>85</v>
      </c>
      <c r="D10" s="0" t="s">
        <v>35</v>
      </c>
      <c r="E10" s="108" t="n">
        <v>0.3</v>
      </c>
      <c r="F10" s="109" t="n">
        <f aca="false">SUMIFS(IssueTypeVsRoleMapping[Role Allocation],IssueTypeVsRoleMapping[Issue Type],IssueTypeVsRoleMapping[[#This Row],[Issue Type]])</f>
        <v>1</v>
      </c>
      <c r="G10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10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10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11"/>
      <c r="K10" s="80"/>
      <c r="L10" s="86" t="s">
        <v>85</v>
      </c>
      <c r="M10" s="115" t="e">
        <f aca="false"/>
        <v>#VALUE!</v>
      </c>
    </row>
    <row r="11" customFormat="false" ht="15" hidden="false" customHeight="false" outlineLevel="0" collapsed="false">
      <c r="A11" s="106" t="s">
        <v>77</v>
      </c>
      <c r="B11" s="107" t="str">
        <f aca="false">IF(ISERROR(FIND("Ballpark",C11)), "Plan", "Ballpark")</f>
        <v>Ballpark</v>
      </c>
      <c r="C11" s="107" t="s">
        <v>85</v>
      </c>
      <c r="D11" s="0" t="s">
        <v>32</v>
      </c>
      <c r="E11" s="108" t="n">
        <v>0.7</v>
      </c>
      <c r="F11" s="109" t="n">
        <f aca="false">SUMIFS(IssueTypeVsRoleMapping[Role Allocation],IssueTypeVsRoleMapping[Issue Type],IssueTypeVsRoleMapping[[#This Row],[Issue Type]])</f>
        <v>1</v>
      </c>
      <c r="G11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11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11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11"/>
      <c r="K11" s="80"/>
      <c r="L11" s="86" t="s">
        <v>86</v>
      </c>
      <c r="M11" s="115" t="e">
        <f aca="false"/>
        <v>#VALUE!</v>
      </c>
    </row>
    <row r="12" customFormat="false" ht="15" hidden="false" customHeight="false" outlineLevel="0" collapsed="false">
      <c r="A12" s="106" t="s">
        <v>77</v>
      </c>
      <c r="B12" s="107" t="str">
        <f aca="false">IF(ISERROR(FIND("Ballpark",C12)), "Plan", "Ballpark")</f>
        <v>Ballpark</v>
      </c>
      <c r="C12" s="107" t="s">
        <v>86</v>
      </c>
      <c r="D12" s="0" t="s">
        <v>35</v>
      </c>
      <c r="E12" s="108" t="n">
        <v>0.7</v>
      </c>
      <c r="F12" s="109" t="n">
        <f aca="false">SUMIFS(IssueTypeVsRoleMapping[Role Allocation],IssueTypeVsRoleMapping[Issue Type],IssueTypeVsRoleMapping[[#This Row],[Issue Type]])</f>
        <v>1</v>
      </c>
      <c r="G12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12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12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11"/>
      <c r="K12" s="87"/>
      <c r="L12" s="82" t="s">
        <v>87</v>
      </c>
      <c r="M12" s="116" t="e">
        <f aca="false"/>
        <v>#VALUE!</v>
      </c>
    </row>
    <row r="13" customFormat="false" ht="15" hidden="false" customHeight="false" outlineLevel="0" collapsed="false">
      <c r="A13" s="106" t="s">
        <v>77</v>
      </c>
      <c r="B13" s="107" t="str">
        <f aca="false">IF(ISERROR(FIND("Ballpark",C13)), "Plan", "Ballpark")</f>
        <v>Ballpark</v>
      </c>
      <c r="C13" s="107" t="s">
        <v>86</v>
      </c>
      <c r="D13" s="0" t="s">
        <v>32</v>
      </c>
      <c r="E13" s="108" t="n">
        <v>0.3</v>
      </c>
      <c r="F13" s="109" t="n">
        <f aca="false">SUMIFS(IssueTypeVsRoleMapping[Role Allocation],IssueTypeVsRoleMapping[Issue Type],IssueTypeVsRoleMapping[[#This Row],[Issue Type]])</f>
        <v>1</v>
      </c>
      <c r="G13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13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13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11"/>
      <c r="K13" s="76" t="s">
        <v>88</v>
      </c>
      <c r="L13" s="81"/>
      <c r="M13" s="114"/>
    </row>
    <row r="14" customFormat="false" ht="15" hidden="false" customHeight="false" outlineLevel="0" collapsed="false">
      <c r="A14" s="106" t="s">
        <v>77</v>
      </c>
      <c r="B14" s="107" t="str">
        <f aca="false">IF(ISERROR(FIND("Ballpark",C14)), "Plan", "Ballpark")</f>
        <v>Ballpark</v>
      </c>
      <c r="C14" s="107" t="s">
        <v>87</v>
      </c>
      <c r="D14" s="0" t="s">
        <v>35</v>
      </c>
      <c r="E14" s="108" t="n">
        <v>1</v>
      </c>
      <c r="F14" s="109" t="n">
        <f aca="false">SUMIFS(IssueTypeVsRoleMapping[Role Allocation],IssueTypeVsRoleMapping[Issue Type],IssueTypeVsRoleMapping[[#This Row],[Issue Type]])</f>
        <v>1</v>
      </c>
      <c r="G14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14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14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11"/>
      <c r="K14" s="80"/>
      <c r="L14" s="86" t="s">
        <v>89</v>
      </c>
      <c r="M14" s="115" t="e">
        <f aca="false"/>
        <v>#VALUE!</v>
      </c>
    </row>
    <row r="15" customFormat="false" ht="15" hidden="false" customHeight="false" outlineLevel="0" collapsed="false">
      <c r="A15" s="106" t="s">
        <v>77</v>
      </c>
      <c r="B15" s="107" t="str">
        <f aca="false">IF(ISERROR(FIND("Ballpark",C15)), "Plan", "Ballpark")</f>
        <v>Plan</v>
      </c>
      <c r="C15" s="0" t="s">
        <v>89</v>
      </c>
      <c r="D15" s="0" t="s">
        <v>35</v>
      </c>
      <c r="E15" s="108" t="n">
        <v>1</v>
      </c>
      <c r="F15" s="109" t="n">
        <f aca="false">SUMIFS(IssueTypeVsRoleMapping[Role Allocation],IssueTypeVsRoleMapping[Issue Type],IssueTypeVsRoleMapping[[#This Row],[Issue Type]])</f>
        <v>1</v>
      </c>
      <c r="G15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15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15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11"/>
      <c r="K15" s="80"/>
      <c r="L15" s="86" t="s">
        <v>90</v>
      </c>
      <c r="M15" s="115" t="e">
        <f aca="false"/>
        <v>#VALUE!</v>
      </c>
    </row>
    <row r="16" customFormat="false" ht="15" hidden="false" customHeight="false" outlineLevel="0" collapsed="false">
      <c r="A16" s="106" t="s">
        <v>77</v>
      </c>
      <c r="B16" s="107" t="str">
        <f aca="false">IF(ISERROR(FIND("Ballpark",C16)), "Plan", "Ballpark")</f>
        <v>Plan</v>
      </c>
      <c r="C16" s="0" t="s">
        <v>90</v>
      </c>
      <c r="D16" s="0" t="s">
        <v>35</v>
      </c>
      <c r="E16" s="108" t="n">
        <v>1</v>
      </c>
      <c r="F16" s="109" t="n">
        <f aca="false">SUMIFS(IssueTypeVsRoleMapping[Role Allocation],IssueTypeVsRoleMapping[Issue Type],IssueTypeVsRoleMapping[[#This Row],[Issue Type]])</f>
        <v>1</v>
      </c>
      <c r="G16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16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16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11"/>
      <c r="K16" s="80"/>
      <c r="L16" s="86" t="s">
        <v>91</v>
      </c>
      <c r="M16" s="115" t="e">
        <f aca="false"/>
        <v>#VALUE!</v>
      </c>
    </row>
    <row r="17" customFormat="false" ht="15" hidden="false" customHeight="false" outlineLevel="0" collapsed="false">
      <c r="A17" s="106" t="s">
        <v>77</v>
      </c>
      <c r="B17" s="107" t="str">
        <f aca="false">IF(ISERROR(FIND("Ballpark",C17)), "Plan", "Ballpark")</f>
        <v>Plan</v>
      </c>
      <c r="C17" s="0" t="s">
        <v>91</v>
      </c>
      <c r="D17" s="0" t="s">
        <v>32</v>
      </c>
      <c r="E17" s="108" t="n">
        <v>0.3</v>
      </c>
      <c r="F17" s="109" t="n">
        <f aca="false">SUMIFS(IssueTypeVsRoleMapping[Role Allocation],IssueTypeVsRoleMapping[Issue Type],IssueTypeVsRoleMapping[[#This Row],[Issue Type]])</f>
        <v>1</v>
      </c>
      <c r="G17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17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17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11"/>
      <c r="K17" s="80"/>
      <c r="L17" s="86" t="s">
        <v>92</v>
      </c>
      <c r="M17" s="115" t="e">
        <f aca="false"/>
        <v>#VALUE!</v>
      </c>
    </row>
    <row r="18" customFormat="false" ht="15" hidden="false" customHeight="false" outlineLevel="0" collapsed="false">
      <c r="A18" s="106" t="s">
        <v>77</v>
      </c>
      <c r="B18" s="107" t="str">
        <f aca="false">IF(ISERROR(FIND("Ballpark",C18)), "Plan", "Ballpark")</f>
        <v>Plan</v>
      </c>
      <c r="C18" s="0" t="s">
        <v>91</v>
      </c>
      <c r="D18" s="0" t="s">
        <v>35</v>
      </c>
      <c r="E18" s="108" t="n">
        <v>0.7</v>
      </c>
      <c r="F18" s="109" t="n">
        <f aca="false">SUMIFS(IssueTypeVsRoleMapping[Role Allocation],IssueTypeVsRoleMapping[Issue Type],IssueTypeVsRoleMapping[[#This Row],[Issue Type]])</f>
        <v>1</v>
      </c>
      <c r="G18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18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18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11"/>
      <c r="K18" s="80"/>
      <c r="L18" s="86" t="s">
        <v>93</v>
      </c>
      <c r="M18" s="115" t="e">
        <f aca="false"/>
        <v>#VALUE!</v>
      </c>
    </row>
    <row r="19" customFormat="false" ht="15" hidden="false" customHeight="false" outlineLevel="0" collapsed="false">
      <c r="A19" s="106" t="s">
        <v>77</v>
      </c>
      <c r="B19" s="107" t="str">
        <f aca="false">IF(ISERROR(FIND("Ballpark",C19)), "Plan", "Ballpark")</f>
        <v>Plan</v>
      </c>
      <c r="C19" s="0" t="s">
        <v>92</v>
      </c>
      <c r="D19" s="0" t="s">
        <v>32</v>
      </c>
      <c r="E19" s="108" t="n">
        <v>0.3</v>
      </c>
      <c r="F19" s="109" t="n">
        <f aca="false">SUMIFS(IssueTypeVsRoleMapping[Role Allocation],IssueTypeVsRoleMapping[Issue Type],IssueTypeVsRoleMapping[[#This Row],[Issue Type]])</f>
        <v>1</v>
      </c>
      <c r="G19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19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19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11"/>
      <c r="K19" s="80"/>
      <c r="L19" s="86" t="s">
        <v>94</v>
      </c>
      <c r="M19" s="115" t="e">
        <f aca="false"/>
        <v>#VALUE!</v>
      </c>
    </row>
    <row r="20" customFormat="false" ht="15" hidden="false" customHeight="false" outlineLevel="0" collapsed="false">
      <c r="A20" s="106" t="s">
        <v>77</v>
      </c>
      <c r="B20" s="107" t="str">
        <f aca="false">IF(ISERROR(FIND("Ballpark",C20)), "Plan", "Ballpark")</f>
        <v>Plan</v>
      </c>
      <c r="C20" s="0" t="s">
        <v>92</v>
      </c>
      <c r="D20" s="0" t="s">
        <v>35</v>
      </c>
      <c r="E20" s="108" t="n">
        <v>0.7</v>
      </c>
      <c r="F20" s="117" t="n">
        <f aca="false">SUMIFS(IssueTypeVsRoleMapping[Role Allocation],IssueTypeVsRoleMapping[Issue Type],IssueTypeVsRoleMapping[[#This Row],[Issue Type]])</f>
        <v>1</v>
      </c>
      <c r="G20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20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20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11"/>
      <c r="K20" s="80"/>
      <c r="L20" s="86" t="s">
        <v>95</v>
      </c>
      <c r="M20" s="115" t="e">
        <f aca="false"/>
        <v>#VALUE!</v>
      </c>
    </row>
    <row r="21" customFormat="false" ht="15" hidden="false" customHeight="false" outlineLevel="0" collapsed="false">
      <c r="A21" s="106" t="s">
        <v>77</v>
      </c>
      <c r="B21" s="107" t="str">
        <f aca="false">IF(ISERROR(FIND("Ballpark",C21)), "Plan", "Ballpark")</f>
        <v>Plan</v>
      </c>
      <c r="C21" s="0" t="s">
        <v>93</v>
      </c>
      <c r="D21" s="0" t="s">
        <v>32</v>
      </c>
      <c r="E21" s="108" t="n">
        <v>1</v>
      </c>
      <c r="F21" s="117" t="n">
        <f aca="false">SUMIFS(IssueTypeVsRoleMapping[Role Allocation],IssueTypeVsRoleMapping[Issue Type],IssueTypeVsRoleMapping[[#This Row],[Issue Type]])</f>
        <v>1</v>
      </c>
      <c r="G21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21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21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11"/>
      <c r="K21" s="80"/>
      <c r="L21" s="86" t="s">
        <v>96</v>
      </c>
      <c r="M21" s="115" t="e">
        <f aca="false"/>
        <v>#VALUE!</v>
      </c>
    </row>
    <row r="22" customFormat="false" ht="15" hidden="false" customHeight="false" outlineLevel="0" collapsed="false">
      <c r="A22" s="106" t="s">
        <v>77</v>
      </c>
      <c r="B22" s="107" t="str">
        <f aca="false">IF(ISERROR(FIND("Ballpark",C22)), "Plan", "Ballpark")</f>
        <v>Plan</v>
      </c>
      <c r="C22" s="0" t="s">
        <v>94</v>
      </c>
      <c r="D22" s="0" t="s">
        <v>35</v>
      </c>
      <c r="E22" s="108" t="n">
        <v>1</v>
      </c>
      <c r="F22" s="117" t="n">
        <f aca="false">SUMIFS(IssueTypeVsRoleMapping[Role Allocation],IssueTypeVsRoleMapping[Issue Type],IssueTypeVsRoleMapping[[#This Row],[Issue Type]])</f>
        <v>1</v>
      </c>
      <c r="G22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22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22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11"/>
      <c r="K22" s="80"/>
      <c r="L22" s="86" t="s">
        <v>97</v>
      </c>
      <c r="M22" s="115" t="e">
        <f aca="false"/>
        <v>#VALUE!</v>
      </c>
    </row>
    <row r="23" customFormat="false" ht="15" hidden="false" customHeight="false" outlineLevel="0" collapsed="false">
      <c r="A23" s="106" t="s">
        <v>77</v>
      </c>
      <c r="B23" s="107" t="str">
        <f aca="false">IF(ISERROR(FIND("Ballpark",C23)), "Plan", "Ballpark")</f>
        <v>Plan</v>
      </c>
      <c r="C23" s="0" t="s">
        <v>95</v>
      </c>
      <c r="D23" s="0" t="s">
        <v>32</v>
      </c>
      <c r="E23" s="108" t="n">
        <v>0.4</v>
      </c>
      <c r="F23" s="117" t="n">
        <f aca="false">SUMIFS(IssueTypeVsRoleMapping[Role Allocation],IssueTypeVsRoleMapping[Issue Type],IssueTypeVsRoleMapping[[#This Row],[Issue Type]])</f>
        <v>1</v>
      </c>
      <c r="G23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23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23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11"/>
      <c r="K23" s="80"/>
      <c r="L23" s="86" t="s">
        <v>98</v>
      </c>
      <c r="M23" s="115" t="e">
        <f aca="false"/>
        <v>#VALUE!</v>
      </c>
    </row>
    <row r="24" customFormat="false" ht="15" hidden="false" customHeight="false" outlineLevel="0" collapsed="false">
      <c r="A24" s="106" t="s">
        <v>77</v>
      </c>
      <c r="B24" s="107" t="str">
        <f aca="false">IF(ISERROR(FIND("Ballpark",C24)), "Plan", "Ballpark")</f>
        <v>Plan</v>
      </c>
      <c r="C24" s="0" t="s">
        <v>95</v>
      </c>
      <c r="D24" s="0" t="s">
        <v>35</v>
      </c>
      <c r="E24" s="108" t="n">
        <v>0.6</v>
      </c>
      <c r="F24" s="117" t="n">
        <f aca="false">SUMIFS(IssueTypeVsRoleMapping[Role Allocation],IssueTypeVsRoleMapping[Issue Type],IssueTypeVsRoleMapping[[#This Row],[Issue Type]])</f>
        <v>1</v>
      </c>
      <c r="G24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24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24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11"/>
      <c r="K24" s="87"/>
      <c r="L24" s="82" t="s">
        <v>99</v>
      </c>
      <c r="M24" s="116" t="e">
        <f aca="false"/>
        <v>#VALUE!</v>
      </c>
    </row>
    <row r="25" customFormat="false" ht="15" hidden="false" customHeight="false" outlineLevel="0" collapsed="false">
      <c r="A25" s="106" t="s">
        <v>77</v>
      </c>
      <c r="B25" s="107" t="str">
        <f aca="false">IF(ISERROR(FIND("Ballpark",C25)), "Plan", "Ballpark")</f>
        <v>Plan</v>
      </c>
      <c r="C25" s="0" t="s">
        <v>96</v>
      </c>
      <c r="D25" s="0" t="s">
        <v>32</v>
      </c>
      <c r="E25" s="108" t="n">
        <v>0.6</v>
      </c>
      <c r="F25" s="117" t="n">
        <f aca="false">SUMIFS(IssueTypeVsRoleMapping[Role Allocation],IssueTypeVsRoleMapping[Issue Type],IssueTypeVsRoleMapping[[#This Row],[Issue Type]])</f>
        <v>1</v>
      </c>
      <c r="G25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25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25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11"/>
      <c r="K25" s="96" t="s">
        <v>56</v>
      </c>
      <c r="L25" s="98"/>
      <c r="M25" s="118" t="e">
        <f aca="false"/>
        <v>#VALUE!</v>
      </c>
    </row>
    <row r="26" customFormat="false" ht="15" hidden="false" customHeight="false" outlineLevel="0" collapsed="false">
      <c r="A26" s="106" t="s">
        <v>77</v>
      </c>
      <c r="B26" s="107" t="str">
        <f aca="false">IF(ISERROR(FIND("Ballpark",C26)), "Plan", "Ballpark")</f>
        <v>Plan</v>
      </c>
      <c r="C26" s="0" t="s">
        <v>96</v>
      </c>
      <c r="D26" s="0" t="s">
        <v>35</v>
      </c>
      <c r="E26" s="108" t="n">
        <v>0.4</v>
      </c>
      <c r="F26" s="117" t="n">
        <f aca="false">SUMIFS(IssueTypeVsRoleMapping[Role Allocation],IssueTypeVsRoleMapping[Issue Type],IssueTypeVsRoleMapping[[#This Row],[Issue Type]])</f>
        <v>1</v>
      </c>
      <c r="G26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26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26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11"/>
    </row>
    <row r="27" customFormat="false" ht="15" hidden="false" customHeight="false" outlineLevel="0" collapsed="false">
      <c r="A27" s="106" t="s">
        <v>77</v>
      </c>
      <c r="B27" s="107" t="str">
        <f aca="false">IF(ISERROR(FIND("Ballpark",C27)), "Plan", "Ballpark")</f>
        <v>Plan</v>
      </c>
      <c r="C27" s="0" t="s">
        <v>97</v>
      </c>
      <c r="D27" s="0" t="s">
        <v>35</v>
      </c>
      <c r="E27" s="108" t="n">
        <v>0.7</v>
      </c>
      <c r="F27" s="117" t="n">
        <f aca="false">SUMIFS(IssueTypeVsRoleMapping[Role Allocation],IssueTypeVsRoleMapping[Issue Type],IssueTypeVsRoleMapping[[#This Row],[Issue Type]])</f>
        <v>1</v>
      </c>
      <c r="G27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27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27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11"/>
    </row>
    <row r="28" customFormat="false" ht="15" hidden="false" customHeight="false" outlineLevel="0" collapsed="false">
      <c r="A28" s="106" t="s">
        <v>77</v>
      </c>
      <c r="B28" s="107" t="str">
        <f aca="false">IF(ISERROR(FIND("Ballpark",C28)), "Plan", "Ballpark")</f>
        <v>Plan</v>
      </c>
      <c r="C28" s="0" t="s">
        <v>97</v>
      </c>
      <c r="D28" s="0" t="s">
        <v>32</v>
      </c>
      <c r="E28" s="108" t="n">
        <v>0.3</v>
      </c>
      <c r="F28" s="117" t="n">
        <f aca="false">SUMIFS(IssueTypeVsRoleMapping[Role Allocation],IssueTypeVsRoleMapping[Issue Type],IssueTypeVsRoleMapping[[#This Row],[Issue Type]])</f>
        <v>1</v>
      </c>
      <c r="G28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28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28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11"/>
    </row>
    <row r="29" customFormat="false" ht="15" hidden="false" customHeight="false" outlineLevel="0" collapsed="false">
      <c r="A29" s="106" t="s">
        <v>77</v>
      </c>
      <c r="B29" s="107" t="str">
        <f aca="false">IF(ISERROR(FIND("Ballpark",C29)), "Plan", "Ballpark")</f>
        <v>Plan</v>
      </c>
      <c r="C29" s="0" t="s">
        <v>98</v>
      </c>
      <c r="D29" s="0" t="s">
        <v>32</v>
      </c>
      <c r="E29" s="108" t="n">
        <v>0.4</v>
      </c>
      <c r="F29" s="117" t="n">
        <f aca="false">SUMIFS(IssueTypeVsRoleMapping[Role Allocation],IssueTypeVsRoleMapping[Issue Type],IssueTypeVsRoleMapping[[#This Row],[Issue Type]])</f>
        <v>1</v>
      </c>
      <c r="G29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29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29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11"/>
    </row>
    <row r="30" customFormat="false" ht="15" hidden="false" customHeight="false" outlineLevel="0" collapsed="false">
      <c r="A30" s="106" t="s">
        <v>77</v>
      </c>
      <c r="B30" s="107" t="str">
        <f aca="false">IF(ISERROR(FIND("Ballpark",C30)), "Plan", "Ballpark")</f>
        <v>Plan</v>
      </c>
      <c r="C30" s="0" t="s">
        <v>98</v>
      </c>
      <c r="D30" s="0" t="s">
        <v>35</v>
      </c>
      <c r="E30" s="108" t="n">
        <v>0.6</v>
      </c>
      <c r="F30" s="117" t="n">
        <f aca="false">SUMIFS(IssueTypeVsRoleMapping[Role Allocation],IssueTypeVsRoleMapping[Issue Type],IssueTypeVsRoleMapping[[#This Row],[Issue Type]])</f>
        <v>1</v>
      </c>
      <c r="G30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30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30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11"/>
    </row>
    <row r="31" customFormat="false" ht="15" hidden="false" customHeight="false" outlineLevel="0" collapsed="false">
      <c r="A31" s="106" t="s">
        <v>77</v>
      </c>
      <c r="B31" s="107" t="str">
        <f aca="false">IF(ISERROR(FIND("Ballpark",C31)), "Plan", "Ballpark")</f>
        <v>Plan</v>
      </c>
      <c r="C31" s="0" t="s">
        <v>99</v>
      </c>
      <c r="D31" s="0" t="s">
        <v>35</v>
      </c>
      <c r="E31" s="108" t="n">
        <v>1</v>
      </c>
      <c r="F31" s="109" t="n">
        <f aca="false">SUMIFS(IssueTypeVsRoleMapping[Role Allocation],IssueTypeVsRoleMapping[Issue Type],IssueTypeVsRoleMapping[[#This Row],[Issue Type]])</f>
        <v>1</v>
      </c>
      <c r="G31" s="110" t="n">
        <f aca="false">SUMIFS(AllIssues[CycleOnBacklog],AllIssues[project],'Progress by Demand'!$B$3,AllIssues[SUBTASK_TYPE],IssueTypeVsRoleMapping[[#This Row],[Issue Type]])*IssueTypeVsRoleMapping[[#This Row],[Role Allocation]]</f>
        <v>0</v>
      </c>
      <c r="H31" s="104" t="n">
        <f aca="false">SUMIFS(AllIssues[EffortOnBacklog],AllIssues[project],'Progress by Demand'!$B$3,AllIssues[SUBTASK_TYPE],IssueTypeVsRoleMapping[[#This Row],[Issue Type]])*IssueTypeVsRoleMapping[[#This Row],[Role Allocation]]</f>
        <v>0</v>
      </c>
      <c r="I31" s="103" t="e">
        <f aca="false"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11"/>
    </row>
    <row r="32" customFormat="false" ht="15" hidden="false" customHeight="false" outlineLevel="0" collapsed="false">
      <c r="A32" s="106" t="s">
        <v>44</v>
      </c>
      <c r="B32" s="106" t="n">
        <f aca="false">SUBTOTAL(103,IssueTypeVsRoleMapping[Group])</f>
        <v>30</v>
      </c>
      <c r="C32" s="106"/>
      <c r="F32" s="119"/>
      <c r="G32" s="120" t="n">
        <f aca="false">SUBTOTAL(109,IssueTypeVsRoleMapping[Cycle on Backlog])</f>
        <v>0</v>
      </c>
      <c r="H32" s="121" t="n">
        <f aca="false">SUBTOTAL(109,IssueTypeVsRoleMapping[Effort on Backlog])</f>
        <v>0</v>
      </c>
      <c r="I32" s="111"/>
      <c r="J32" s="111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808080"/>
    <pageSetUpPr fitToPage="false"/>
  </sheetPr>
  <dimension ref="A1:J10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29.3522267206478"/>
    <col collapsed="false" hidden="false" max="3" min="2" style="0" width="16.497975708502"/>
    <col collapsed="false" hidden="false" max="4" min="4" style="23" width="16.0688259109312"/>
    <col collapsed="false" hidden="false" max="5" min="5" style="122" width="14.1417004048583"/>
    <col collapsed="false" hidden="false" max="6" min="6" style="0" width="11.4615384615385"/>
    <col collapsed="false" hidden="false" max="7" min="7" style="0" width="12.748987854251"/>
    <col collapsed="false" hidden="false" max="8" min="8" style="103" width="26.5668016194332"/>
    <col collapsed="false" hidden="false" max="9" min="9" style="0" width="13.0688259109312"/>
    <col collapsed="false" hidden="false" max="10" min="10" style="0" width="17.7813765182186"/>
    <col collapsed="false" hidden="false" max="1025" min="11" style="0" width="8.67611336032389"/>
  </cols>
  <sheetData>
    <row r="1" customFormat="false" ht="15.75" hidden="false" customHeight="false" outlineLevel="0" collapsed="false">
      <c r="A1" s="123" t="s">
        <v>100</v>
      </c>
      <c r="B1" s="123" t="s">
        <v>101</v>
      </c>
      <c r="C1" s="123" t="s">
        <v>48</v>
      </c>
      <c r="D1" s="124" t="s">
        <v>102</v>
      </c>
      <c r="E1" s="125" t="s">
        <v>103</v>
      </c>
      <c r="G1" s="0" t="s">
        <v>70</v>
      </c>
      <c r="H1" s="0" t="s">
        <v>104</v>
      </c>
      <c r="I1" s="103" t="s">
        <v>105</v>
      </c>
      <c r="J1" s="0" t="s">
        <v>106</v>
      </c>
    </row>
    <row r="2" customFormat="false" ht="15" hidden="false" customHeight="false" outlineLevel="0" collapsed="false">
      <c r="A2" s="0" t="s">
        <v>89</v>
      </c>
      <c r="B2" s="0" t="s">
        <v>107</v>
      </c>
      <c r="C2" s="0" t="s">
        <v>108</v>
      </c>
      <c r="D2" s="23" t="n">
        <v>1.06382978723404</v>
      </c>
      <c r="E2" s="122" t="n">
        <f aca="false">Clusters[[#This Row],[Effort]]*1.2</f>
        <v>1.27659574468085</v>
      </c>
      <c r="G2" s="0" t="s">
        <v>81</v>
      </c>
      <c r="H2" s="0" t="s">
        <v>109</v>
      </c>
      <c r="I2" s="103" t="n">
        <v>0.1</v>
      </c>
      <c r="J2" s="103" t="n">
        <f aca="false">SUMIFS(EffortDistribution[Distribution],EffortDistribution[Group],EffortDistribution[Group])</f>
        <v>2</v>
      </c>
    </row>
    <row r="3" customFormat="false" ht="30" hidden="false" customHeight="false" outlineLevel="0" collapsed="false">
      <c r="A3" s="0" t="s">
        <v>89</v>
      </c>
      <c r="B3" s="0" t="s">
        <v>110</v>
      </c>
      <c r="C3" s="0" t="s">
        <v>108</v>
      </c>
      <c r="D3" s="23" t="n">
        <v>2.12765957446808</v>
      </c>
      <c r="E3" s="122" t="n">
        <f aca="false">Clusters[[#This Row],[Effort]]*1.2</f>
        <v>2.5531914893617</v>
      </c>
      <c r="G3" s="0" t="s">
        <v>81</v>
      </c>
      <c r="H3" s="107" t="s">
        <v>111</v>
      </c>
      <c r="I3" s="103" t="n">
        <v>0.05</v>
      </c>
      <c r="J3" s="103" t="n">
        <f aca="false">SUMIFS(EffortDistribution[Distribution],EffortDistribution[Group],EffortDistribution[Group])</f>
        <v>2</v>
      </c>
    </row>
    <row r="4" customFormat="false" ht="15" hidden="false" customHeight="false" outlineLevel="0" collapsed="false">
      <c r="A4" s="0" t="s">
        <v>89</v>
      </c>
      <c r="B4" s="0" t="s">
        <v>112</v>
      </c>
      <c r="C4" s="0" t="s">
        <v>108</v>
      </c>
      <c r="D4" s="23" t="n">
        <v>4.25531914893617</v>
      </c>
      <c r="E4" s="122" t="n">
        <f aca="false">Clusters[[#This Row],[Effort]]*1.2</f>
        <v>5.1063829787234</v>
      </c>
      <c r="G4" s="0" t="s">
        <v>81</v>
      </c>
      <c r="H4" s="0" t="s">
        <v>113</v>
      </c>
      <c r="I4" s="103" t="n">
        <v>0.5</v>
      </c>
      <c r="J4" s="103" t="n">
        <f aca="false">SUMIFS(EffortDistribution[Distribution],EffortDistribution[Group],EffortDistribution[Group])</f>
        <v>2</v>
      </c>
    </row>
    <row r="5" customFormat="false" ht="15" hidden="false" customHeight="false" outlineLevel="0" collapsed="false">
      <c r="A5" s="0" t="s">
        <v>89</v>
      </c>
      <c r="B5" s="0" t="s">
        <v>114</v>
      </c>
      <c r="C5" s="0" t="s">
        <v>108</v>
      </c>
      <c r="D5" s="23" t="n">
        <v>8.51063829787234</v>
      </c>
      <c r="E5" s="122" t="n">
        <f aca="false">Clusters[[#This Row],[Effort]]*1.2</f>
        <v>10.2127659574468</v>
      </c>
      <c r="G5" s="0" t="s">
        <v>81</v>
      </c>
      <c r="H5" s="0" t="s">
        <v>115</v>
      </c>
      <c r="I5" s="103" t="n">
        <v>0.05</v>
      </c>
      <c r="J5" s="103" t="n">
        <f aca="false">SUMIFS(EffortDistribution[Distribution],EffortDistribution[Group],EffortDistribution[Group])</f>
        <v>2</v>
      </c>
    </row>
    <row r="6" customFormat="false" ht="15" hidden="false" customHeight="false" outlineLevel="0" collapsed="false">
      <c r="A6" s="0" t="s">
        <v>89</v>
      </c>
      <c r="B6" s="0" t="s">
        <v>116</v>
      </c>
      <c r="C6" s="0" t="s">
        <v>108</v>
      </c>
      <c r="D6" s="23" t="n">
        <v>16</v>
      </c>
      <c r="E6" s="122" t="n">
        <f aca="false">Clusters[[#This Row],[Effort]]*1.2</f>
        <v>19.2</v>
      </c>
      <c r="G6" s="0" t="s">
        <v>81</v>
      </c>
      <c r="H6" s="0" t="s">
        <v>117</v>
      </c>
      <c r="I6" s="103" t="n">
        <v>0.1</v>
      </c>
      <c r="J6" s="103" t="n">
        <f aca="false">SUMIFS(EffortDistribution[Distribution],EffortDistribution[Group],EffortDistribution[Group])</f>
        <v>2</v>
      </c>
    </row>
    <row r="7" customFormat="false" ht="30" hidden="false" customHeight="false" outlineLevel="0" collapsed="false">
      <c r="A7" s="0" t="s">
        <v>118</v>
      </c>
      <c r="B7" s="0" t="s">
        <v>107</v>
      </c>
      <c r="C7" s="0" t="s">
        <v>108</v>
      </c>
      <c r="D7" s="23" t="n">
        <v>1.06382978723404</v>
      </c>
      <c r="E7" s="122" t="n">
        <f aca="false">Clusters[[#This Row],[Effort]]*1.2</f>
        <v>1.27659574468085</v>
      </c>
      <c r="G7" s="0" t="s">
        <v>81</v>
      </c>
      <c r="H7" s="107" t="s">
        <v>119</v>
      </c>
      <c r="I7" s="103" t="n">
        <v>0.05</v>
      </c>
      <c r="J7" s="103" t="n">
        <f aca="false">SUMIFS(EffortDistribution[Distribution],EffortDistribution[Group],EffortDistribution[Group])</f>
        <v>2</v>
      </c>
    </row>
    <row r="8" customFormat="false" ht="15" hidden="false" customHeight="false" outlineLevel="0" collapsed="false">
      <c r="A8" s="0" t="s">
        <v>118</v>
      </c>
      <c r="B8" s="0" t="s">
        <v>110</v>
      </c>
      <c r="C8" s="0" t="s">
        <v>108</v>
      </c>
      <c r="D8" s="23" t="n">
        <v>2.12765957446808</v>
      </c>
      <c r="E8" s="122" t="n">
        <f aca="false">Clusters[[#This Row],[Effort]]*1.2</f>
        <v>2.5531914893617</v>
      </c>
      <c r="G8" s="0" t="s">
        <v>81</v>
      </c>
      <c r="H8" s="0" t="s">
        <v>120</v>
      </c>
      <c r="I8" s="103" t="n">
        <v>0.1</v>
      </c>
      <c r="J8" s="103" t="n">
        <f aca="false">SUMIFS(EffortDistribution[Distribution],EffortDistribution[Group],EffortDistribution[Group])</f>
        <v>2</v>
      </c>
    </row>
    <row r="9" customFormat="false" ht="15" hidden="false" customHeight="false" outlineLevel="0" collapsed="false">
      <c r="A9" s="0" t="s">
        <v>118</v>
      </c>
      <c r="B9" s="0" t="s">
        <v>112</v>
      </c>
      <c r="C9" s="0" t="s">
        <v>108</v>
      </c>
      <c r="D9" s="23" t="n">
        <v>3.19148936170213</v>
      </c>
      <c r="E9" s="122" t="n">
        <f aca="false">Clusters[[#This Row],[Effort]]*1.2</f>
        <v>3.82978723404255</v>
      </c>
      <c r="G9" s="0" t="s">
        <v>81</v>
      </c>
      <c r="H9" s="0" t="s">
        <v>121</v>
      </c>
      <c r="I9" s="103" t="n">
        <v>0.05</v>
      </c>
      <c r="J9" s="103" t="n">
        <f aca="false">SUMIFS(EffortDistribution[Distribution],EffortDistribution[Group],EffortDistribution[Group])</f>
        <v>2</v>
      </c>
    </row>
    <row r="10" customFormat="false" ht="15" hidden="false" customHeight="false" outlineLevel="0" collapsed="false">
      <c r="A10" s="0" t="s">
        <v>118</v>
      </c>
      <c r="B10" s="0" t="s">
        <v>114</v>
      </c>
      <c r="C10" s="0" t="s">
        <v>108</v>
      </c>
      <c r="D10" s="23" t="n">
        <v>4.25531914893617</v>
      </c>
      <c r="E10" s="122" t="n">
        <f aca="false">Clusters[[#This Row],[Effort]]*1.2</f>
        <v>5.1063829787234</v>
      </c>
      <c r="G10" s="0" t="s">
        <v>81</v>
      </c>
      <c r="H10" s="0" t="s">
        <v>122</v>
      </c>
      <c r="I10" s="103" t="n">
        <v>1</v>
      </c>
      <c r="J10" s="103" t="n">
        <f aca="false">SUMIFS(EffortDistribution[Distribution],EffortDistribution[Group],EffortDistribution[Group])</f>
        <v>2</v>
      </c>
    </row>
    <row r="11" customFormat="false" ht="15" hidden="false" customHeight="false" outlineLevel="0" collapsed="false">
      <c r="A11" s="0" t="s">
        <v>118</v>
      </c>
      <c r="B11" s="0" t="s">
        <v>116</v>
      </c>
      <c r="C11" s="0" t="s">
        <v>108</v>
      </c>
      <c r="D11" s="23" t="n">
        <v>5.31914893617021</v>
      </c>
      <c r="E11" s="122" t="n">
        <f aca="false">Clusters[[#This Row],[Effort]]*1.2</f>
        <v>6.38297872340426</v>
      </c>
      <c r="G11" s="0" t="s">
        <v>88</v>
      </c>
      <c r="H11" s="103" t="s">
        <v>118</v>
      </c>
      <c r="I11" s="103" t="n">
        <v>0.05</v>
      </c>
      <c r="J11" s="103" t="n">
        <f aca="false">SUMIFS(EffortDistribution[Distribution],EffortDistribution[Group],EffortDistribution[Group])</f>
        <v>1</v>
      </c>
    </row>
    <row r="12" customFormat="false" ht="15" hidden="false" customHeight="false" outlineLevel="0" collapsed="false">
      <c r="A12" s="0" t="s">
        <v>91</v>
      </c>
      <c r="B12" s="0" t="s">
        <v>107</v>
      </c>
      <c r="C12" s="0" t="s">
        <v>108</v>
      </c>
      <c r="D12" s="23" t="n">
        <v>2.12765957446808</v>
      </c>
      <c r="E12" s="122" t="n">
        <f aca="false">Clusters[[#This Row],[Effort]]*1.2</f>
        <v>2.5531914893617</v>
      </c>
      <c r="G12" s="0" t="s">
        <v>88</v>
      </c>
      <c r="H12" s="103" t="s">
        <v>89</v>
      </c>
      <c r="I12" s="103" t="n">
        <v>0.05</v>
      </c>
      <c r="J12" s="103" t="n">
        <f aca="false">SUMIFS(EffortDistribution[Distribution],EffortDistribution[Group],EffortDistribution[Group])</f>
        <v>1</v>
      </c>
    </row>
    <row r="13" customFormat="false" ht="15" hidden="false" customHeight="false" outlineLevel="0" collapsed="false">
      <c r="A13" s="0" t="s">
        <v>91</v>
      </c>
      <c r="B13" s="0" t="s">
        <v>110</v>
      </c>
      <c r="C13" s="0" t="s">
        <v>108</v>
      </c>
      <c r="D13" s="23" t="n">
        <v>8.51063829787234</v>
      </c>
      <c r="E13" s="122" t="n">
        <f aca="false">Clusters[[#This Row],[Effort]]*1.2</f>
        <v>10.2127659574468</v>
      </c>
      <c r="G13" s="0" t="s">
        <v>88</v>
      </c>
      <c r="H13" s="0" t="s">
        <v>91</v>
      </c>
      <c r="I13" s="103" t="n">
        <v>0.3</v>
      </c>
      <c r="J13" s="103" t="n">
        <f aca="false">SUMIFS(EffortDistribution[Distribution],EffortDistribution[Group],EffortDistribution[Group])</f>
        <v>1</v>
      </c>
    </row>
    <row r="14" customFormat="false" ht="15" hidden="false" customHeight="false" outlineLevel="0" collapsed="false">
      <c r="A14" s="0" t="s">
        <v>91</v>
      </c>
      <c r="B14" s="0" t="s">
        <v>112</v>
      </c>
      <c r="C14" s="0" t="s">
        <v>108</v>
      </c>
      <c r="D14" s="23" t="n">
        <v>10.6382978723404</v>
      </c>
      <c r="E14" s="122" t="n">
        <f aca="false">Clusters[[#This Row],[Effort]]*1.2</f>
        <v>12.7659574468085</v>
      </c>
      <c r="G14" s="0" t="s">
        <v>88</v>
      </c>
      <c r="H14" s="0" t="s">
        <v>92</v>
      </c>
      <c r="I14" s="103" t="n">
        <v>0.15</v>
      </c>
      <c r="J14" s="103" t="n">
        <f aca="false">SUMIFS(EffortDistribution[Distribution],EffortDistribution[Group],EffortDistribution[Group])</f>
        <v>1</v>
      </c>
    </row>
    <row r="15" customFormat="false" ht="15" hidden="false" customHeight="false" outlineLevel="0" collapsed="false">
      <c r="A15" s="0" t="s">
        <v>91</v>
      </c>
      <c r="B15" s="0" t="s">
        <v>114</v>
      </c>
      <c r="C15" s="0" t="s">
        <v>108</v>
      </c>
      <c r="D15" s="23" t="n">
        <v>19.1489361702128</v>
      </c>
      <c r="E15" s="122" t="n">
        <f aca="false">Clusters[[#This Row],[Effort]]*1.2</f>
        <v>22.9787234042553</v>
      </c>
      <c r="G15" s="0" t="s">
        <v>88</v>
      </c>
      <c r="H15" s="0" t="s">
        <v>93</v>
      </c>
      <c r="I15" s="103" t="n">
        <v>0.05</v>
      </c>
      <c r="J15" s="103" t="n">
        <f aca="false">SUMIFS(EffortDistribution[Distribution],EffortDistribution[Group],EffortDistribution[Group])</f>
        <v>1</v>
      </c>
    </row>
    <row r="16" customFormat="false" ht="15" hidden="false" customHeight="false" outlineLevel="0" collapsed="false">
      <c r="A16" s="0" t="s">
        <v>91</v>
      </c>
      <c r="B16" s="0" t="s">
        <v>116</v>
      </c>
      <c r="C16" s="0" t="s">
        <v>108</v>
      </c>
      <c r="D16" s="23" t="n">
        <v>29.7872340425532</v>
      </c>
      <c r="E16" s="122" t="n">
        <f aca="false">Clusters[[#This Row],[Effort]]*1.2</f>
        <v>35.7446808510638</v>
      </c>
      <c r="G16" s="0" t="s">
        <v>88</v>
      </c>
      <c r="H16" s="0" t="s">
        <v>94</v>
      </c>
      <c r="I16" s="103" t="n">
        <v>0.15</v>
      </c>
      <c r="J16" s="103" t="n">
        <f aca="false">SUMIFS(EffortDistribution[Distribution],EffortDistribution[Group],EffortDistribution[Group])</f>
        <v>1</v>
      </c>
    </row>
    <row r="17" customFormat="false" ht="15" hidden="false" customHeight="false" outlineLevel="0" collapsed="false">
      <c r="A17" s="0" t="s">
        <v>92</v>
      </c>
      <c r="B17" s="0" t="s">
        <v>107</v>
      </c>
      <c r="C17" s="0" t="s">
        <v>108</v>
      </c>
      <c r="D17" s="23" t="n">
        <v>1.06382978723404</v>
      </c>
      <c r="E17" s="122" t="n">
        <f aca="false">Clusters[[#This Row],[Effort]]*1.2</f>
        <v>1.27659574468085</v>
      </c>
      <c r="G17" s="0" t="s">
        <v>88</v>
      </c>
      <c r="H17" s="103" t="s">
        <v>95</v>
      </c>
      <c r="I17" s="103" t="n">
        <v>0.05</v>
      </c>
      <c r="J17" s="103" t="n">
        <f aca="false">SUMIFS(EffortDistribution[Distribution],EffortDistribution[Group],EffortDistribution[Group])</f>
        <v>1</v>
      </c>
    </row>
    <row r="18" customFormat="false" ht="15" hidden="false" customHeight="false" outlineLevel="0" collapsed="false">
      <c r="A18" s="0" t="s">
        <v>92</v>
      </c>
      <c r="B18" s="0" t="s">
        <v>110</v>
      </c>
      <c r="C18" s="0" t="s">
        <v>108</v>
      </c>
      <c r="D18" s="23" t="n">
        <v>2.12765957446808</v>
      </c>
      <c r="E18" s="122" t="n">
        <f aca="false">Clusters[[#This Row],[Effort]]*1.2</f>
        <v>2.5531914893617</v>
      </c>
      <c r="G18" s="0" t="s">
        <v>88</v>
      </c>
      <c r="H18" s="0" t="s">
        <v>96</v>
      </c>
      <c r="I18" s="103" t="n">
        <v>0.1</v>
      </c>
      <c r="J18" s="103" t="n">
        <f aca="false">SUMIFS(EffortDistribution[Distribution],EffortDistribution[Group],EffortDistribution[Group])</f>
        <v>1</v>
      </c>
    </row>
    <row r="19" customFormat="false" ht="15" hidden="false" customHeight="false" outlineLevel="0" collapsed="false">
      <c r="A19" s="0" t="s">
        <v>92</v>
      </c>
      <c r="B19" s="0" t="s">
        <v>112</v>
      </c>
      <c r="C19" s="0" t="s">
        <v>108</v>
      </c>
      <c r="D19" s="23" t="n">
        <v>4.25531914893617</v>
      </c>
      <c r="E19" s="122" t="n">
        <f aca="false">Clusters[[#This Row],[Effort]]*1.2</f>
        <v>5.1063829787234</v>
      </c>
      <c r="G19" s="0" t="s">
        <v>88</v>
      </c>
      <c r="H19" s="0" t="s">
        <v>97</v>
      </c>
      <c r="I19" s="103" t="n">
        <v>0.05</v>
      </c>
      <c r="J19" s="103" t="n">
        <f aca="false">SUMIFS(EffortDistribution[Distribution],EffortDistribution[Group],EffortDistribution[Group])</f>
        <v>1</v>
      </c>
    </row>
    <row r="20" customFormat="false" ht="15" hidden="false" customHeight="false" outlineLevel="0" collapsed="false">
      <c r="A20" s="0" t="s">
        <v>92</v>
      </c>
      <c r="B20" s="0" t="s">
        <v>114</v>
      </c>
      <c r="C20" s="0" t="s">
        <v>108</v>
      </c>
      <c r="D20" s="23" t="n">
        <v>8.51063829787234</v>
      </c>
      <c r="E20" s="122" t="n">
        <f aca="false">Clusters[[#This Row],[Effort]]*1.2</f>
        <v>10.2127659574468</v>
      </c>
      <c r="G20" s="0" t="s">
        <v>88</v>
      </c>
      <c r="H20" s="103" t="s">
        <v>99</v>
      </c>
      <c r="I20" s="103" t="n">
        <v>0.05</v>
      </c>
      <c r="J20" s="103" t="n">
        <f aca="false">SUMIFS(EffortDistribution[Distribution],EffortDistribution[Group],EffortDistribution[Group])</f>
        <v>1</v>
      </c>
    </row>
    <row r="21" customFormat="false" ht="15" hidden="false" customHeight="false" outlineLevel="0" collapsed="false">
      <c r="A21" s="0" t="s">
        <v>92</v>
      </c>
      <c r="B21" s="0" t="s">
        <v>116</v>
      </c>
      <c r="C21" s="0" t="s">
        <v>108</v>
      </c>
      <c r="D21" s="23" t="n">
        <v>16</v>
      </c>
      <c r="E21" s="122" t="n">
        <f aca="false">Clusters[[#This Row],[Effort]]*1.2</f>
        <v>19.2</v>
      </c>
      <c r="I21" s="103"/>
      <c r="J21" s="103"/>
    </row>
    <row r="22" customFormat="false" ht="15" hidden="false" customHeight="false" outlineLevel="0" collapsed="false">
      <c r="A22" s="0" t="s">
        <v>93</v>
      </c>
      <c r="B22" s="0" t="s">
        <v>107</v>
      </c>
      <c r="C22" s="0" t="s">
        <v>108</v>
      </c>
      <c r="D22" s="23" t="n">
        <v>1.06382978723404</v>
      </c>
      <c r="E22" s="122" t="n">
        <f aca="false">Clusters[[#This Row],[Effort]]*1.2</f>
        <v>1.27659574468085</v>
      </c>
      <c r="I22" s="103"/>
      <c r="J22" s="103"/>
    </row>
    <row r="23" customFormat="false" ht="15" hidden="false" customHeight="false" outlineLevel="0" collapsed="false">
      <c r="A23" s="0" t="s">
        <v>93</v>
      </c>
      <c r="B23" s="0" t="s">
        <v>110</v>
      </c>
      <c r="C23" s="0" t="s">
        <v>108</v>
      </c>
      <c r="D23" s="23" t="n">
        <v>2.12765957446808</v>
      </c>
      <c r="E23" s="122" t="n">
        <f aca="false">Clusters[[#This Row],[Effort]]*1.2</f>
        <v>2.5531914893617</v>
      </c>
    </row>
    <row r="24" customFormat="false" ht="15" hidden="false" customHeight="false" outlineLevel="0" collapsed="false">
      <c r="A24" s="0" t="s">
        <v>93</v>
      </c>
      <c r="B24" s="0" t="s">
        <v>112</v>
      </c>
      <c r="C24" s="0" t="s">
        <v>108</v>
      </c>
      <c r="D24" s="23" t="n">
        <v>3.19148936170213</v>
      </c>
      <c r="E24" s="122" t="n">
        <f aca="false">Clusters[[#This Row],[Effort]]*1.2</f>
        <v>3.82978723404255</v>
      </c>
    </row>
    <row r="25" customFormat="false" ht="15" hidden="false" customHeight="false" outlineLevel="0" collapsed="false">
      <c r="A25" s="0" t="s">
        <v>93</v>
      </c>
      <c r="B25" s="0" t="s">
        <v>114</v>
      </c>
      <c r="C25" s="0" t="s">
        <v>108</v>
      </c>
      <c r="D25" s="23" t="n">
        <v>4.25531914893617</v>
      </c>
      <c r="E25" s="122" t="n">
        <f aca="false">Clusters[[#This Row],[Effort]]*1.2</f>
        <v>5.1063829787234</v>
      </c>
    </row>
    <row r="26" customFormat="false" ht="15" hidden="false" customHeight="false" outlineLevel="0" collapsed="false">
      <c r="A26" s="0" t="s">
        <v>93</v>
      </c>
      <c r="B26" s="0" t="s">
        <v>116</v>
      </c>
      <c r="C26" s="0" t="s">
        <v>108</v>
      </c>
      <c r="D26" s="23" t="n">
        <v>8</v>
      </c>
      <c r="E26" s="122" t="n">
        <f aca="false">Clusters[[#This Row],[Effort]]*1.2</f>
        <v>9.6</v>
      </c>
    </row>
    <row r="27" customFormat="false" ht="15" hidden="false" customHeight="false" outlineLevel="0" collapsed="false">
      <c r="A27" s="0" t="s">
        <v>94</v>
      </c>
      <c r="B27" s="0" t="s">
        <v>107</v>
      </c>
      <c r="C27" s="0" t="s">
        <v>108</v>
      </c>
      <c r="D27" s="23" t="n">
        <v>1.06382978723404</v>
      </c>
      <c r="E27" s="122" t="n">
        <f aca="false">Clusters[[#This Row],[Effort]]*1.2</f>
        <v>1.27659574468085</v>
      </c>
    </row>
    <row r="28" customFormat="false" ht="15" hidden="false" customHeight="false" outlineLevel="0" collapsed="false">
      <c r="A28" s="0" t="s">
        <v>94</v>
      </c>
      <c r="B28" s="0" t="s">
        <v>110</v>
      </c>
      <c r="C28" s="0" t="s">
        <v>108</v>
      </c>
      <c r="D28" s="23" t="n">
        <v>4.25531914893617</v>
      </c>
      <c r="E28" s="122" t="n">
        <f aca="false">Clusters[[#This Row],[Effort]]*1.2</f>
        <v>5.1063829787234</v>
      </c>
    </row>
    <row r="29" customFormat="false" ht="15" hidden="false" customHeight="false" outlineLevel="0" collapsed="false">
      <c r="A29" s="0" t="s">
        <v>94</v>
      </c>
      <c r="B29" s="0" t="s">
        <v>112</v>
      </c>
      <c r="C29" s="0" t="s">
        <v>108</v>
      </c>
      <c r="D29" s="23" t="n">
        <v>5.31914893617021</v>
      </c>
      <c r="E29" s="122" t="n">
        <f aca="false">Clusters[[#This Row],[Effort]]*1.2</f>
        <v>6.38297872340426</v>
      </c>
    </row>
    <row r="30" customFormat="false" ht="15" hidden="false" customHeight="false" outlineLevel="0" collapsed="false">
      <c r="A30" s="0" t="s">
        <v>94</v>
      </c>
      <c r="B30" s="0" t="s">
        <v>114</v>
      </c>
      <c r="C30" s="0" t="s">
        <v>108</v>
      </c>
      <c r="D30" s="23" t="n">
        <v>9.57446808510638</v>
      </c>
      <c r="E30" s="122" t="n">
        <f aca="false">Clusters[[#This Row],[Effort]]*1.2</f>
        <v>11.4893617021277</v>
      </c>
    </row>
    <row r="31" customFormat="false" ht="15" hidden="false" customHeight="false" outlineLevel="0" collapsed="false">
      <c r="A31" s="0" t="s">
        <v>94</v>
      </c>
      <c r="B31" s="0" t="s">
        <v>116</v>
      </c>
      <c r="C31" s="0" t="s">
        <v>108</v>
      </c>
      <c r="D31" s="23" t="n">
        <v>14.8936170212766</v>
      </c>
      <c r="E31" s="122" t="n">
        <f aca="false">Clusters[[#This Row],[Effort]]*1.2</f>
        <v>17.8723404255319</v>
      </c>
    </row>
    <row r="32" customFormat="false" ht="15" hidden="false" customHeight="false" outlineLevel="0" collapsed="false">
      <c r="A32" s="0" t="s">
        <v>96</v>
      </c>
      <c r="B32" s="0" t="s">
        <v>107</v>
      </c>
      <c r="C32" s="0" t="s">
        <v>108</v>
      </c>
      <c r="D32" s="23" t="n">
        <v>2.12765957446808</v>
      </c>
      <c r="E32" s="122" t="n">
        <f aca="false">Clusters[[#This Row],[Effort]]*1.2</f>
        <v>2.5531914893617</v>
      </c>
    </row>
    <row r="33" customFormat="false" ht="15" hidden="false" customHeight="false" outlineLevel="0" collapsed="false">
      <c r="A33" s="0" t="s">
        <v>96</v>
      </c>
      <c r="B33" s="0" t="s">
        <v>110</v>
      </c>
      <c r="C33" s="0" t="s">
        <v>108</v>
      </c>
      <c r="D33" s="23" t="n">
        <v>4.25531914893617</v>
      </c>
      <c r="E33" s="122" t="n">
        <f aca="false">Clusters[[#This Row],[Effort]]*1.2</f>
        <v>5.1063829787234</v>
      </c>
    </row>
    <row r="34" customFormat="false" ht="15" hidden="false" customHeight="false" outlineLevel="0" collapsed="false">
      <c r="A34" s="0" t="s">
        <v>96</v>
      </c>
      <c r="B34" s="0" t="s">
        <v>112</v>
      </c>
      <c r="C34" s="0" t="s">
        <v>108</v>
      </c>
      <c r="D34" s="23" t="n">
        <v>8.51063829787234</v>
      </c>
      <c r="E34" s="122" t="n">
        <f aca="false">Clusters[[#This Row],[Effort]]*1.2</f>
        <v>10.2127659574468</v>
      </c>
    </row>
    <row r="35" customFormat="false" ht="15" hidden="false" customHeight="false" outlineLevel="0" collapsed="false">
      <c r="A35" s="0" t="s">
        <v>96</v>
      </c>
      <c r="B35" s="0" t="s">
        <v>114</v>
      </c>
      <c r="C35" s="0" t="s">
        <v>108</v>
      </c>
      <c r="D35" s="23" t="n">
        <v>17.0212765957447</v>
      </c>
      <c r="E35" s="122" t="n">
        <f aca="false">Clusters[[#This Row],[Effort]]*1.2</f>
        <v>20.4255319148936</v>
      </c>
    </row>
    <row r="36" customFormat="false" ht="15" hidden="false" customHeight="false" outlineLevel="0" collapsed="false">
      <c r="A36" s="0" t="s">
        <v>96</v>
      </c>
      <c r="B36" s="0" t="s">
        <v>116</v>
      </c>
      <c r="C36" s="0" t="s">
        <v>108</v>
      </c>
      <c r="D36" s="23" t="n">
        <v>35</v>
      </c>
      <c r="E36" s="122" t="n">
        <f aca="false">Clusters[[#This Row],[Effort]]*1.2</f>
        <v>42</v>
      </c>
    </row>
    <row r="37" customFormat="false" ht="15" hidden="false" customHeight="false" outlineLevel="0" collapsed="false">
      <c r="A37" s="0" t="s">
        <v>97</v>
      </c>
      <c r="B37" s="0" t="s">
        <v>107</v>
      </c>
      <c r="C37" s="0" t="s">
        <v>108</v>
      </c>
      <c r="D37" s="23" t="n">
        <v>1.06382978723404</v>
      </c>
      <c r="E37" s="122" t="n">
        <f aca="false">Clusters[[#This Row],[Effort]]*1.2</f>
        <v>1.27659574468085</v>
      </c>
    </row>
    <row r="38" customFormat="false" ht="15" hidden="false" customHeight="false" outlineLevel="0" collapsed="false">
      <c r="A38" s="0" t="s">
        <v>97</v>
      </c>
      <c r="B38" s="0" t="s">
        <v>110</v>
      </c>
      <c r="C38" s="0" t="s">
        <v>108</v>
      </c>
      <c r="D38" s="23" t="n">
        <v>2.12765957446808</v>
      </c>
      <c r="E38" s="122" t="n">
        <f aca="false">Clusters[[#This Row],[Effort]]*1.2</f>
        <v>2.5531914893617</v>
      </c>
    </row>
    <row r="39" customFormat="false" ht="15" hidden="false" customHeight="false" outlineLevel="0" collapsed="false">
      <c r="A39" s="0" t="s">
        <v>97</v>
      </c>
      <c r="B39" s="0" t="s">
        <v>112</v>
      </c>
      <c r="C39" s="0" t="s">
        <v>108</v>
      </c>
      <c r="D39" s="23" t="n">
        <v>4.25531914893617</v>
      </c>
      <c r="E39" s="122" t="n">
        <f aca="false">Clusters[[#This Row],[Effort]]*1.2</f>
        <v>5.1063829787234</v>
      </c>
    </row>
    <row r="40" customFormat="false" ht="15" hidden="false" customHeight="false" outlineLevel="0" collapsed="false">
      <c r="A40" s="0" t="s">
        <v>97</v>
      </c>
      <c r="B40" s="0" t="s">
        <v>114</v>
      </c>
      <c r="C40" s="0" t="s">
        <v>108</v>
      </c>
      <c r="D40" s="23" t="n">
        <v>8.51063829787234</v>
      </c>
      <c r="E40" s="122" t="n">
        <f aca="false">Clusters[[#This Row],[Effort]]*1.2</f>
        <v>10.2127659574468</v>
      </c>
    </row>
    <row r="41" customFormat="false" ht="15" hidden="false" customHeight="false" outlineLevel="0" collapsed="false">
      <c r="A41" s="0" t="s">
        <v>97</v>
      </c>
      <c r="B41" s="0" t="s">
        <v>116</v>
      </c>
      <c r="C41" s="0" t="s">
        <v>108</v>
      </c>
      <c r="D41" s="23" t="n">
        <v>16</v>
      </c>
      <c r="E41" s="122" t="n">
        <f aca="false">Clusters[[#This Row],[Effort]]*1.2</f>
        <v>19.2</v>
      </c>
    </row>
    <row r="42" customFormat="false" ht="15" hidden="false" customHeight="false" outlineLevel="0" collapsed="false">
      <c r="A42" s="0" t="s">
        <v>98</v>
      </c>
      <c r="B42" s="0" t="s">
        <v>107</v>
      </c>
      <c r="C42" s="0" t="s">
        <v>108</v>
      </c>
      <c r="D42" s="23" t="n">
        <v>1.06382978723404</v>
      </c>
      <c r="E42" s="122" t="n">
        <f aca="false">Clusters[[#This Row],[Effort]]*1.2</f>
        <v>1.27659574468085</v>
      </c>
    </row>
    <row r="43" customFormat="false" ht="15" hidden="false" customHeight="false" outlineLevel="0" collapsed="false">
      <c r="A43" s="0" t="s">
        <v>98</v>
      </c>
      <c r="B43" s="0" t="s">
        <v>110</v>
      </c>
      <c r="C43" s="0" t="s">
        <v>108</v>
      </c>
      <c r="D43" s="23" t="n">
        <v>2.12765957446808</v>
      </c>
      <c r="E43" s="122" t="n">
        <f aca="false">Clusters[[#This Row],[Effort]]*1.2</f>
        <v>2.5531914893617</v>
      </c>
    </row>
    <row r="44" customFormat="false" ht="15" hidden="false" customHeight="false" outlineLevel="0" collapsed="false">
      <c r="A44" s="0" t="s">
        <v>98</v>
      </c>
      <c r="B44" s="0" t="s">
        <v>112</v>
      </c>
      <c r="C44" s="0" t="s">
        <v>108</v>
      </c>
      <c r="D44" s="23" t="n">
        <v>3.19148936170213</v>
      </c>
      <c r="E44" s="122" t="n">
        <f aca="false">Clusters[[#This Row],[Effort]]*1.2</f>
        <v>3.82978723404255</v>
      </c>
    </row>
    <row r="45" customFormat="false" ht="15" hidden="false" customHeight="false" outlineLevel="0" collapsed="false">
      <c r="A45" s="0" t="s">
        <v>98</v>
      </c>
      <c r="B45" s="0" t="s">
        <v>114</v>
      </c>
      <c r="C45" s="0" t="s">
        <v>108</v>
      </c>
      <c r="D45" s="23" t="n">
        <v>5.31914893617021</v>
      </c>
      <c r="E45" s="122" t="n">
        <f aca="false">Clusters[[#This Row],[Effort]]*1.2</f>
        <v>6.38297872340426</v>
      </c>
    </row>
    <row r="46" customFormat="false" ht="15" hidden="false" customHeight="false" outlineLevel="0" collapsed="false">
      <c r="A46" s="0" t="s">
        <v>98</v>
      </c>
      <c r="B46" s="0" t="s">
        <v>116</v>
      </c>
      <c r="C46" s="0" t="s">
        <v>108</v>
      </c>
      <c r="D46" s="23" t="n">
        <v>8</v>
      </c>
      <c r="E46" s="122" t="n">
        <f aca="false">Clusters[[#This Row],[Effort]]*1.2</f>
        <v>9.6</v>
      </c>
    </row>
    <row r="47" customFormat="false" ht="15" hidden="false" customHeight="false" outlineLevel="0" collapsed="false">
      <c r="A47" s="0" t="s">
        <v>99</v>
      </c>
      <c r="B47" s="0" t="s">
        <v>107</v>
      </c>
      <c r="C47" s="0" t="s">
        <v>108</v>
      </c>
      <c r="D47" s="23" t="n">
        <v>2.12765957446808</v>
      </c>
      <c r="E47" s="122" t="n">
        <f aca="false">Clusters[[#This Row],[Effort]]*1.2</f>
        <v>2.5531914893617</v>
      </c>
    </row>
    <row r="48" customFormat="false" ht="15" hidden="false" customHeight="false" outlineLevel="0" collapsed="false">
      <c r="A48" s="0" t="s">
        <v>99</v>
      </c>
      <c r="B48" s="0" t="s">
        <v>110</v>
      </c>
      <c r="C48" s="0" t="s">
        <v>108</v>
      </c>
      <c r="D48" s="23" t="n">
        <v>4.25531914893617</v>
      </c>
      <c r="E48" s="122" t="n">
        <f aca="false">Clusters[[#This Row],[Effort]]*1.2</f>
        <v>5.1063829787234</v>
      </c>
    </row>
    <row r="49" customFormat="false" ht="15" hidden="false" customHeight="false" outlineLevel="0" collapsed="false">
      <c r="A49" s="0" t="s">
        <v>99</v>
      </c>
      <c r="B49" s="0" t="s">
        <v>112</v>
      </c>
      <c r="C49" s="0" t="s">
        <v>108</v>
      </c>
      <c r="D49" s="23" t="n">
        <v>8.51063829787234</v>
      </c>
      <c r="E49" s="122" t="n">
        <f aca="false">Clusters[[#This Row],[Effort]]*1.2</f>
        <v>10.2127659574468</v>
      </c>
    </row>
    <row r="50" customFormat="false" ht="15" hidden="false" customHeight="false" outlineLevel="0" collapsed="false">
      <c r="A50" s="0" t="s">
        <v>99</v>
      </c>
      <c r="B50" s="0" t="s">
        <v>114</v>
      </c>
      <c r="C50" s="0" t="s">
        <v>108</v>
      </c>
      <c r="D50" s="23" t="n">
        <v>17.0212765957447</v>
      </c>
      <c r="E50" s="122" t="n">
        <f aca="false">Clusters[[#This Row],[Effort]]*1.2</f>
        <v>20.4255319148936</v>
      </c>
    </row>
    <row r="51" customFormat="false" ht="15" hidden="false" customHeight="false" outlineLevel="0" collapsed="false">
      <c r="A51" s="0" t="s">
        <v>99</v>
      </c>
      <c r="B51" s="0" t="s">
        <v>116</v>
      </c>
      <c r="C51" s="0" t="s">
        <v>108</v>
      </c>
      <c r="D51" s="23" t="n">
        <v>35</v>
      </c>
      <c r="E51" s="122" t="n">
        <f aca="false">Clusters[[#This Row],[Effort]]*1.2</f>
        <v>42</v>
      </c>
    </row>
    <row r="52" customFormat="false" ht="15" hidden="false" customHeight="false" outlineLevel="0" collapsed="false">
      <c r="A52" s="0" t="s">
        <v>95</v>
      </c>
      <c r="B52" s="0" t="s">
        <v>107</v>
      </c>
      <c r="C52" s="0" t="s">
        <v>108</v>
      </c>
      <c r="D52" s="23" t="n">
        <v>1.06382978723404</v>
      </c>
      <c r="E52" s="122" t="n">
        <f aca="false">Clusters[[#This Row],[Effort]]*1.2</f>
        <v>1.27659574468085</v>
      </c>
    </row>
    <row r="53" customFormat="false" ht="15" hidden="false" customHeight="false" outlineLevel="0" collapsed="false">
      <c r="A53" s="0" t="s">
        <v>95</v>
      </c>
      <c r="B53" s="0" t="s">
        <v>110</v>
      </c>
      <c r="C53" s="0" t="s">
        <v>108</v>
      </c>
      <c r="D53" s="23" t="n">
        <v>2.12765957446808</v>
      </c>
      <c r="E53" s="122" t="n">
        <f aca="false">Clusters[[#This Row],[Effort]]*1.2</f>
        <v>2.5531914893617</v>
      </c>
    </row>
    <row r="54" customFormat="false" ht="15" hidden="false" customHeight="false" outlineLevel="0" collapsed="false">
      <c r="A54" s="0" t="s">
        <v>95</v>
      </c>
      <c r="B54" s="0" t="s">
        <v>112</v>
      </c>
      <c r="C54" s="0" t="s">
        <v>108</v>
      </c>
      <c r="D54" s="23" t="n">
        <v>3.19148936170213</v>
      </c>
      <c r="E54" s="122" t="n">
        <f aca="false">Clusters[[#This Row],[Effort]]*1.2</f>
        <v>3.82978723404255</v>
      </c>
    </row>
    <row r="55" customFormat="false" ht="15" hidden="false" customHeight="false" outlineLevel="0" collapsed="false">
      <c r="A55" s="0" t="s">
        <v>95</v>
      </c>
      <c r="B55" s="0" t="s">
        <v>114</v>
      </c>
      <c r="C55" s="0" t="s">
        <v>108</v>
      </c>
      <c r="D55" s="23" t="n">
        <v>5.31914893617021</v>
      </c>
      <c r="E55" s="122" t="n">
        <f aca="false">Clusters[[#This Row],[Effort]]*1.2</f>
        <v>6.38297872340426</v>
      </c>
    </row>
    <row r="56" customFormat="false" ht="15" hidden="false" customHeight="false" outlineLevel="0" collapsed="false">
      <c r="A56" s="0" t="s">
        <v>95</v>
      </c>
      <c r="B56" s="0" t="s">
        <v>116</v>
      </c>
      <c r="C56" s="0" t="s">
        <v>108</v>
      </c>
      <c r="D56" s="23" t="n">
        <v>8</v>
      </c>
      <c r="E56" s="122" t="n">
        <f aca="false">Clusters[[#This Row],[Effort]]*1.2</f>
        <v>9.6</v>
      </c>
    </row>
    <row r="57" customFormat="false" ht="15" hidden="false" customHeight="false" outlineLevel="0" collapsed="false">
      <c r="A57" s="107" t="s">
        <v>123</v>
      </c>
      <c r="B57" s="0" t="s">
        <v>107</v>
      </c>
      <c r="C57" s="0" t="s">
        <v>108</v>
      </c>
      <c r="D57" s="23" t="n">
        <v>1.06382978723404</v>
      </c>
      <c r="E57" s="122" t="n">
        <f aca="false">Clusters[[#This Row],[Effort]]*1.2</f>
        <v>1.27659574468085</v>
      </c>
    </row>
    <row r="58" customFormat="false" ht="15" hidden="false" customHeight="false" outlineLevel="0" collapsed="false">
      <c r="A58" s="107" t="s">
        <v>123</v>
      </c>
      <c r="B58" s="0" t="s">
        <v>110</v>
      </c>
      <c r="C58" s="0" t="s">
        <v>108</v>
      </c>
      <c r="D58" s="23" t="n">
        <v>2.12765957446808</v>
      </c>
      <c r="E58" s="122" t="n">
        <f aca="false">Clusters[[#This Row],[Effort]]*1.2</f>
        <v>2.5531914893617</v>
      </c>
    </row>
    <row r="59" customFormat="false" ht="15" hidden="false" customHeight="false" outlineLevel="0" collapsed="false">
      <c r="A59" s="107" t="s">
        <v>123</v>
      </c>
      <c r="B59" s="0" t="s">
        <v>112</v>
      </c>
      <c r="C59" s="0" t="s">
        <v>108</v>
      </c>
      <c r="D59" s="23" t="n">
        <v>4.25531914893617</v>
      </c>
      <c r="E59" s="122" t="n">
        <f aca="false">Clusters[[#This Row],[Effort]]*1.2</f>
        <v>5.1063829787234</v>
      </c>
    </row>
    <row r="60" customFormat="false" ht="15" hidden="false" customHeight="false" outlineLevel="0" collapsed="false">
      <c r="A60" s="107" t="s">
        <v>123</v>
      </c>
      <c r="B60" s="0" t="s">
        <v>114</v>
      </c>
      <c r="C60" s="0" t="s">
        <v>108</v>
      </c>
      <c r="D60" s="23" t="n">
        <v>8.51063829787234</v>
      </c>
      <c r="E60" s="122" t="n">
        <f aca="false">Clusters[[#This Row],[Effort]]*1.2</f>
        <v>10.2127659574468</v>
      </c>
    </row>
    <row r="61" customFormat="false" ht="15" hidden="false" customHeight="false" outlineLevel="0" collapsed="false">
      <c r="A61" s="107" t="s">
        <v>123</v>
      </c>
      <c r="B61" s="0" t="s">
        <v>116</v>
      </c>
      <c r="C61" s="0" t="s">
        <v>108</v>
      </c>
      <c r="D61" s="23" t="n">
        <v>16</v>
      </c>
      <c r="E61" s="122" t="n">
        <f aca="false">Clusters[[#This Row],[Effort]]*1.2</f>
        <v>19.2</v>
      </c>
    </row>
    <row r="62" customFormat="false" ht="15" hidden="false" customHeight="false" outlineLevel="0" collapsed="false">
      <c r="A62" s="107" t="s">
        <v>115</v>
      </c>
      <c r="B62" s="0" t="s">
        <v>107</v>
      </c>
      <c r="C62" s="0" t="s">
        <v>124</v>
      </c>
      <c r="D62" s="23" t="n">
        <v>0.0531914893617021</v>
      </c>
      <c r="E62" s="122" t="n">
        <f aca="false">Clusters[[#This Row],[Effort]]*1.2</f>
        <v>0.0638297872340426</v>
      </c>
    </row>
    <row r="63" customFormat="false" ht="15" hidden="false" customHeight="false" outlineLevel="0" collapsed="false">
      <c r="A63" s="107" t="s">
        <v>115</v>
      </c>
      <c r="B63" s="0" t="s">
        <v>110</v>
      </c>
      <c r="C63" s="0" t="s">
        <v>124</v>
      </c>
      <c r="D63" s="23" t="n">
        <v>0.106382978723404</v>
      </c>
      <c r="E63" s="122" t="n">
        <f aca="false">Clusters[[#This Row],[Effort]]*1.2</f>
        <v>0.127659574468085</v>
      </c>
    </row>
    <row r="64" customFormat="false" ht="15" hidden="false" customHeight="false" outlineLevel="0" collapsed="false">
      <c r="A64" s="107" t="s">
        <v>115</v>
      </c>
      <c r="B64" s="0" t="s">
        <v>112</v>
      </c>
      <c r="C64" s="0" t="s">
        <v>124</v>
      </c>
      <c r="D64" s="23" t="n">
        <v>0.159574468085106</v>
      </c>
      <c r="E64" s="122" t="n">
        <f aca="false">Clusters[[#This Row],[Effort]]*1.2</f>
        <v>0.191489361702128</v>
      </c>
    </row>
    <row r="65" customFormat="false" ht="15" hidden="false" customHeight="false" outlineLevel="0" collapsed="false">
      <c r="A65" s="107" t="s">
        <v>115</v>
      </c>
      <c r="B65" s="0" t="s">
        <v>114</v>
      </c>
      <c r="C65" s="0" t="s">
        <v>124</v>
      </c>
      <c r="D65" s="23" t="n">
        <v>0.212765957446808</v>
      </c>
      <c r="E65" s="122" t="n">
        <f aca="false">Clusters[[#This Row],[Effort]]*1.2</f>
        <v>0.25531914893617</v>
      </c>
    </row>
    <row r="66" customFormat="false" ht="15" hidden="false" customHeight="false" outlineLevel="0" collapsed="false">
      <c r="A66" s="107" t="s">
        <v>115</v>
      </c>
      <c r="B66" s="0" t="s">
        <v>116</v>
      </c>
      <c r="C66" s="0" t="s">
        <v>124</v>
      </c>
      <c r="D66" s="23" t="n">
        <v>0.3</v>
      </c>
      <c r="E66" s="122" t="n">
        <f aca="false">Clusters[[#This Row],[Effort]]*1.2</f>
        <v>0.36</v>
      </c>
    </row>
    <row r="67" customFormat="false" ht="15" hidden="false" customHeight="false" outlineLevel="0" collapsed="false">
      <c r="A67" s="107" t="s">
        <v>121</v>
      </c>
      <c r="B67" s="0" t="s">
        <v>107</v>
      </c>
      <c r="C67" s="0" t="s">
        <v>108</v>
      </c>
      <c r="D67" s="23" t="n">
        <v>2.12765957446808</v>
      </c>
      <c r="E67" s="122" t="n">
        <f aca="false">Clusters[[#This Row],[Effort]]*1.2</f>
        <v>2.5531914893617</v>
      </c>
    </row>
    <row r="68" customFormat="false" ht="15" hidden="false" customHeight="false" outlineLevel="0" collapsed="false">
      <c r="A68" s="107" t="s">
        <v>121</v>
      </c>
      <c r="B68" s="0" t="s">
        <v>110</v>
      </c>
      <c r="C68" s="0" t="s">
        <v>108</v>
      </c>
      <c r="D68" s="23" t="n">
        <v>4.25531914893617</v>
      </c>
      <c r="E68" s="122" t="n">
        <f aca="false">Clusters[[#This Row],[Effort]]*1.2</f>
        <v>5.1063829787234</v>
      </c>
    </row>
    <row r="69" customFormat="false" ht="15" hidden="false" customHeight="false" outlineLevel="0" collapsed="false">
      <c r="A69" s="107" t="s">
        <v>121</v>
      </c>
      <c r="B69" s="0" t="s">
        <v>112</v>
      </c>
      <c r="C69" s="0" t="s">
        <v>108</v>
      </c>
      <c r="D69" s="23" t="n">
        <v>8.51063829787234</v>
      </c>
      <c r="E69" s="122" t="n">
        <f aca="false">Clusters[[#This Row],[Effort]]*1.2</f>
        <v>10.2127659574468</v>
      </c>
    </row>
    <row r="70" customFormat="false" ht="15" hidden="false" customHeight="false" outlineLevel="0" collapsed="false">
      <c r="A70" s="107" t="s">
        <v>121</v>
      </c>
      <c r="B70" s="0" t="s">
        <v>114</v>
      </c>
      <c r="C70" s="0" t="s">
        <v>108</v>
      </c>
      <c r="D70" s="23" t="n">
        <v>17.0212765957447</v>
      </c>
      <c r="E70" s="122" t="n">
        <f aca="false">Clusters[[#This Row],[Effort]]*1.2</f>
        <v>20.4255319148936</v>
      </c>
    </row>
    <row r="71" customFormat="false" ht="15" hidden="false" customHeight="false" outlineLevel="0" collapsed="false">
      <c r="A71" s="107" t="s">
        <v>121</v>
      </c>
      <c r="B71" s="0" t="s">
        <v>116</v>
      </c>
      <c r="C71" s="0" t="s">
        <v>108</v>
      </c>
      <c r="D71" s="23" t="n">
        <v>35</v>
      </c>
      <c r="E71" s="122" t="n">
        <f aca="false">Clusters[[#This Row],[Effort]]*1.2</f>
        <v>42</v>
      </c>
    </row>
    <row r="72" customFormat="false" ht="15" hidden="false" customHeight="false" outlineLevel="0" collapsed="false">
      <c r="A72" s="107" t="s">
        <v>120</v>
      </c>
      <c r="B72" s="0" t="s">
        <v>107</v>
      </c>
      <c r="C72" s="0" t="s">
        <v>108</v>
      </c>
      <c r="D72" s="23" t="n">
        <v>1.06382978723404</v>
      </c>
      <c r="E72" s="122" t="n">
        <f aca="false">Clusters[[#This Row],[Effort]]*1.2</f>
        <v>1.27659574468085</v>
      </c>
    </row>
    <row r="73" customFormat="false" ht="15" hidden="false" customHeight="false" outlineLevel="0" collapsed="false">
      <c r="A73" s="107" t="s">
        <v>120</v>
      </c>
      <c r="B73" s="0" t="s">
        <v>110</v>
      </c>
      <c r="C73" s="0" t="s">
        <v>108</v>
      </c>
      <c r="D73" s="23" t="n">
        <v>2.12765957446808</v>
      </c>
      <c r="E73" s="122" t="n">
        <f aca="false">Clusters[[#This Row],[Effort]]*1.2</f>
        <v>2.5531914893617</v>
      </c>
    </row>
    <row r="74" customFormat="false" ht="15" hidden="false" customHeight="false" outlineLevel="0" collapsed="false">
      <c r="A74" s="107" t="s">
        <v>120</v>
      </c>
      <c r="B74" s="0" t="s">
        <v>112</v>
      </c>
      <c r="C74" s="0" t="s">
        <v>108</v>
      </c>
      <c r="D74" s="23" t="n">
        <v>4.25531914893617</v>
      </c>
      <c r="E74" s="122" t="n">
        <f aca="false">Clusters[[#This Row],[Effort]]*1.2</f>
        <v>5.1063829787234</v>
      </c>
    </row>
    <row r="75" customFormat="false" ht="15" hidden="false" customHeight="false" outlineLevel="0" collapsed="false">
      <c r="A75" s="107" t="s">
        <v>120</v>
      </c>
      <c r="B75" s="0" t="s">
        <v>114</v>
      </c>
      <c r="C75" s="0" t="s">
        <v>108</v>
      </c>
      <c r="D75" s="23" t="n">
        <v>8.51063829787234</v>
      </c>
      <c r="E75" s="122" t="n">
        <f aca="false">Clusters[[#This Row],[Effort]]*1.2</f>
        <v>10.2127659574468</v>
      </c>
    </row>
    <row r="76" customFormat="false" ht="15" hidden="false" customHeight="false" outlineLevel="0" collapsed="false">
      <c r="A76" s="107" t="s">
        <v>120</v>
      </c>
      <c r="B76" s="0" t="s">
        <v>116</v>
      </c>
      <c r="C76" s="0" t="s">
        <v>108</v>
      </c>
      <c r="D76" s="23" t="n">
        <v>16</v>
      </c>
      <c r="E76" s="122" t="n">
        <f aca="false">Clusters[[#This Row],[Effort]]*1.2</f>
        <v>19.2</v>
      </c>
    </row>
    <row r="77" customFormat="false" ht="15" hidden="false" customHeight="false" outlineLevel="0" collapsed="false">
      <c r="A77" s="107" t="s">
        <v>113</v>
      </c>
      <c r="B77" s="0" t="s">
        <v>107</v>
      </c>
      <c r="C77" s="0" t="s">
        <v>108</v>
      </c>
      <c r="D77" s="23" t="n">
        <v>4.25531914893617</v>
      </c>
      <c r="E77" s="122" t="n">
        <f aca="false">Clusters[[#This Row],[Effort]]*1.2</f>
        <v>5.1063829787234</v>
      </c>
    </row>
    <row r="78" customFormat="false" ht="15" hidden="false" customHeight="false" outlineLevel="0" collapsed="false">
      <c r="A78" s="107" t="s">
        <v>113</v>
      </c>
      <c r="B78" s="0" t="s">
        <v>110</v>
      </c>
      <c r="C78" s="0" t="s">
        <v>108</v>
      </c>
      <c r="D78" s="23" t="n">
        <v>17.0212765957447</v>
      </c>
      <c r="E78" s="122" t="n">
        <f aca="false">Clusters[[#This Row],[Effort]]*1.2</f>
        <v>20.4255319148936</v>
      </c>
    </row>
    <row r="79" customFormat="false" ht="15" hidden="false" customHeight="false" outlineLevel="0" collapsed="false">
      <c r="A79" s="107" t="s">
        <v>113</v>
      </c>
      <c r="B79" s="0" t="s">
        <v>112</v>
      </c>
      <c r="C79" s="0" t="s">
        <v>108</v>
      </c>
      <c r="D79" s="23" t="n">
        <v>25.531914893617</v>
      </c>
      <c r="E79" s="122" t="n">
        <f aca="false">Clusters[[#This Row],[Effort]]*1.2</f>
        <v>30.6382978723404</v>
      </c>
    </row>
    <row r="80" customFormat="false" ht="15" hidden="false" customHeight="false" outlineLevel="0" collapsed="false">
      <c r="A80" s="107" t="s">
        <v>113</v>
      </c>
      <c r="B80" s="0" t="s">
        <v>114</v>
      </c>
      <c r="C80" s="0" t="s">
        <v>108</v>
      </c>
      <c r="D80" s="23" t="n">
        <v>42.5531914893617</v>
      </c>
      <c r="E80" s="122" t="n">
        <f aca="false">Clusters[[#This Row],[Effort]]*1.2</f>
        <v>51.063829787234</v>
      </c>
    </row>
    <row r="81" customFormat="false" ht="15" hidden="false" customHeight="false" outlineLevel="0" collapsed="false">
      <c r="A81" s="107" t="s">
        <v>113</v>
      </c>
      <c r="B81" s="0" t="s">
        <v>116</v>
      </c>
      <c r="C81" s="0" t="s">
        <v>108</v>
      </c>
      <c r="D81" s="23" t="n">
        <v>51.063829787234</v>
      </c>
      <c r="E81" s="122" t="n">
        <f aca="false">Clusters[[#This Row],[Effort]]*1.2</f>
        <v>61.2765957446809</v>
      </c>
    </row>
    <row r="82" customFormat="false" ht="15" hidden="false" customHeight="false" outlineLevel="0" collapsed="false">
      <c r="A82" s="0" t="s">
        <v>109</v>
      </c>
      <c r="B82" s="0" t="s">
        <v>107</v>
      </c>
      <c r="C82" s="0" t="s">
        <v>108</v>
      </c>
      <c r="D82" s="23" t="n">
        <v>1.06382978723404</v>
      </c>
      <c r="E82" s="122" t="n">
        <f aca="false">Clusters[[#This Row],[Effort]]*1.2</f>
        <v>1.27659574468085</v>
      </c>
    </row>
    <row r="83" customFormat="false" ht="15" hidden="false" customHeight="false" outlineLevel="0" collapsed="false">
      <c r="A83" s="107" t="s">
        <v>109</v>
      </c>
      <c r="B83" s="0" t="s">
        <v>110</v>
      </c>
      <c r="C83" s="0" t="s">
        <v>108</v>
      </c>
      <c r="D83" s="23" t="n">
        <v>2.12765957446808</v>
      </c>
      <c r="E83" s="122" t="n">
        <f aca="false">Clusters[[#This Row],[Effort]]*1.2</f>
        <v>2.5531914893617</v>
      </c>
    </row>
    <row r="84" customFormat="false" ht="15" hidden="false" customHeight="false" outlineLevel="0" collapsed="false">
      <c r="A84" s="107" t="s">
        <v>109</v>
      </c>
      <c r="B84" s="0" t="s">
        <v>112</v>
      </c>
      <c r="C84" s="0" t="s">
        <v>108</v>
      </c>
      <c r="D84" s="23" t="n">
        <v>4.25531914893617</v>
      </c>
      <c r="E84" s="122" t="n">
        <f aca="false">Clusters[[#This Row],[Effort]]*1.2</f>
        <v>5.1063829787234</v>
      </c>
    </row>
    <row r="85" customFormat="false" ht="15" hidden="false" customHeight="false" outlineLevel="0" collapsed="false">
      <c r="A85" s="107" t="s">
        <v>109</v>
      </c>
      <c r="B85" s="0" t="s">
        <v>114</v>
      </c>
      <c r="C85" s="0" t="s">
        <v>108</v>
      </c>
      <c r="D85" s="23" t="n">
        <v>8.51063829787234</v>
      </c>
      <c r="E85" s="122" t="n">
        <f aca="false">Clusters[[#This Row],[Effort]]*1.2</f>
        <v>10.2127659574468</v>
      </c>
    </row>
    <row r="86" customFormat="false" ht="15" hidden="false" customHeight="false" outlineLevel="0" collapsed="false">
      <c r="A86" s="107" t="s">
        <v>109</v>
      </c>
      <c r="B86" s="0" t="s">
        <v>116</v>
      </c>
      <c r="C86" s="0" t="s">
        <v>108</v>
      </c>
      <c r="D86" s="23" t="n">
        <v>16</v>
      </c>
      <c r="E86" s="122" t="n">
        <f aca="false">Clusters[[#This Row],[Effort]]*1.2</f>
        <v>19.2</v>
      </c>
    </row>
    <row r="87" customFormat="false" ht="15" hidden="false" customHeight="false" outlineLevel="0" collapsed="false">
      <c r="A87" s="107" t="s">
        <v>111</v>
      </c>
      <c r="B87" s="0" t="s">
        <v>107</v>
      </c>
      <c r="C87" s="0" t="s">
        <v>125</v>
      </c>
      <c r="D87" s="23" t="n">
        <v>0.0531914893617021</v>
      </c>
      <c r="E87" s="122" t="n">
        <f aca="false">Clusters[[#This Row],[Effort]]*1.2</f>
        <v>0.0638297872340426</v>
      </c>
    </row>
    <row r="88" customFormat="false" ht="15" hidden="false" customHeight="false" outlineLevel="0" collapsed="false">
      <c r="A88" s="107" t="s">
        <v>111</v>
      </c>
      <c r="B88" s="0" t="s">
        <v>110</v>
      </c>
      <c r="C88" s="0" t="s">
        <v>125</v>
      </c>
      <c r="D88" s="23" t="n">
        <v>0.106382978723404</v>
      </c>
      <c r="E88" s="122" t="n">
        <f aca="false">Clusters[[#This Row],[Effort]]*1.2</f>
        <v>0.127659574468085</v>
      </c>
    </row>
    <row r="89" customFormat="false" ht="15" hidden="false" customHeight="false" outlineLevel="0" collapsed="false">
      <c r="A89" s="107" t="s">
        <v>111</v>
      </c>
      <c r="B89" s="0" t="s">
        <v>112</v>
      </c>
      <c r="C89" s="0" t="s">
        <v>125</v>
      </c>
      <c r="D89" s="23" t="n">
        <v>0.159574468085106</v>
      </c>
      <c r="E89" s="122" t="n">
        <f aca="false">Clusters[[#This Row],[Effort]]*1.2</f>
        <v>0.191489361702128</v>
      </c>
    </row>
    <row r="90" customFormat="false" ht="15" hidden="false" customHeight="false" outlineLevel="0" collapsed="false">
      <c r="A90" s="107" t="s">
        <v>111</v>
      </c>
      <c r="B90" s="0" t="s">
        <v>114</v>
      </c>
      <c r="C90" s="0" t="s">
        <v>125</v>
      </c>
      <c r="D90" s="23" t="n">
        <v>0.212765957446808</v>
      </c>
      <c r="E90" s="122" t="n">
        <f aca="false">Clusters[[#This Row],[Effort]]*1.2</f>
        <v>0.25531914893617</v>
      </c>
    </row>
    <row r="91" customFormat="false" ht="15" hidden="false" customHeight="false" outlineLevel="0" collapsed="false">
      <c r="A91" s="107" t="s">
        <v>111</v>
      </c>
      <c r="B91" s="0" t="s">
        <v>116</v>
      </c>
      <c r="C91" s="0" t="s">
        <v>125</v>
      </c>
      <c r="D91" s="23" t="n">
        <v>0.3</v>
      </c>
      <c r="E91" s="122" t="n">
        <f aca="false">Clusters[[#This Row],[Effort]]*1.2</f>
        <v>0.36</v>
      </c>
    </row>
    <row r="92" customFormat="false" ht="15" hidden="false" customHeight="false" outlineLevel="0" collapsed="false">
      <c r="A92" s="107" t="s">
        <v>119</v>
      </c>
      <c r="B92" s="0" t="s">
        <v>107</v>
      </c>
      <c r="C92" s="0" t="s">
        <v>124</v>
      </c>
      <c r="D92" s="23" t="n">
        <v>0.0106382978723404</v>
      </c>
      <c r="E92" s="122" t="n">
        <f aca="false">Clusters[[#This Row],[Effort]]*1.2</f>
        <v>0.0127659574468085</v>
      </c>
    </row>
    <row r="93" customFormat="false" ht="15" hidden="false" customHeight="false" outlineLevel="0" collapsed="false">
      <c r="A93" s="107" t="s">
        <v>119</v>
      </c>
      <c r="B93" s="0" t="s">
        <v>110</v>
      </c>
      <c r="C93" s="0" t="s">
        <v>124</v>
      </c>
      <c r="D93" s="23" t="n">
        <v>0.0531914893617021</v>
      </c>
      <c r="E93" s="122" t="n">
        <f aca="false">Clusters[[#This Row],[Effort]]*1.2</f>
        <v>0.0638297872340426</v>
      </c>
    </row>
    <row r="94" customFormat="false" ht="15" hidden="false" customHeight="false" outlineLevel="0" collapsed="false">
      <c r="A94" s="107" t="s">
        <v>119</v>
      </c>
      <c r="B94" s="0" t="s">
        <v>112</v>
      </c>
      <c r="C94" s="0" t="s">
        <v>124</v>
      </c>
      <c r="D94" s="23" t="n">
        <v>0.106382978723404</v>
      </c>
      <c r="E94" s="122" t="n">
        <f aca="false">Clusters[[#This Row],[Effort]]*1.2</f>
        <v>0.127659574468085</v>
      </c>
    </row>
    <row r="95" customFormat="false" ht="15" hidden="false" customHeight="false" outlineLevel="0" collapsed="false">
      <c r="A95" s="107" t="s">
        <v>119</v>
      </c>
      <c r="B95" s="0" t="s">
        <v>114</v>
      </c>
      <c r="C95" s="0" t="s">
        <v>124</v>
      </c>
      <c r="D95" s="23" t="n">
        <v>0.212765957446808</v>
      </c>
      <c r="E95" s="122" t="n">
        <f aca="false">Clusters[[#This Row],[Effort]]*1.2</f>
        <v>0.25531914893617</v>
      </c>
    </row>
    <row r="96" customFormat="false" ht="15" hidden="false" customHeight="false" outlineLevel="0" collapsed="false">
      <c r="A96" s="107" t="s">
        <v>119</v>
      </c>
      <c r="B96" s="0" t="s">
        <v>116</v>
      </c>
      <c r="C96" s="0" t="s">
        <v>124</v>
      </c>
      <c r="D96" s="23" t="n">
        <v>0.3</v>
      </c>
      <c r="E96" s="122" t="n">
        <f aca="false">Clusters[[#This Row],[Effort]]*1.2</f>
        <v>0.36</v>
      </c>
    </row>
    <row r="97" customFormat="false" ht="15" hidden="false" customHeight="false" outlineLevel="0" collapsed="false">
      <c r="A97" s="0" t="s">
        <v>126</v>
      </c>
      <c r="B97" s="0" t="s">
        <v>107</v>
      </c>
      <c r="C97" s="0" t="s">
        <v>108</v>
      </c>
      <c r="D97" s="23" t="n">
        <v>2.12765957446808</v>
      </c>
      <c r="E97" s="122" t="n">
        <f aca="false">Clusters[[#This Row],[Effort]]*1.2</f>
        <v>2.5531914893617</v>
      </c>
    </row>
    <row r="98" customFormat="false" ht="15" hidden="false" customHeight="false" outlineLevel="0" collapsed="false">
      <c r="A98" s="0" t="s">
        <v>126</v>
      </c>
      <c r="B98" s="0" t="s">
        <v>110</v>
      </c>
      <c r="C98" s="0" t="s">
        <v>108</v>
      </c>
      <c r="D98" s="23" t="n">
        <v>4.25531914893617</v>
      </c>
      <c r="E98" s="122" t="n">
        <f aca="false">Clusters[[#This Row],[Effort]]*1.2</f>
        <v>5.1063829787234</v>
      </c>
    </row>
    <row r="99" customFormat="false" ht="15" hidden="false" customHeight="false" outlineLevel="0" collapsed="false">
      <c r="A99" s="0" t="s">
        <v>126</v>
      </c>
      <c r="B99" s="0" t="s">
        <v>112</v>
      </c>
      <c r="C99" s="0" t="s">
        <v>108</v>
      </c>
      <c r="D99" s="23" t="n">
        <v>8.51063829787234</v>
      </c>
      <c r="E99" s="122" t="n">
        <f aca="false">Clusters[[#This Row],[Effort]]*1.2</f>
        <v>10.2127659574468</v>
      </c>
    </row>
    <row r="100" customFormat="false" ht="15" hidden="false" customHeight="false" outlineLevel="0" collapsed="false">
      <c r="A100" s="0" t="s">
        <v>126</v>
      </c>
      <c r="B100" s="0" t="s">
        <v>114</v>
      </c>
      <c r="C100" s="0" t="s">
        <v>108</v>
      </c>
      <c r="D100" s="23" t="n">
        <v>17.0212765957447</v>
      </c>
      <c r="E100" s="122" t="n">
        <f aca="false">Clusters[[#This Row],[Effort]]*1.2</f>
        <v>20.4255319148936</v>
      </c>
    </row>
    <row r="101" customFormat="false" ht="15" hidden="false" customHeight="false" outlineLevel="0" collapsed="false">
      <c r="A101" s="0" t="s">
        <v>126</v>
      </c>
      <c r="B101" s="0" t="s">
        <v>116</v>
      </c>
      <c r="C101" s="0" t="s">
        <v>108</v>
      </c>
      <c r="D101" s="23" t="n">
        <v>35</v>
      </c>
      <c r="E101" s="122" t="n">
        <f aca="false">Clusters[[#This Row],[Effort]]*1.2</f>
        <v>42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FF0000"/>
    <pageSetUpPr fitToPage="false"/>
  </sheetPr>
  <dimension ref="A1:AW2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35.5627530364373"/>
    <col collapsed="false" hidden="false" max="2" min="2" style="0" width="15.7449392712551"/>
    <col collapsed="false" hidden="false" max="3" min="3" style="0" width="17.1376518218624"/>
    <col collapsed="false" hidden="false" max="4" min="4" style="0" width="15.7449392712551"/>
    <col collapsed="false" hidden="false" max="5" min="5" style="0" width="47.9878542510121"/>
    <col collapsed="false" hidden="false" max="6" min="6" style="0" width="54.7368421052632"/>
    <col collapsed="false" hidden="false" max="7" min="7" style="0" width="17.5668016194332"/>
    <col collapsed="false" hidden="false" max="8" min="8" style="0" width="24.8502024291498"/>
    <col collapsed="false" hidden="false" max="9" min="9" style="0" width="17.5668016194332"/>
    <col collapsed="false" hidden="false" max="10" min="10" style="0" width="81.838056680162"/>
    <col collapsed="false" hidden="true" max="12" min="11" style="0" width="0"/>
    <col collapsed="false" hidden="false" max="13" min="13" style="0" width="28.9230769230769"/>
    <col collapsed="false" hidden="false" max="14" min="14" style="0" width="24.8502024291498"/>
    <col collapsed="false" hidden="false" max="15" min="15" style="0" width="17.5668016194332"/>
    <col collapsed="false" hidden="false" max="16" min="16" style="0" width="81.838056680162"/>
    <col collapsed="false" hidden="true" max="22" min="17" style="0" width="0"/>
    <col collapsed="false" hidden="false" max="23" min="23" style="0" width="14.5668016194332"/>
    <col collapsed="false" hidden="false" max="24" min="24" style="0" width="10.497975708502"/>
    <col collapsed="false" hidden="false" max="25" min="25" style="17" width="17.246963562753"/>
    <col collapsed="false" hidden="false" max="26" min="26" style="0" width="19.1740890688259"/>
    <col collapsed="false" hidden="false" max="27" min="27" style="0" width="17.7813765182186"/>
    <col collapsed="false" hidden="false" max="28" min="28" style="0" width="12.5344129554656"/>
    <col collapsed="false" hidden="false" max="29" min="29" style="0" width="19.4939271255061"/>
    <col collapsed="false" hidden="false" max="30" min="30" style="0" width="16.1740890688259"/>
    <col collapsed="false" hidden="false" max="31" min="31" style="0" width="15.9595141700405"/>
    <col collapsed="false" hidden="false" max="32" min="32" style="0" width="17.7813765182186"/>
    <col collapsed="false" hidden="false" max="33" min="33" style="0" width="17.5668016194332"/>
    <col collapsed="false" hidden="false" max="34" min="34" style="0" width="15.6396761133603"/>
    <col collapsed="false" hidden="false" max="35" min="35" style="0" width="15.7449392712551"/>
    <col collapsed="false" hidden="false" max="36" min="36" style="0" width="13.0688259109312"/>
    <col collapsed="false" hidden="false" max="37" min="37" style="0" width="12.748987854251"/>
    <col collapsed="false" hidden="false" max="38" min="38" style="0" width="15.7449392712551"/>
    <col collapsed="false" hidden="false" max="39" min="39" style="0" width="16.1740890688259"/>
    <col collapsed="false" hidden="false" max="40" min="40" style="0" width="13.3886639676113"/>
    <col collapsed="false" hidden="false" max="41" min="41" style="0" width="17.1376518218624"/>
    <col collapsed="false" hidden="false" max="42" min="42" style="0" width="16.497975708502"/>
    <col collapsed="false" hidden="false" max="43" min="43" style="0" width="36.4210526315789"/>
    <col collapsed="false" hidden="false" max="44" min="44" style="0" width="24.2105263157895"/>
    <col collapsed="false" hidden="false" max="45" min="45" style="0" width="20.4615384615385"/>
    <col collapsed="false" hidden="false" max="46" min="46" style="0" width="23.4574898785425"/>
    <col collapsed="false" hidden="false" max="47" min="47" style="0" width="81.838056680162"/>
    <col collapsed="false" hidden="false" max="48" min="48" style="0" width="21.8542510121457"/>
    <col collapsed="false" hidden="false" max="51" min="49" style="0" width="17.0323886639676"/>
    <col collapsed="false" hidden="false" max="52" min="52" style="0" width="22.2793522267206"/>
    <col collapsed="false" hidden="false" max="53" min="53" style="0" width="81.4089068825911"/>
    <col collapsed="false" hidden="false" max="54" min="54" style="0" width="13.497975708502"/>
    <col collapsed="false" hidden="false" max="55" min="55" style="0" width="20.7813765182186"/>
    <col collapsed="false" hidden="false" max="56" min="56" style="0" width="16.1740890688259"/>
    <col collapsed="false" hidden="false" max="57" min="57" style="0" width="22.2793522267206"/>
    <col collapsed="false" hidden="false" max="58" min="58" style="0" width="17.5668016194332"/>
    <col collapsed="false" hidden="false" max="59" min="59" style="0" width="22.8178137651822"/>
    <col collapsed="false" hidden="false" max="60" min="60" style="0" width="19.2834008097166"/>
    <col collapsed="false" hidden="false" max="61" min="61" style="0" width="22.2793522267206"/>
    <col collapsed="false" hidden="false" max="62" min="62" style="0" width="81.4089068825911"/>
    <col collapsed="false" hidden="false" max="63" min="63" style="0" width="13.497975708502"/>
    <col collapsed="false" hidden="false" max="64" min="64" style="0" width="20.7813765182186"/>
    <col collapsed="false" hidden="false" max="65" min="65" style="0" width="16.1740890688259"/>
    <col collapsed="false" hidden="false" max="66" min="66" style="0" width="22.2793522267206"/>
    <col collapsed="false" hidden="false" max="68" min="67" style="0" width="17.5668016194332"/>
    <col collapsed="false" hidden="false" max="69" min="69" style="0" width="11.4615384615385"/>
    <col collapsed="false" hidden="false" max="71" min="70" style="0" width="81.4089068825911"/>
    <col collapsed="false" hidden="false" max="72" min="72" style="0" width="11.4615384615385"/>
    <col collapsed="false" hidden="false" max="73" min="73" style="0" width="15.4251012145749"/>
    <col collapsed="false" hidden="false" max="74" min="74" style="0" width="19.8178137651822"/>
    <col collapsed="false" hidden="false" max="75" min="75" style="0" width="16.8178137651822"/>
    <col collapsed="false" hidden="false" max="76" min="76" style="0" width="13.3886639676113"/>
    <col collapsed="false" hidden="false" max="77" min="77" style="0" width="15.1052631578947"/>
    <col collapsed="false" hidden="false" max="78" min="78" style="0" width="16.3886639676113"/>
    <col collapsed="false" hidden="false" max="79" min="79" style="0" width="15.2105263157895"/>
    <col collapsed="false" hidden="false" max="80" min="80" style="0" width="45.8461538461538"/>
    <col collapsed="false" hidden="false" max="81" min="81" style="0" width="52.8097165991903"/>
    <col collapsed="false" hidden="false" max="82" min="82" style="0" width="20.4615384615385"/>
    <col collapsed="false" hidden="false" max="83" min="83" style="0" width="21.8542510121457"/>
    <col collapsed="false" hidden="false" max="84" min="84" style="0" width="15.4251012145749"/>
    <col collapsed="false" hidden="false" max="85" min="85" style="0" width="11.4615384615385"/>
    <col collapsed="false" hidden="false" max="87" min="86" style="0" width="81.4089068825911"/>
    <col collapsed="false" hidden="false" max="89" min="88" style="0" width="57.8461538461538"/>
    <col collapsed="false" hidden="false" max="90" min="90" style="0" width="81.4089068825911"/>
    <col collapsed="false" hidden="false" max="91" min="91" style="0" width="24.3157894736842"/>
    <col collapsed="false" hidden="false" max="92" min="92" style="0" width="81.4089068825911"/>
    <col collapsed="false" hidden="false" max="93" min="93" style="0" width="22.8178137651822"/>
    <col collapsed="false" hidden="false" max="94" min="94" style="0" width="10.7125506072875"/>
    <col collapsed="false" hidden="false" max="95" min="95" style="0" width="15.7449392712551"/>
    <col collapsed="false" hidden="false" max="96" min="96" style="0" width="10.1781376518219"/>
    <col collapsed="false" hidden="false" max="97" min="97" style="0" width="22.8178137651822"/>
    <col collapsed="false" hidden="false" max="98" min="98" style="0" width="14.7813765182186"/>
    <col collapsed="false" hidden="false" max="1025" min="99" style="0" width="8.67611336032389"/>
  </cols>
  <sheetData>
    <row r="1" customFormat="false" ht="15" hidden="false" customHeight="false" outlineLevel="0" collapsed="false">
      <c r="A1" s="11" t="s">
        <v>127</v>
      </c>
      <c r="B1" s="0" t="s">
        <v>128</v>
      </c>
      <c r="C1" s="0" t="s">
        <v>129</v>
      </c>
      <c r="D1" s="0" t="s">
        <v>130</v>
      </c>
      <c r="E1" s="0" t="s">
        <v>131</v>
      </c>
      <c r="F1" s="0" t="s">
        <v>132</v>
      </c>
      <c r="G1" s="0" t="s">
        <v>7</v>
      </c>
      <c r="H1" s="0" t="s">
        <v>9</v>
      </c>
      <c r="I1" s="0" t="s">
        <v>10</v>
      </c>
      <c r="J1" s="0" t="s">
        <v>133</v>
      </c>
      <c r="K1" s="0" t="s">
        <v>134</v>
      </c>
      <c r="L1" s="0" t="s">
        <v>135</v>
      </c>
      <c r="M1" s="0" t="s">
        <v>12</v>
      </c>
      <c r="N1" s="0" t="s">
        <v>11</v>
      </c>
      <c r="O1" s="0" t="s">
        <v>13</v>
      </c>
      <c r="P1" s="0" t="s">
        <v>136</v>
      </c>
      <c r="Q1" s="0" t="s">
        <v>137</v>
      </c>
      <c r="R1" s="0" t="s">
        <v>138</v>
      </c>
      <c r="S1" s="11" t="s">
        <v>139</v>
      </c>
      <c r="T1" s="11" t="s">
        <v>140</v>
      </c>
      <c r="U1" s="11" t="s">
        <v>141</v>
      </c>
      <c r="V1" s="11" t="s">
        <v>142</v>
      </c>
      <c r="W1" s="11" t="s">
        <v>143</v>
      </c>
      <c r="X1" s="11" t="s">
        <v>144</v>
      </c>
      <c r="Y1" s="11" t="s">
        <v>145</v>
      </c>
      <c r="Z1" s="11" t="s">
        <v>146</v>
      </c>
      <c r="AA1" s="11" t="s">
        <v>147</v>
      </c>
      <c r="AB1" s="11" t="s">
        <v>148</v>
      </c>
      <c r="AC1" s="11" t="s">
        <v>149</v>
      </c>
      <c r="AD1" s="11" t="s">
        <v>150</v>
      </c>
      <c r="AE1" s="11" t="s">
        <v>151</v>
      </c>
      <c r="AF1" s="11" t="s">
        <v>152</v>
      </c>
      <c r="AG1" s="11" t="s">
        <v>153</v>
      </c>
      <c r="AH1" s="11" t="s">
        <v>154</v>
      </c>
      <c r="AI1" s="11" t="s">
        <v>155</v>
      </c>
      <c r="AJ1" s="0" t="s">
        <v>156</v>
      </c>
      <c r="AK1" s="0" t="s">
        <v>157</v>
      </c>
      <c r="AL1" s="0" t="s">
        <v>158</v>
      </c>
      <c r="AM1" s="0" t="s">
        <v>159</v>
      </c>
      <c r="AN1" s="0" t="s">
        <v>160</v>
      </c>
      <c r="AO1" s="0" t="s">
        <v>161</v>
      </c>
      <c r="AP1" s="0" t="s">
        <v>162</v>
      </c>
      <c r="AQ1" s="0" t="s">
        <v>163</v>
      </c>
      <c r="AR1" s="0" t="s">
        <v>164</v>
      </c>
      <c r="AS1" s="0" t="s">
        <v>165</v>
      </c>
      <c r="AT1" s="0" t="s">
        <v>166</v>
      </c>
      <c r="AU1" s="0" t="s">
        <v>167</v>
      </c>
      <c r="AV1" s="0" t="s">
        <v>168</v>
      </c>
      <c r="AW1" s="0" t="s">
        <v>169</v>
      </c>
    </row>
    <row r="2" customFormat="false" ht="15" hidden="false" customHeight="false" outlineLevel="0" collapsed="false">
      <c r="A2" s="0" t="n">
        <v>1</v>
      </c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6"/>
      <c r="AW2" s="126"/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000000"/>
    <pageSetUpPr fitToPage="false"/>
  </sheetPr>
  <dimension ref="A1:F1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8.35627530364373"/>
    <col collapsed="false" hidden="false" max="2" min="2" style="0" width="9.74898785425101"/>
    <col collapsed="false" hidden="false" max="3" min="3" style="0" width="14.9959514170041"/>
    <col collapsed="false" hidden="false" max="4" min="4" style="0" width="16.3886639676113"/>
    <col collapsed="false" hidden="false" max="5" min="5" style="0" width="8.67611336032389"/>
    <col collapsed="false" hidden="false" max="6" min="6" style="0" width="10.1781376518219"/>
    <col collapsed="false" hidden="false" max="1025" min="7" style="0" width="8.67611336032389"/>
  </cols>
  <sheetData>
    <row r="1" s="1" customFormat="true" ht="15" hidden="false" customHeight="false" outlineLevel="0" collapsed="false">
      <c r="A1" s="127" t="s">
        <v>170</v>
      </c>
      <c r="B1" s="127"/>
      <c r="C1" s="127" t="s">
        <v>171</v>
      </c>
      <c r="D1" s="127"/>
      <c r="E1" s="127" t="s">
        <v>172</v>
      </c>
      <c r="F1" s="127"/>
    </row>
    <row r="2" customFormat="false" ht="15" hidden="false" customHeight="false" outlineLevel="0" collapsed="false">
      <c r="A2" s="0" t="s">
        <v>173</v>
      </c>
      <c r="B2" s="0" t="str">
        <f aca="false">CONCATENATE(ROW()-2, ".",A2)</f>
        <v>0.Done</v>
      </c>
      <c r="C2" s="0" t="s">
        <v>173</v>
      </c>
      <c r="D2" s="0" t="str">
        <f aca="false">CONCATENATE(ROW()-2, ".",C2)</f>
        <v>0.Done</v>
      </c>
      <c r="E2" s="0" t="s">
        <v>173</v>
      </c>
      <c r="F2" s="0" t="str">
        <f aca="false">CONCATENATE(ROW()-2, ".",E2)</f>
        <v>0.Done</v>
      </c>
    </row>
    <row r="3" customFormat="false" ht="15" hidden="false" customHeight="false" outlineLevel="0" collapsed="false">
      <c r="A3" s="0" t="s">
        <v>174</v>
      </c>
      <c r="B3" s="0" t="str">
        <f aca="false">CONCATENATE(ROW()-2, ".",A3)</f>
        <v>1.UATing</v>
      </c>
      <c r="C3" s="0" t="s">
        <v>175</v>
      </c>
      <c r="D3" s="0" t="str">
        <f aca="false">CONCATENATE(ROW()-2, ".",C3)</f>
        <v>1.QAing</v>
      </c>
      <c r="E3" s="0" t="s">
        <v>176</v>
      </c>
      <c r="F3" s="0" t="str">
        <f aca="false">CONCATENATE(ROW()-2, ".",E3)</f>
        <v>1.Reviewing</v>
      </c>
    </row>
    <row r="4" customFormat="false" ht="15" hidden="false" customHeight="false" outlineLevel="0" collapsed="false">
      <c r="A4" s="0" t="s">
        <v>177</v>
      </c>
      <c r="B4" s="0" t="str">
        <f aca="false">CONCATENATE(ROW()-2, ".",A4)</f>
        <v>2.To UAT</v>
      </c>
      <c r="C4" s="0" t="s">
        <v>178</v>
      </c>
      <c r="D4" s="0" t="str">
        <f aca="false">CONCATENATE(ROW()-2, ".",C4)</f>
        <v>2.To QA</v>
      </c>
      <c r="E4" s="0" t="s">
        <v>179</v>
      </c>
      <c r="F4" s="0" t="str">
        <f aca="false">CONCATENATE(ROW()-2, ".",E4)</f>
        <v>2.To Review</v>
      </c>
    </row>
    <row r="5" customFormat="false" ht="15" hidden="false" customHeight="false" outlineLevel="0" collapsed="false">
      <c r="A5" s="0" t="s">
        <v>180</v>
      </c>
      <c r="B5" s="0" t="str">
        <f aca="false">CONCATENATE(ROW()-2, ".",A5)</f>
        <v>3.Doing</v>
      </c>
      <c r="C5" s="0" t="s">
        <v>181</v>
      </c>
      <c r="D5" s="0" t="str">
        <f aca="false">CONCATENATE(ROW()-2, ".",C5)</f>
        <v>3.Feature Reviewing</v>
      </c>
      <c r="E5" s="0" t="s">
        <v>180</v>
      </c>
      <c r="F5" s="0" t="str">
        <f aca="false">CONCATENATE(ROW()-2, ".",E5)</f>
        <v>3.Doing</v>
      </c>
    </row>
    <row r="6" customFormat="false" ht="15" hidden="false" customHeight="false" outlineLevel="0" collapsed="false">
      <c r="A6" s="0" t="s">
        <v>182</v>
      </c>
      <c r="B6" s="0" t="str">
        <f aca="false">CONCATENATE(ROW()-2, ".",A6)</f>
        <v>4.To Do</v>
      </c>
      <c r="C6" s="0" t="s">
        <v>183</v>
      </c>
      <c r="D6" s="0" t="str">
        <f aca="false">CONCATENATE(ROW()-2, ".",C6)</f>
        <v>4.To Feature Review</v>
      </c>
      <c r="E6" s="0" t="s">
        <v>182</v>
      </c>
      <c r="F6" s="0" t="str">
        <f aca="false">CONCATENATE(ROW()-2, ".",E6)</f>
        <v>4.To Do</v>
      </c>
    </row>
    <row r="7" customFormat="false" ht="15" hidden="false" customHeight="false" outlineLevel="0" collapsed="false">
      <c r="A7" s="0" t="s">
        <v>184</v>
      </c>
      <c r="B7" s="0" t="str">
        <f aca="false">CONCATENATE(ROW()-2, ".",A7)</f>
        <v>5.Open</v>
      </c>
      <c r="C7" s="0" t="s">
        <v>185</v>
      </c>
      <c r="D7" s="0" t="str">
        <f aca="false">CONCATENATE(ROW()-2, ".",C7)</f>
        <v>5.Alpha Testing</v>
      </c>
      <c r="E7" s="0" t="s">
        <v>184</v>
      </c>
      <c r="F7" s="0" t="str">
        <f aca="false">CONCATENATE(ROW()-2, ".",E7)</f>
        <v>5.Open</v>
      </c>
    </row>
    <row r="8" customFormat="false" ht="15" hidden="false" customHeight="false" outlineLevel="0" collapsed="false">
      <c r="A8" s="0" t="s">
        <v>186</v>
      </c>
      <c r="B8" s="0" t="s">
        <v>187</v>
      </c>
      <c r="C8" s="0" t="s">
        <v>188</v>
      </c>
      <c r="D8" s="0" t="str">
        <f aca="false">CONCATENATE(ROW()-2, ".",C8)</f>
        <v>6.To Alpha Test</v>
      </c>
      <c r="E8" s="0" t="s">
        <v>186</v>
      </c>
      <c r="F8" s="0" t="s">
        <v>187</v>
      </c>
    </row>
    <row r="9" customFormat="false" ht="15" hidden="false" customHeight="false" outlineLevel="0" collapsed="false">
      <c r="C9" s="0" t="s">
        <v>180</v>
      </c>
      <c r="D9" s="0" t="str">
        <f aca="false">CONCATENATE(ROW()-2, ".",C9)</f>
        <v>7.Doing</v>
      </c>
    </row>
    <row r="10" customFormat="false" ht="15" hidden="false" customHeight="false" outlineLevel="0" collapsed="false">
      <c r="C10" s="0" t="s">
        <v>182</v>
      </c>
      <c r="D10" s="0" t="str">
        <f aca="false">CONCATENATE(ROW()-2, ".",C10)</f>
        <v>8.To Do</v>
      </c>
    </row>
    <row r="11" customFormat="false" ht="15" hidden="false" customHeight="false" outlineLevel="0" collapsed="false">
      <c r="C11" s="0" t="s">
        <v>184</v>
      </c>
      <c r="D11" s="0" t="str">
        <f aca="false">CONCATENATE(ROW()-2, ".",C11)</f>
        <v>9.Open</v>
      </c>
    </row>
    <row r="12" customFormat="false" ht="15" hidden="false" customHeight="false" outlineLevel="0" collapsed="false">
      <c r="C12" s="0" t="s">
        <v>186</v>
      </c>
      <c r="D12" s="0" t="s">
        <v>187</v>
      </c>
    </row>
  </sheetData>
  <mergeCells count="3">
    <mergeCell ref="A1:B1"/>
    <mergeCell ref="C1:D1"/>
    <mergeCell ref="E1:F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000000"/>
    <pageSetUpPr fitToPage="false"/>
  </sheetPr>
  <dimension ref="A1:R3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A1" activeCellId="0" sqref="A1"/>
    </sheetView>
  </sheetViews>
  <sheetFormatPr defaultRowHeight="15"/>
  <cols>
    <col collapsed="false" hidden="false" max="1" min="1" style="16" width="15.2105263157895"/>
    <col collapsed="false" hidden="false" max="2" min="2" style="16" width="22.6032388663968"/>
    <col collapsed="false" hidden="false" max="3" min="3" style="16" width="58.165991902834"/>
    <col collapsed="false" hidden="false" max="4" min="4" style="16" width="70.2712550607288"/>
    <col collapsed="false" hidden="false" max="5" min="5" style="128" width="14.9959514170041"/>
    <col collapsed="false" hidden="false" max="6" min="6" style="16" width="24.5303643724696"/>
    <col collapsed="false" hidden="false" max="7" min="7" style="16" width="9"/>
    <col collapsed="false" hidden="false" max="8" min="8" style="16" width="8.35627530364373"/>
    <col collapsed="false" hidden="false" max="9" min="9" style="129" width="9.74898785425101"/>
    <col collapsed="false" hidden="false" max="10" min="10" style="129" width="14.7813765182186"/>
    <col collapsed="false" hidden="false" max="11" min="11" style="130" width="31.7085020242915"/>
    <col collapsed="false" hidden="false" max="12" min="12" style="16" width="10.9271255060729"/>
    <col collapsed="false" hidden="false" max="13" min="13" style="131" width="9.96356275303644"/>
    <col collapsed="false" hidden="false" max="14" min="14" style="131" width="9.10526315789474"/>
    <col collapsed="false" hidden="false" max="15" min="15" style="132" width="18.4251012145749"/>
    <col collapsed="false" hidden="false" max="16" min="16" style="16" width="24.2105263157895"/>
    <col collapsed="false" hidden="false" max="17" min="17" style="16" width="12.4251012145749"/>
    <col collapsed="false" hidden="false" max="18" min="18" style="16" width="15.7449392712551"/>
    <col collapsed="false" hidden="false" max="19" min="19" style="16" width="3.64372469635628"/>
    <col collapsed="false" hidden="false" max="1025" min="20" style="16" width="8.1417004048583"/>
  </cols>
  <sheetData>
    <row r="1" s="24" customFormat="true" ht="15" hidden="false" customHeight="false" outlineLevel="0" collapsed="false">
      <c r="A1" s="133" t="s">
        <v>51</v>
      </c>
      <c r="B1" s="133" t="s">
        <v>53</v>
      </c>
      <c r="C1" s="133" t="s">
        <v>54</v>
      </c>
      <c r="D1" s="133" t="s">
        <v>55</v>
      </c>
      <c r="E1" s="133" t="s">
        <v>52</v>
      </c>
      <c r="F1" s="133" t="s">
        <v>48</v>
      </c>
      <c r="G1" s="133" t="s">
        <v>26</v>
      </c>
      <c r="H1" s="133" t="s">
        <v>189</v>
      </c>
      <c r="I1" s="133" t="s">
        <v>102</v>
      </c>
      <c r="J1" s="133" t="s">
        <v>190</v>
      </c>
      <c r="K1" s="134" t="s">
        <v>191</v>
      </c>
      <c r="L1" s="133" t="s">
        <v>49</v>
      </c>
      <c r="M1" s="135" t="s">
        <v>23</v>
      </c>
      <c r="N1" s="136" t="s">
        <v>192</v>
      </c>
      <c r="O1" s="137" t="s">
        <v>193</v>
      </c>
      <c r="P1" s="134" t="s">
        <v>194</v>
      </c>
      <c r="Q1" s="24" t="s">
        <v>195</v>
      </c>
      <c r="R1" s="24" t="s">
        <v>196</v>
      </c>
    </row>
    <row r="2" customFormat="false" ht="15" hidden="false" customHeight="false" outlineLevel="0" collapsed="false">
      <c r="A2" s="16" t="s">
        <v>62</v>
      </c>
      <c r="B2" s="16" t="s">
        <v>63</v>
      </c>
      <c r="C2" s="16" t="s">
        <v>197</v>
      </c>
      <c r="D2" s="16" t="s">
        <v>198</v>
      </c>
      <c r="E2" s="128" t="s">
        <v>58</v>
      </c>
      <c r="F2" s="16" t="s">
        <v>96</v>
      </c>
      <c r="G2" s="16" t="s">
        <v>35</v>
      </c>
      <c r="H2" s="16" t="s">
        <v>112</v>
      </c>
      <c r="I2" s="129" t="n">
        <v>8.51063829787234</v>
      </c>
      <c r="J2" s="129" t="n">
        <v>10.2127659574468</v>
      </c>
      <c r="K2" s="130" t="n">
        <v>4.90212765957447</v>
      </c>
      <c r="L2" s="16" t="s">
        <v>37</v>
      </c>
      <c r="M2" s="12" t="n">
        <v>42905</v>
      </c>
      <c r="N2" s="12" t="n">
        <v>42909</v>
      </c>
      <c r="O2" s="132" t="n">
        <v>0.612765957446808</v>
      </c>
      <c r="P2" s="16" t="n">
        <v>4.90212765957447</v>
      </c>
      <c r="Q2" s="16" t="n">
        <v>1</v>
      </c>
      <c r="R2" s="16" t="n">
        <v>8.51063829787234</v>
      </c>
    </row>
    <row r="3" customFormat="false" ht="15" hidden="false" customHeight="false" outlineLevel="0" collapsed="false">
      <c r="A3" s="16" t="s">
        <v>62</v>
      </c>
      <c r="B3" s="16" t="s">
        <v>65</v>
      </c>
      <c r="C3" s="16" t="s">
        <v>199</v>
      </c>
      <c r="D3" s="16" t="s">
        <v>200</v>
      </c>
      <c r="E3" s="128" t="s">
        <v>58</v>
      </c>
      <c r="F3" s="16" t="s">
        <v>97</v>
      </c>
      <c r="G3" s="16" t="s">
        <v>35</v>
      </c>
      <c r="H3" s="16" t="s">
        <v>112</v>
      </c>
      <c r="I3" s="129" t="n">
        <v>4.25531914893617</v>
      </c>
      <c r="J3" s="129" t="n">
        <v>5.1063829787234</v>
      </c>
      <c r="K3" s="130" t="n">
        <v>4.28936170212766</v>
      </c>
      <c r="L3" s="16" t="s">
        <v>34</v>
      </c>
      <c r="M3" s="12" t="n">
        <v>42905</v>
      </c>
      <c r="N3" s="12" t="n">
        <v>42909</v>
      </c>
      <c r="O3" s="132" t="n">
        <v>0.536170212765957</v>
      </c>
      <c r="P3" s="16" t="n">
        <v>4.28936170212766</v>
      </c>
      <c r="Q3" s="16" t="n">
        <v>1</v>
      </c>
      <c r="R3" s="16" t="n">
        <v>4.25531914893617</v>
      </c>
    </row>
    <row r="4" customFormat="false" ht="15" hidden="false" customHeight="false" outlineLevel="0" collapsed="false">
      <c r="A4" s="16" t="s">
        <v>57</v>
      </c>
      <c r="B4" s="16" t="s">
        <v>59</v>
      </c>
      <c r="C4" s="16" t="s">
        <v>201</v>
      </c>
      <c r="D4" s="16" t="s">
        <v>202</v>
      </c>
      <c r="E4" s="128" t="e">
        <f aca="false">#N/A</f>
        <v>#N/A</v>
      </c>
      <c r="F4" s="16" t="s">
        <v>93</v>
      </c>
      <c r="G4" s="16" t="s">
        <v>32</v>
      </c>
      <c r="H4" s="16" t="s">
        <v>110</v>
      </c>
      <c r="I4" s="129" t="n">
        <v>2.12765957446808</v>
      </c>
      <c r="J4" s="129" t="n">
        <v>2.5531914893617</v>
      </c>
      <c r="K4" s="130" t="n">
        <v>3.06382978723404</v>
      </c>
      <c r="L4" s="16" t="s">
        <v>31</v>
      </c>
      <c r="M4" s="12" t="n">
        <v>42905</v>
      </c>
      <c r="N4" s="12" t="n">
        <v>42909</v>
      </c>
      <c r="O4" s="132" t="n">
        <v>0.382978723404255</v>
      </c>
      <c r="P4" s="16" t="n">
        <v>3.06382978723404</v>
      </c>
      <c r="Q4" s="16" t="n">
        <v>1</v>
      </c>
      <c r="R4" s="16" t="n">
        <v>2.12765957446808</v>
      </c>
    </row>
    <row r="5" customFormat="false" ht="15" hidden="false" customHeight="false" outlineLevel="0" collapsed="false">
      <c r="A5" s="16" t="s">
        <v>57</v>
      </c>
      <c r="B5" s="16" t="s">
        <v>61</v>
      </c>
      <c r="C5" s="16" t="s">
        <v>203</v>
      </c>
      <c r="D5" s="16" t="s">
        <v>204</v>
      </c>
      <c r="E5" s="128" t="e">
        <f aca="false">#N/A</f>
        <v>#N/A</v>
      </c>
      <c r="F5" s="16" t="s">
        <v>93</v>
      </c>
      <c r="G5" s="16" t="s">
        <v>32</v>
      </c>
      <c r="H5" s="16" t="s">
        <v>110</v>
      </c>
      <c r="I5" s="129" t="n">
        <v>2.12765957446808</v>
      </c>
      <c r="J5" s="129" t="n">
        <v>2.5531914893617</v>
      </c>
      <c r="K5" s="130" t="n">
        <v>3.06382978723404</v>
      </c>
      <c r="L5" s="16" t="s">
        <v>31</v>
      </c>
      <c r="M5" s="12" t="n">
        <v>42905</v>
      </c>
      <c r="N5" s="12" t="n">
        <v>42909</v>
      </c>
      <c r="O5" s="132" t="n">
        <v>0.348936170212766</v>
      </c>
      <c r="P5" s="16" t="n">
        <v>2.79148936170213</v>
      </c>
      <c r="Q5" s="16" t="n">
        <v>0.911111111111111</v>
      </c>
      <c r="R5" s="16" t="n">
        <v>1.93853427895981</v>
      </c>
    </row>
    <row r="6" customFormat="false" ht="15" hidden="false" customHeight="false" outlineLevel="0" collapsed="false">
      <c r="A6" s="16" t="s">
        <v>57</v>
      </c>
      <c r="B6" s="16" t="s">
        <v>59</v>
      </c>
      <c r="C6" s="16" t="s">
        <v>201</v>
      </c>
      <c r="D6" s="16" t="s">
        <v>205</v>
      </c>
      <c r="E6" s="128" t="s">
        <v>58</v>
      </c>
      <c r="F6" s="16" t="s">
        <v>97</v>
      </c>
      <c r="G6" s="16" t="s">
        <v>35</v>
      </c>
      <c r="H6" s="16" t="s">
        <v>110</v>
      </c>
      <c r="I6" s="129" t="n">
        <v>2.12765957446808</v>
      </c>
      <c r="J6" s="129" t="n">
        <v>2.5531914893617</v>
      </c>
      <c r="K6" s="130" t="n">
        <v>2.14468085106383</v>
      </c>
      <c r="L6" s="16" t="s">
        <v>34</v>
      </c>
      <c r="M6" s="12" t="n">
        <v>42905</v>
      </c>
      <c r="N6" s="12" t="n">
        <v>42909</v>
      </c>
      <c r="O6" s="132" t="n">
        <v>0.268085106382979</v>
      </c>
      <c r="P6" s="16" t="n">
        <v>2.14468085106383</v>
      </c>
      <c r="Q6" s="16" t="n">
        <v>1</v>
      </c>
      <c r="R6" s="16" t="n">
        <v>2.12765957446808</v>
      </c>
    </row>
    <row r="7" customFormat="false" ht="15" hidden="false" customHeight="false" outlineLevel="0" collapsed="false">
      <c r="A7" s="16" t="s">
        <v>57</v>
      </c>
      <c r="B7" s="16" t="s">
        <v>59</v>
      </c>
      <c r="C7" s="16" t="s">
        <v>206</v>
      </c>
      <c r="D7" s="16" t="s">
        <v>207</v>
      </c>
      <c r="E7" s="128" t="e">
        <f aca="false">#N/A</f>
        <v>#N/A</v>
      </c>
      <c r="F7" s="16" t="s">
        <v>95</v>
      </c>
      <c r="G7" s="16" t="s">
        <v>35</v>
      </c>
      <c r="H7" s="16" t="s">
        <v>110</v>
      </c>
      <c r="I7" s="129" t="n">
        <v>2.12765957446808</v>
      </c>
      <c r="J7" s="129" t="n">
        <v>2.5531914893617</v>
      </c>
      <c r="K7" s="130" t="n">
        <v>1.83829787234043</v>
      </c>
      <c r="L7" s="16" t="s">
        <v>37</v>
      </c>
      <c r="M7" s="12" t="n">
        <v>42905</v>
      </c>
      <c r="N7" s="12" t="n">
        <v>42909</v>
      </c>
      <c r="O7" s="132" t="n">
        <v>0.229787234042553</v>
      </c>
      <c r="P7" s="16" t="n">
        <v>1.83829787234043</v>
      </c>
      <c r="Q7" s="16" t="n">
        <v>1</v>
      </c>
      <c r="R7" s="16" t="n">
        <v>2.12765957446808</v>
      </c>
    </row>
    <row r="8" customFormat="false" ht="15" hidden="false" customHeight="false" outlineLevel="0" collapsed="false">
      <c r="A8" s="16" t="s">
        <v>62</v>
      </c>
      <c r="B8" s="16" t="s">
        <v>65</v>
      </c>
      <c r="C8" s="16" t="s">
        <v>199</v>
      </c>
      <c r="D8" s="16" t="s">
        <v>208</v>
      </c>
      <c r="E8" s="128" t="s">
        <v>58</v>
      </c>
      <c r="F8" s="16" t="s">
        <v>92</v>
      </c>
      <c r="G8" s="16" t="s">
        <v>35</v>
      </c>
      <c r="H8" s="16" t="s">
        <v>110</v>
      </c>
      <c r="I8" s="129" t="n">
        <v>2.12765957446808</v>
      </c>
      <c r="J8" s="129" t="n">
        <v>2.5531914893617</v>
      </c>
      <c r="K8" s="130" t="n">
        <v>2.14468085106383</v>
      </c>
      <c r="L8" s="16" t="s">
        <v>34</v>
      </c>
      <c r="M8" s="12" t="n">
        <v>42905</v>
      </c>
      <c r="N8" s="12" t="n">
        <v>42909</v>
      </c>
      <c r="O8" s="132" t="n">
        <v>0.195744680851064</v>
      </c>
      <c r="P8" s="16" t="n">
        <v>1.56595744680851</v>
      </c>
      <c r="Q8" s="16" t="n">
        <v>0.730158730158731</v>
      </c>
      <c r="R8" s="16" t="n">
        <v>1.55352921310368</v>
      </c>
    </row>
    <row r="9" customFormat="false" ht="15" hidden="false" customHeight="false" outlineLevel="0" collapsed="false">
      <c r="A9" s="16" t="s">
        <v>57</v>
      </c>
      <c r="B9" s="16" t="s">
        <v>59</v>
      </c>
      <c r="C9" s="16" t="s">
        <v>206</v>
      </c>
      <c r="D9" s="16" t="s">
        <v>207</v>
      </c>
      <c r="E9" s="128" t="e">
        <f aca="false">#N/A</f>
        <v>#N/A</v>
      </c>
      <c r="F9" s="16" t="s">
        <v>95</v>
      </c>
      <c r="G9" s="16" t="s">
        <v>32</v>
      </c>
      <c r="H9" s="16" t="s">
        <v>110</v>
      </c>
      <c r="I9" s="129" t="n">
        <v>2.12765957446808</v>
      </c>
      <c r="J9" s="129" t="n">
        <v>2.5531914893617</v>
      </c>
      <c r="K9" s="130" t="n">
        <v>1.22553191489362</v>
      </c>
      <c r="L9" s="16" t="s">
        <v>31</v>
      </c>
      <c r="M9" s="12" t="n">
        <v>42905</v>
      </c>
      <c r="N9" s="12" t="n">
        <v>42909</v>
      </c>
      <c r="O9" s="132" t="n">
        <v>0.153191489361702</v>
      </c>
      <c r="P9" s="16" t="n">
        <v>1.22553191489362</v>
      </c>
      <c r="Q9" s="16" t="n">
        <v>1</v>
      </c>
      <c r="R9" s="16" t="n">
        <v>2.12765957446808</v>
      </c>
    </row>
    <row r="10" customFormat="false" ht="15" hidden="false" customHeight="false" outlineLevel="0" collapsed="false">
      <c r="A10" s="16" t="s">
        <v>62</v>
      </c>
      <c r="B10" s="16" t="s">
        <v>64</v>
      </c>
      <c r="C10" s="16" t="s">
        <v>209</v>
      </c>
      <c r="D10" s="16" t="s">
        <v>210</v>
      </c>
      <c r="E10" s="128" t="s">
        <v>58</v>
      </c>
      <c r="F10" s="16" t="s">
        <v>96</v>
      </c>
      <c r="G10" s="16" t="s">
        <v>35</v>
      </c>
      <c r="H10" s="16" t="s">
        <v>107</v>
      </c>
      <c r="I10" s="129" t="n">
        <v>2.12765957446808</v>
      </c>
      <c r="J10" s="129" t="n">
        <v>2.5531914893617</v>
      </c>
      <c r="K10" s="130" t="n">
        <v>1.22553191489362</v>
      </c>
      <c r="L10" s="16" t="s">
        <v>37</v>
      </c>
      <c r="M10" s="12" t="n">
        <v>42905</v>
      </c>
      <c r="N10" s="12" t="n">
        <v>42909</v>
      </c>
      <c r="O10" s="132" t="n">
        <v>0.153191489361702</v>
      </c>
      <c r="P10" s="16" t="n">
        <v>1.22553191489362</v>
      </c>
      <c r="Q10" s="16" t="n">
        <v>1</v>
      </c>
      <c r="R10" s="16" t="n">
        <v>2.12765957446808</v>
      </c>
    </row>
    <row r="11" customFormat="false" ht="15" hidden="false" customHeight="false" outlineLevel="0" collapsed="false">
      <c r="A11" s="16" t="s">
        <v>57</v>
      </c>
      <c r="B11" s="16" t="s">
        <v>59</v>
      </c>
      <c r="C11" s="16" t="s">
        <v>201</v>
      </c>
      <c r="D11" s="16" t="s">
        <v>205</v>
      </c>
      <c r="E11" s="128" t="s">
        <v>58</v>
      </c>
      <c r="F11" s="16" t="s">
        <v>97</v>
      </c>
      <c r="G11" s="16" t="s">
        <v>32</v>
      </c>
      <c r="H11" s="16" t="s">
        <v>110</v>
      </c>
      <c r="I11" s="129" t="n">
        <v>2.12765957446808</v>
      </c>
      <c r="J11" s="129" t="n">
        <v>2.5531914893617</v>
      </c>
      <c r="K11" s="130" t="n">
        <v>0.919148936170213</v>
      </c>
      <c r="L11" s="16" t="s">
        <v>31</v>
      </c>
      <c r="M11" s="12" t="n">
        <v>42905</v>
      </c>
      <c r="N11" s="12" t="n">
        <v>42909</v>
      </c>
      <c r="O11" s="132" t="n">
        <v>0.114893617021277</v>
      </c>
      <c r="P11" s="16" t="n">
        <v>0.919148936170213</v>
      </c>
      <c r="Q11" s="16" t="n">
        <v>1</v>
      </c>
      <c r="R11" s="16" t="n">
        <v>2.12765957446808</v>
      </c>
    </row>
    <row r="12" customFormat="false" ht="15" hidden="false" customHeight="false" outlineLevel="0" collapsed="false">
      <c r="A12" s="16" t="s">
        <v>62</v>
      </c>
      <c r="B12" s="16" t="s">
        <v>65</v>
      </c>
      <c r="C12" s="16" t="s">
        <v>199</v>
      </c>
      <c r="D12" s="16" t="s">
        <v>211</v>
      </c>
      <c r="E12" s="128" t="s">
        <v>58</v>
      </c>
      <c r="F12" s="16" t="s">
        <v>94</v>
      </c>
      <c r="G12" s="16" t="s">
        <v>35</v>
      </c>
      <c r="H12" s="16" t="s">
        <v>114</v>
      </c>
      <c r="I12" s="129" t="n">
        <v>9.57446808510638</v>
      </c>
      <c r="J12" s="129" t="n">
        <v>11.4893617021277</v>
      </c>
      <c r="K12" s="130" t="n">
        <v>13.7872340425532</v>
      </c>
      <c r="L12" s="16" t="s">
        <v>37</v>
      </c>
      <c r="M12" s="12" t="n">
        <v>42905</v>
      </c>
      <c r="N12" s="12" t="n">
        <v>42909</v>
      </c>
      <c r="O12" s="132" t="n">
        <v>0.0042553191489364</v>
      </c>
      <c r="P12" s="16" t="n">
        <v>0.0340425531914912</v>
      </c>
      <c r="Q12" s="16" t="n">
        <v>0.00246913580246927</v>
      </c>
      <c r="R12" s="16" t="n">
        <v>0.0236406619385356</v>
      </c>
    </row>
    <row r="13" customFormat="false" ht="15" hidden="false" customHeight="false" outlineLevel="0" collapsed="false">
      <c r="A13" s="16" t="s">
        <v>62</v>
      </c>
      <c r="B13" s="16" t="s">
        <v>65</v>
      </c>
      <c r="C13" s="16" t="s">
        <v>199</v>
      </c>
      <c r="D13" s="16" t="s">
        <v>211</v>
      </c>
      <c r="E13" s="128" t="s">
        <v>58</v>
      </c>
      <c r="F13" s="16" t="s">
        <v>94</v>
      </c>
      <c r="G13" s="16" t="s">
        <v>35</v>
      </c>
      <c r="H13" s="16" t="s">
        <v>114</v>
      </c>
      <c r="I13" s="129" t="n">
        <v>9.57446808510638</v>
      </c>
      <c r="J13" s="129" t="n">
        <v>0.0340425531914912</v>
      </c>
      <c r="K13" s="130" t="n">
        <v>13.7872340425532</v>
      </c>
      <c r="L13" s="16" t="s">
        <v>37</v>
      </c>
      <c r="M13" s="12" t="n">
        <v>42912</v>
      </c>
      <c r="N13" s="12" t="n">
        <v>42912</v>
      </c>
      <c r="O13" s="132" t="n">
        <v>1</v>
      </c>
      <c r="P13" s="16" t="n">
        <v>8</v>
      </c>
      <c r="Q13" s="16" t="n">
        <v>0.580246913580247</v>
      </c>
      <c r="R13" s="16" t="n">
        <v>5.55555555555556</v>
      </c>
    </row>
    <row r="14" customFormat="false" ht="15" hidden="false" customHeight="false" outlineLevel="0" collapsed="false">
      <c r="A14" s="16" t="s">
        <v>62</v>
      </c>
      <c r="B14" s="16" t="s">
        <v>59</v>
      </c>
      <c r="C14" s="16" t="s">
        <v>212</v>
      </c>
      <c r="D14" s="16" t="s">
        <v>213</v>
      </c>
      <c r="E14" s="128" t="e">
        <f aca="false">#N/A</f>
        <v>#N/A</v>
      </c>
      <c r="F14" s="16" t="s">
        <v>91</v>
      </c>
      <c r="G14" s="16" t="s">
        <v>35</v>
      </c>
      <c r="H14" s="16" t="s">
        <v>112</v>
      </c>
      <c r="I14" s="129" t="n">
        <v>10.6382978723404</v>
      </c>
      <c r="J14" s="129" t="n">
        <v>12.7659574468085</v>
      </c>
      <c r="K14" s="130" t="n">
        <v>10.7234042553191</v>
      </c>
      <c r="L14" s="16" t="s">
        <v>34</v>
      </c>
      <c r="M14" s="12" t="n">
        <v>42912</v>
      </c>
      <c r="N14" s="12" t="n">
        <v>42912</v>
      </c>
      <c r="O14" s="132" t="n">
        <v>0.927659574468085</v>
      </c>
      <c r="P14" s="16" t="n">
        <v>7.42127659574468</v>
      </c>
      <c r="Q14" s="16" t="n">
        <v>0.692063492063492</v>
      </c>
      <c r="R14" s="16" t="n">
        <v>7.36237757514354</v>
      </c>
    </row>
    <row r="15" customFormat="false" ht="15" hidden="false" customHeight="false" outlineLevel="0" collapsed="false">
      <c r="A15" s="16" t="s">
        <v>62</v>
      </c>
      <c r="B15" s="16" t="s">
        <v>63</v>
      </c>
      <c r="C15" s="16" t="s">
        <v>197</v>
      </c>
      <c r="D15" s="16" t="s">
        <v>198</v>
      </c>
      <c r="E15" s="128" t="s">
        <v>58</v>
      </c>
      <c r="F15" s="16" t="s">
        <v>96</v>
      </c>
      <c r="G15" s="16" t="s">
        <v>32</v>
      </c>
      <c r="H15" s="16" t="s">
        <v>112</v>
      </c>
      <c r="I15" s="129" t="n">
        <v>8.51063829787234</v>
      </c>
      <c r="J15" s="129" t="n">
        <v>10.2127659574468</v>
      </c>
      <c r="K15" s="130" t="n">
        <v>7.3531914893617</v>
      </c>
      <c r="L15" s="16" t="s">
        <v>31</v>
      </c>
      <c r="M15" s="12" t="n">
        <v>42912</v>
      </c>
      <c r="N15" s="12" t="n">
        <v>42912</v>
      </c>
      <c r="O15" s="132" t="n">
        <v>0.736170212765958</v>
      </c>
      <c r="P15" s="16" t="n">
        <v>5.88936170212766</v>
      </c>
      <c r="Q15" s="16" t="n">
        <v>0.800925925925926</v>
      </c>
      <c r="R15" s="16" t="n">
        <v>6.81639085894405</v>
      </c>
    </row>
    <row r="16" customFormat="false" ht="15" hidden="false" customHeight="false" outlineLevel="0" collapsed="false">
      <c r="A16" s="16" t="s">
        <v>62</v>
      </c>
      <c r="B16" s="16" t="s">
        <v>64</v>
      </c>
      <c r="C16" s="16" t="s">
        <v>209</v>
      </c>
      <c r="D16" s="16" t="s">
        <v>210</v>
      </c>
      <c r="E16" s="128" t="s">
        <v>58</v>
      </c>
      <c r="F16" s="16" t="s">
        <v>96</v>
      </c>
      <c r="G16" s="16" t="s">
        <v>32</v>
      </c>
      <c r="H16" s="16" t="s">
        <v>107</v>
      </c>
      <c r="I16" s="129" t="n">
        <v>2.12765957446808</v>
      </c>
      <c r="J16" s="129" t="n">
        <v>2.5531914893617</v>
      </c>
      <c r="K16" s="130" t="n">
        <v>1.83829787234043</v>
      </c>
      <c r="L16" s="16" t="s">
        <v>31</v>
      </c>
      <c r="M16" s="12" t="n">
        <v>42912</v>
      </c>
      <c r="N16" s="12" t="n">
        <v>42912</v>
      </c>
      <c r="O16" s="132" t="n">
        <v>0.229787234042553</v>
      </c>
      <c r="P16" s="16" t="n">
        <v>1.83829787234043</v>
      </c>
      <c r="Q16" s="16" t="n">
        <v>1</v>
      </c>
      <c r="R16" s="16" t="n">
        <v>2.12765957446808</v>
      </c>
    </row>
    <row r="17" customFormat="false" ht="15" hidden="false" customHeight="false" outlineLevel="0" collapsed="false">
      <c r="A17" s="16" t="s">
        <v>62</v>
      </c>
      <c r="B17" s="16" t="s">
        <v>65</v>
      </c>
      <c r="C17" s="16" t="s">
        <v>199</v>
      </c>
      <c r="D17" s="16" t="s">
        <v>208</v>
      </c>
      <c r="E17" s="128" t="s">
        <v>58</v>
      </c>
      <c r="F17" s="16" t="s">
        <v>92</v>
      </c>
      <c r="G17" s="16" t="s">
        <v>35</v>
      </c>
      <c r="H17" s="16" t="s">
        <v>110</v>
      </c>
      <c r="I17" s="129" t="n">
        <v>2.12765957446808</v>
      </c>
      <c r="J17" s="129" t="n">
        <v>1.56595744680851</v>
      </c>
      <c r="K17" s="130" t="n">
        <v>2.14468085106383</v>
      </c>
      <c r="L17" s="16" t="s">
        <v>34</v>
      </c>
      <c r="M17" s="12" t="n">
        <v>42912</v>
      </c>
      <c r="N17" s="12" t="n">
        <v>42912</v>
      </c>
      <c r="O17" s="132" t="n">
        <v>0.0723404255319147</v>
      </c>
      <c r="P17" s="16" t="n">
        <v>0.578723404255317</v>
      </c>
      <c r="Q17" s="16" t="n">
        <v>0.269841269841269</v>
      </c>
      <c r="R17" s="16" t="n">
        <v>0.574130361364402</v>
      </c>
    </row>
    <row r="18" customFormat="false" ht="15" hidden="false" customHeight="false" outlineLevel="0" collapsed="false">
      <c r="A18" s="16" t="s">
        <v>57</v>
      </c>
      <c r="B18" s="16" t="s">
        <v>61</v>
      </c>
      <c r="C18" s="16" t="s">
        <v>203</v>
      </c>
      <c r="D18" s="16" t="s">
        <v>204</v>
      </c>
      <c r="E18" s="128" t="e">
        <f aca="false">#N/A</f>
        <v>#N/A</v>
      </c>
      <c r="F18" s="16" t="s">
        <v>93</v>
      </c>
      <c r="G18" s="16" t="s">
        <v>32</v>
      </c>
      <c r="H18" s="16" t="s">
        <v>110</v>
      </c>
      <c r="I18" s="129" t="n">
        <v>2.12765957446808</v>
      </c>
      <c r="J18" s="129" t="n">
        <v>2.79148936170213</v>
      </c>
      <c r="K18" s="130" t="n">
        <v>3.06382978723404</v>
      </c>
      <c r="L18" s="16" t="s">
        <v>31</v>
      </c>
      <c r="M18" s="12" t="n">
        <v>42912</v>
      </c>
      <c r="N18" s="12" t="n">
        <v>42912</v>
      </c>
      <c r="O18" s="132" t="n">
        <v>0.0340425531914892</v>
      </c>
      <c r="P18" s="16" t="n">
        <v>0.272340425531914</v>
      </c>
      <c r="Q18" s="16" t="n">
        <v>0.0888888888888886</v>
      </c>
      <c r="R18" s="16" t="n">
        <v>0.189125295508274</v>
      </c>
    </row>
    <row r="19" customFormat="false" ht="15" hidden="false" customHeight="false" outlineLevel="0" collapsed="false">
      <c r="A19" s="16" t="s">
        <v>62</v>
      </c>
      <c r="B19" s="16" t="s">
        <v>65</v>
      </c>
      <c r="C19" s="16" t="s">
        <v>199</v>
      </c>
      <c r="D19" s="16" t="s">
        <v>211</v>
      </c>
      <c r="E19" s="128" t="s">
        <v>58</v>
      </c>
      <c r="F19" s="16" t="s">
        <v>94</v>
      </c>
      <c r="G19" s="16" t="s">
        <v>35</v>
      </c>
      <c r="H19" s="16" t="s">
        <v>114</v>
      </c>
      <c r="I19" s="129" t="n">
        <v>9.57446808510638</v>
      </c>
      <c r="J19" s="129" t="n">
        <v>8</v>
      </c>
      <c r="K19" s="130" t="n">
        <v>13.7872340425532</v>
      </c>
      <c r="L19" s="16" t="s">
        <v>37</v>
      </c>
      <c r="M19" s="12" t="n">
        <v>42912</v>
      </c>
      <c r="N19" s="12" t="n">
        <v>42913</v>
      </c>
      <c r="O19" s="132" t="n">
        <v>0.719148936170213</v>
      </c>
      <c r="P19" s="16" t="n">
        <v>5.7531914893617</v>
      </c>
      <c r="Q19" s="16" t="n">
        <v>0.417283950617284</v>
      </c>
      <c r="R19" s="16" t="n">
        <v>3.99527186761229</v>
      </c>
    </row>
    <row r="20" customFormat="false" ht="15" hidden="false" customHeight="false" outlineLevel="0" collapsed="false">
      <c r="A20" s="16" t="s">
        <v>62</v>
      </c>
      <c r="B20" s="16" t="s">
        <v>63</v>
      </c>
      <c r="C20" s="16" t="s">
        <v>197</v>
      </c>
      <c r="D20" s="16" t="s">
        <v>214</v>
      </c>
      <c r="E20" s="128" t="e">
        <f aca="false">#N/A</f>
        <v>#N/A</v>
      </c>
      <c r="F20" s="16" t="s">
        <v>92</v>
      </c>
      <c r="G20" s="16" t="s">
        <v>35</v>
      </c>
      <c r="H20" s="16" t="s">
        <v>114</v>
      </c>
      <c r="I20" s="129" t="n">
        <v>8.51063829787234</v>
      </c>
      <c r="J20" s="129" t="n">
        <v>10.2127659574468</v>
      </c>
      <c r="K20" s="130" t="n">
        <v>8.57872340425532</v>
      </c>
      <c r="L20" s="16" t="s">
        <v>34</v>
      </c>
      <c r="M20" s="12" t="n">
        <v>42912</v>
      </c>
      <c r="N20" s="12" t="n">
        <v>42913</v>
      </c>
      <c r="O20" s="132" t="n">
        <v>0.587234042553192</v>
      </c>
      <c r="P20" s="16" t="n">
        <v>4.69787234042554</v>
      </c>
      <c r="Q20" s="16" t="n">
        <v>0.547619047619048</v>
      </c>
      <c r="R20" s="16" t="n">
        <v>4.66058763931105</v>
      </c>
    </row>
    <row r="21" customFormat="false" ht="15" hidden="false" customHeight="false" outlineLevel="0" collapsed="false">
      <c r="A21" s="16" t="s">
        <v>62</v>
      </c>
      <c r="B21" s="16" t="s">
        <v>59</v>
      </c>
      <c r="C21" s="16" t="s">
        <v>212</v>
      </c>
      <c r="D21" s="16" t="s">
        <v>213</v>
      </c>
      <c r="E21" s="128" t="e">
        <f aca="false">#N/A</f>
        <v>#N/A</v>
      </c>
      <c r="F21" s="16" t="s">
        <v>91</v>
      </c>
      <c r="G21" s="16" t="s">
        <v>32</v>
      </c>
      <c r="H21" s="16" t="s">
        <v>112</v>
      </c>
      <c r="I21" s="129" t="n">
        <v>10.6382978723404</v>
      </c>
      <c r="J21" s="129" t="n">
        <v>12.7659574468085</v>
      </c>
      <c r="K21" s="130" t="n">
        <v>4.59574468085106</v>
      </c>
      <c r="L21" s="16" t="s">
        <v>31</v>
      </c>
      <c r="M21" s="12" t="n">
        <v>42912</v>
      </c>
      <c r="N21" s="12" t="n">
        <v>42913</v>
      </c>
      <c r="O21" s="132" t="n">
        <v>0.472340425531915</v>
      </c>
      <c r="P21" s="16" t="n">
        <v>3.77872340425532</v>
      </c>
      <c r="Q21" s="16" t="n">
        <v>0.822222222222223</v>
      </c>
      <c r="R21" s="16" t="n">
        <v>8.74704491725769</v>
      </c>
    </row>
    <row r="22" customFormat="false" ht="15" hidden="false" customHeight="false" outlineLevel="0" collapsed="false">
      <c r="A22" s="16" t="s">
        <v>62</v>
      </c>
      <c r="B22" s="16" t="s">
        <v>59</v>
      </c>
      <c r="C22" s="16" t="s">
        <v>212</v>
      </c>
      <c r="D22" s="16" t="s">
        <v>213</v>
      </c>
      <c r="E22" s="128" t="e">
        <f aca="false">#N/A</f>
        <v>#N/A</v>
      </c>
      <c r="F22" s="16" t="s">
        <v>91</v>
      </c>
      <c r="G22" s="16" t="s">
        <v>35</v>
      </c>
      <c r="H22" s="16" t="s">
        <v>112</v>
      </c>
      <c r="I22" s="129" t="n">
        <v>10.6382978723404</v>
      </c>
      <c r="J22" s="129" t="n">
        <v>7.42127659574468</v>
      </c>
      <c r="K22" s="130" t="n">
        <v>10.7234042553191</v>
      </c>
      <c r="L22" s="16" t="s">
        <v>34</v>
      </c>
      <c r="M22" s="12" t="n">
        <v>42912</v>
      </c>
      <c r="N22" s="12" t="n">
        <v>42913</v>
      </c>
      <c r="O22" s="132" t="n">
        <v>0.412765957446808</v>
      </c>
      <c r="P22" s="16" t="n">
        <v>3.30212765957446</v>
      </c>
      <c r="Q22" s="16" t="n">
        <v>0.307936507936508</v>
      </c>
      <c r="R22" s="16" t="n">
        <v>3.27592029719689</v>
      </c>
    </row>
    <row r="23" customFormat="false" ht="15" hidden="false" customHeight="false" outlineLevel="0" collapsed="false">
      <c r="A23" s="16" t="s">
        <v>62</v>
      </c>
      <c r="B23" s="16" t="s">
        <v>59</v>
      </c>
      <c r="C23" s="16" t="s">
        <v>212</v>
      </c>
      <c r="D23" s="16" t="s">
        <v>215</v>
      </c>
      <c r="E23" s="128" t="e">
        <f aca="false">#N/A</f>
        <v>#N/A</v>
      </c>
      <c r="F23" s="16" t="s">
        <v>97</v>
      </c>
      <c r="G23" s="16" t="s">
        <v>35</v>
      </c>
      <c r="H23" s="16" t="s">
        <v>110</v>
      </c>
      <c r="I23" s="129" t="n">
        <v>2.12765957446808</v>
      </c>
      <c r="J23" s="129" t="n">
        <v>2.5531914893617</v>
      </c>
      <c r="K23" s="130" t="n">
        <v>2.14468085106383</v>
      </c>
      <c r="L23" s="16" t="s">
        <v>37</v>
      </c>
      <c r="M23" s="12" t="n">
        <v>42912</v>
      </c>
      <c r="N23" s="12" t="n">
        <v>42913</v>
      </c>
      <c r="O23" s="132" t="n">
        <v>0.268085106382979</v>
      </c>
      <c r="P23" s="16" t="n">
        <v>2.14468085106383</v>
      </c>
      <c r="Q23" s="16" t="n">
        <v>1</v>
      </c>
      <c r="R23" s="16" t="n">
        <v>2.12765957446808</v>
      </c>
    </row>
    <row r="24" customFormat="false" ht="15" hidden="false" customHeight="false" outlineLevel="0" collapsed="false">
      <c r="A24" s="16" t="s">
        <v>62</v>
      </c>
      <c r="B24" s="16" t="s">
        <v>65</v>
      </c>
      <c r="C24" s="16" t="s">
        <v>199</v>
      </c>
      <c r="D24" s="16" t="s">
        <v>200</v>
      </c>
      <c r="E24" s="128" t="s">
        <v>58</v>
      </c>
      <c r="F24" s="16" t="s">
        <v>97</v>
      </c>
      <c r="G24" s="16" t="s">
        <v>32</v>
      </c>
      <c r="H24" s="16" t="s">
        <v>112</v>
      </c>
      <c r="I24" s="129" t="n">
        <v>4.25531914893617</v>
      </c>
      <c r="J24" s="129" t="n">
        <v>5.1063829787234</v>
      </c>
      <c r="K24" s="130" t="n">
        <v>1.83829787234043</v>
      </c>
      <c r="L24" s="16" t="s">
        <v>31</v>
      </c>
      <c r="M24" s="12" t="n">
        <v>42912</v>
      </c>
      <c r="N24" s="12" t="n">
        <v>42913</v>
      </c>
      <c r="O24" s="132" t="n">
        <v>0.229787234042553</v>
      </c>
      <c r="P24" s="16" t="n">
        <v>1.83829787234043</v>
      </c>
      <c r="Q24" s="16" t="n">
        <v>1</v>
      </c>
      <c r="R24" s="16" t="n">
        <v>4.25531914893617</v>
      </c>
    </row>
    <row r="25" customFormat="false" ht="15" hidden="false" customHeight="false" outlineLevel="0" collapsed="false">
      <c r="A25" s="16" t="s">
        <v>62</v>
      </c>
      <c r="B25" s="16" t="s">
        <v>63</v>
      </c>
      <c r="C25" s="16" t="s">
        <v>197</v>
      </c>
      <c r="D25" s="16" t="s">
        <v>198</v>
      </c>
      <c r="E25" s="128" t="s">
        <v>58</v>
      </c>
      <c r="F25" s="16" t="s">
        <v>96</v>
      </c>
      <c r="G25" s="16" t="s">
        <v>32</v>
      </c>
      <c r="H25" s="16" t="s">
        <v>112</v>
      </c>
      <c r="I25" s="129" t="n">
        <v>8.51063829787234</v>
      </c>
      <c r="J25" s="129" t="n">
        <v>5.88936170212766</v>
      </c>
      <c r="K25" s="130" t="n">
        <v>7.3531914893617</v>
      </c>
      <c r="L25" s="16" t="s">
        <v>31</v>
      </c>
      <c r="M25" s="12" t="n">
        <v>42912</v>
      </c>
      <c r="N25" s="12" t="n">
        <v>42913</v>
      </c>
      <c r="O25" s="132" t="n">
        <v>0.182978723404255</v>
      </c>
      <c r="P25" s="16" t="n">
        <v>1.46382978723404</v>
      </c>
      <c r="Q25" s="16" t="n">
        <v>0.199074074074074</v>
      </c>
      <c r="R25" s="16" t="n">
        <v>1.69424743892829</v>
      </c>
    </row>
    <row r="26" customFormat="false" ht="15" hidden="false" customHeight="false" outlineLevel="0" collapsed="false">
      <c r="A26" s="16" t="s">
        <v>62</v>
      </c>
      <c r="B26" s="16" t="s">
        <v>65</v>
      </c>
      <c r="C26" s="16" t="s">
        <v>199</v>
      </c>
      <c r="D26" s="16" t="s">
        <v>208</v>
      </c>
      <c r="E26" s="128" t="s">
        <v>58</v>
      </c>
      <c r="F26" s="16" t="s">
        <v>92</v>
      </c>
      <c r="G26" s="16" t="s">
        <v>32</v>
      </c>
      <c r="H26" s="16" t="s">
        <v>110</v>
      </c>
      <c r="I26" s="129" t="n">
        <v>2.12765957446808</v>
      </c>
      <c r="J26" s="129" t="n">
        <v>2.5531914893617</v>
      </c>
      <c r="K26" s="130" t="n">
        <v>0.919148936170213</v>
      </c>
      <c r="L26" s="16" t="s">
        <v>31</v>
      </c>
      <c r="M26" s="12" t="n">
        <v>42912</v>
      </c>
      <c r="N26" s="12" t="n">
        <v>42913</v>
      </c>
      <c r="O26" s="132" t="n">
        <v>0.114893617021277</v>
      </c>
      <c r="P26" s="16" t="n">
        <v>0.919148936170213</v>
      </c>
      <c r="Q26" s="16" t="n">
        <v>1</v>
      </c>
      <c r="R26" s="16" t="n">
        <v>2.12765957446808</v>
      </c>
    </row>
    <row r="27" customFormat="false" ht="15" hidden="false" customHeight="false" outlineLevel="0" collapsed="false">
      <c r="A27" s="16" t="s">
        <v>62</v>
      </c>
      <c r="B27" s="16" t="s">
        <v>59</v>
      </c>
      <c r="C27" s="16" t="s">
        <v>212</v>
      </c>
      <c r="D27" s="16" t="s">
        <v>216</v>
      </c>
      <c r="E27" s="128" t="e">
        <f aca="false">#N/A</f>
        <v>#N/A</v>
      </c>
      <c r="F27" s="16" t="s">
        <v>92</v>
      </c>
      <c r="G27" s="16" t="s">
        <v>35</v>
      </c>
      <c r="H27" s="16" t="s">
        <v>110</v>
      </c>
      <c r="I27" s="129" t="n">
        <v>2.12765957446808</v>
      </c>
      <c r="J27" s="129" t="n">
        <v>2.5531914893617</v>
      </c>
      <c r="K27" s="130" t="n">
        <v>2.14468085106383</v>
      </c>
      <c r="L27" s="16" t="s">
        <v>37</v>
      </c>
      <c r="M27" s="12" t="n">
        <v>42912</v>
      </c>
      <c r="N27" s="12" t="n">
        <v>42913</v>
      </c>
      <c r="O27" s="132" t="n">
        <v>0.0127659574468088</v>
      </c>
      <c r="P27" s="16" t="n">
        <v>0.10212765957447</v>
      </c>
      <c r="Q27" s="16" t="n">
        <v>0.0476190476190485</v>
      </c>
      <c r="R27" s="16" t="n">
        <v>0.10131712259372</v>
      </c>
    </row>
    <row r="28" customFormat="false" ht="15" hidden="false" customHeight="false" outlineLevel="0" collapsed="false">
      <c r="A28" s="16" t="s">
        <v>62</v>
      </c>
      <c r="B28" s="16" t="s">
        <v>63</v>
      </c>
      <c r="C28" s="16" t="s">
        <v>197</v>
      </c>
      <c r="D28" s="16" t="s">
        <v>214</v>
      </c>
      <c r="E28" s="128" t="e">
        <f aca="false">#N/A</f>
        <v>#N/A</v>
      </c>
      <c r="F28" s="16" t="s">
        <v>92</v>
      </c>
      <c r="G28" s="16" t="s">
        <v>35</v>
      </c>
      <c r="H28" s="16" t="s">
        <v>114</v>
      </c>
      <c r="I28" s="129" t="n">
        <v>8.51063829787234</v>
      </c>
      <c r="J28" s="129" t="n">
        <v>4.69787234042554</v>
      </c>
      <c r="K28" s="130" t="n">
        <v>8.57872340425532</v>
      </c>
      <c r="L28" s="16" t="s">
        <v>34</v>
      </c>
      <c r="M28" s="12" t="n">
        <v>42912</v>
      </c>
      <c r="N28" s="12" t="n">
        <v>42914</v>
      </c>
      <c r="O28" s="132" t="n">
        <v>0.485106382978723</v>
      </c>
      <c r="P28" s="16" t="n">
        <v>3.88085106382978</v>
      </c>
      <c r="Q28" s="16" t="n">
        <v>0.452380952380952</v>
      </c>
      <c r="R28" s="16" t="n">
        <v>3.85005065856129</v>
      </c>
    </row>
    <row r="29" customFormat="false" ht="15" hidden="false" customHeight="false" outlineLevel="0" collapsed="false">
      <c r="A29" s="16" t="s">
        <v>62</v>
      </c>
      <c r="B29" s="16" t="s">
        <v>63</v>
      </c>
      <c r="C29" s="16" t="s">
        <v>197</v>
      </c>
      <c r="D29" s="16" t="s">
        <v>214</v>
      </c>
      <c r="E29" s="128" t="e">
        <f aca="false">#N/A</f>
        <v>#N/A</v>
      </c>
      <c r="F29" s="16" t="s">
        <v>92</v>
      </c>
      <c r="G29" s="16" t="s">
        <v>32</v>
      </c>
      <c r="H29" s="16" t="s">
        <v>114</v>
      </c>
      <c r="I29" s="129" t="n">
        <v>8.51063829787234</v>
      </c>
      <c r="J29" s="129" t="n">
        <v>10.2127659574468</v>
      </c>
      <c r="K29" s="130" t="n">
        <v>3.67659574468085</v>
      </c>
      <c r="L29" s="16" t="s">
        <v>31</v>
      </c>
      <c r="M29" s="12" t="n">
        <v>42912</v>
      </c>
      <c r="N29" s="12" t="n">
        <v>42914</v>
      </c>
      <c r="O29" s="132" t="n">
        <v>0.459574468085106</v>
      </c>
      <c r="P29" s="16" t="n">
        <v>3.67659574468085</v>
      </c>
      <c r="Q29" s="16" t="n">
        <v>1</v>
      </c>
      <c r="R29" s="16" t="n">
        <v>8.51063829787234</v>
      </c>
    </row>
    <row r="30" customFormat="false" ht="15" hidden="false" customHeight="false" outlineLevel="0" collapsed="false">
      <c r="A30" s="16" t="s">
        <v>66</v>
      </c>
      <c r="C30" s="16" t="s">
        <v>67</v>
      </c>
      <c r="D30" s="16" t="s">
        <v>68</v>
      </c>
      <c r="E30" s="128" t="e">
        <f aca="false">#N/A</f>
        <v>#N/A</v>
      </c>
      <c r="F30" s="16" t="s">
        <v>96</v>
      </c>
      <c r="G30" s="16" t="s">
        <v>35</v>
      </c>
      <c r="H30" s="16" t="s">
        <v>110</v>
      </c>
      <c r="I30" s="129" t="n">
        <v>4.25531914893617</v>
      </c>
      <c r="J30" s="129" t="n">
        <v>5.1063829787234</v>
      </c>
      <c r="K30" s="130" t="n">
        <v>2.45106382978723</v>
      </c>
      <c r="L30" s="16" t="s">
        <v>37</v>
      </c>
      <c r="M30" s="12" t="n">
        <v>42912</v>
      </c>
      <c r="N30" s="12" t="n">
        <v>42914</v>
      </c>
      <c r="O30" s="132" t="n">
        <v>0.306382978723404</v>
      </c>
      <c r="P30" s="16" t="n">
        <v>2.45106382978723</v>
      </c>
      <c r="Q30" s="16" t="n">
        <v>1</v>
      </c>
      <c r="R30" s="16" t="n">
        <v>4.25531914893617</v>
      </c>
    </row>
    <row r="31" customFormat="false" ht="15" hidden="false" customHeight="false" outlineLevel="0" collapsed="false">
      <c r="A31" s="16" t="s">
        <v>62</v>
      </c>
      <c r="B31" s="16" t="s">
        <v>59</v>
      </c>
      <c r="C31" s="16" t="s">
        <v>212</v>
      </c>
      <c r="D31" s="16" t="s">
        <v>216</v>
      </c>
      <c r="E31" s="128" t="e">
        <f aca="false">#N/A</f>
        <v>#N/A</v>
      </c>
      <c r="F31" s="16" t="s">
        <v>92</v>
      </c>
      <c r="G31" s="16" t="s">
        <v>35</v>
      </c>
      <c r="H31" s="16" t="s">
        <v>110</v>
      </c>
      <c r="I31" s="129" t="n">
        <v>2.12765957446808</v>
      </c>
      <c r="J31" s="129" t="n">
        <v>0.10212765957447</v>
      </c>
      <c r="K31" s="130" t="n">
        <v>2.14468085106383</v>
      </c>
      <c r="L31" s="16" t="s">
        <v>37</v>
      </c>
      <c r="M31" s="12" t="n">
        <v>42912</v>
      </c>
      <c r="N31" s="12" t="n">
        <v>42914</v>
      </c>
      <c r="O31" s="132" t="n">
        <v>0.25531914893617</v>
      </c>
      <c r="P31" s="16" t="n">
        <v>2.04255319148936</v>
      </c>
      <c r="Q31" s="16" t="n">
        <v>0.952380952380951</v>
      </c>
      <c r="R31" s="16" t="n">
        <v>2.02634245187436</v>
      </c>
    </row>
    <row r="32" customFormat="false" ht="15" hidden="false" customHeight="false" outlineLevel="0" collapsed="false">
      <c r="A32" s="16" t="s">
        <v>66</v>
      </c>
      <c r="C32" s="16" t="s">
        <v>67</v>
      </c>
      <c r="D32" s="16" t="s">
        <v>68</v>
      </c>
      <c r="E32" s="128" t="e">
        <f aca="false">#N/A</f>
        <v>#N/A</v>
      </c>
      <c r="F32" s="16" t="s">
        <v>96</v>
      </c>
      <c r="G32" s="16" t="s">
        <v>32</v>
      </c>
      <c r="H32" s="16" t="s">
        <v>110</v>
      </c>
      <c r="I32" s="129" t="n">
        <v>4.25531914893617</v>
      </c>
      <c r="J32" s="129" t="n">
        <v>5.1063829787234</v>
      </c>
      <c r="K32" s="130" t="n">
        <v>3.67659574468085</v>
      </c>
      <c r="L32" s="16" t="s">
        <v>31</v>
      </c>
      <c r="M32" s="12" t="n">
        <v>42912</v>
      </c>
      <c r="N32" s="12" t="n">
        <v>42914</v>
      </c>
      <c r="O32" s="132" t="n">
        <v>0.208510638297873</v>
      </c>
      <c r="P32" s="16" t="n">
        <v>1.66808510638298</v>
      </c>
      <c r="Q32" s="16" t="n">
        <v>0.453703703703705</v>
      </c>
      <c r="R32" s="16" t="n">
        <v>1.93065405831364</v>
      </c>
    </row>
    <row r="33" customFormat="false" ht="15" hidden="false" customHeight="false" outlineLevel="0" collapsed="false">
      <c r="A33" s="16" t="s">
        <v>62</v>
      </c>
      <c r="B33" s="16" t="s">
        <v>59</v>
      </c>
      <c r="C33" s="16" t="s">
        <v>212</v>
      </c>
      <c r="D33" s="16" t="s">
        <v>215</v>
      </c>
      <c r="E33" s="128" t="e">
        <f aca="false">#N/A</f>
        <v>#N/A</v>
      </c>
      <c r="F33" s="16" t="s">
        <v>97</v>
      </c>
      <c r="G33" s="16" t="s">
        <v>32</v>
      </c>
      <c r="H33" s="16" t="s">
        <v>110</v>
      </c>
      <c r="I33" s="129" t="n">
        <v>2.12765957446808</v>
      </c>
      <c r="J33" s="129" t="n">
        <v>2.5531914893617</v>
      </c>
      <c r="K33" s="130" t="n">
        <v>0.919148936170213</v>
      </c>
      <c r="L33" s="16" t="s">
        <v>31</v>
      </c>
      <c r="M33" s="12" t="n">
        <v>42912</v>
      </c>
      <c r="N33" s="12" t="n">
        <v>42914</v>
      </c>
      <c r="O33" s="132" t="n">
        <v>0.114893617021277</v>
      </c>
      <c r="P33" s="16" t="n">
        <v>0.919148936170213</v>
      </c>
      <c r="Q33" s="16" t="n">
        <v>1</v>
      </c>
      <c r="R33" s="16" t="n">
        <v>2.12765957446808</v>
      </c>
    </row>
    <row r="34" customFormat="false" ht="15" hidden="false" customHeight="false" outlineLevel="0" collapsed="false">
      <c r="A34" s="16" t="s">
        <v>62</v>
      </c>
      <c r="B34" s="16" t="s">
        <v>59</v>
      </c>
      <c r="C34" s="16" t="s">
        <v>212</v>
      </c>
      <c r="D34" s="16" t="s">
        <v>216</v>
      </c>
      <c r="E34" s="128" t="e">
        <f aca="false">#N/A</f>
        <v>#N/A</v>
      </c>
      <c r="F34" s="16" t="s">
        <v>92</v>
      </c>
      <c r="G34" s="16" t="s">
        <v>32</v>
      </c>
      <c r="H34" s="16" t="s">
        <v>110</v>
      </c>
      <c r="I34" s="129" t="n">
        <v>2.12765957446808</v>
      </c>
      <c r="J34" s="129" t="n">
        <v>2.5531914893617</v>
      </c>
      <c r="K34" s="130" t="n">
        <v>0.919148936170213</v>
      </c>
      <c r="L34" s="16" t="s">
        <v>31</v>
      </c>
      <c r="M34" s="12" t="n">
        <v>42912</v>
      </c>
      <c r="N34" s="12" t="n">
        <v>42914</v>
      </c>
      <c r="O34" s="132" t="n">
        <v>0.114893617021277</v>
      </c>
      <c r="P34" s="16" t="n">
        <v>0.919148936170213</v>
      </c>
      <c r="Q34" s="16" t="n">
        <v>1</v>
      </c>
      <c r="R34" s="16" t="n">
        <v>2.12765957446808</v>
      </c>
    </row>
    <row r="35" customFormat="false" ht="15" hidden="false" customHeight="false" outlineLevel="0" collapsed="false">
      <c r="A35" s="16" t="s">
        <v>62</v>
      </c>
      <c r="B35" s="16" t="s">
        <v>59</v>
      </c>
      <c r="C35" s="16" t="s">
        <v>212</v>
      </c>
      <c r="D35" s="16" t="s">
        <v>213</v>
      </c>
      <c r="E35" s="128" t="e">
        <f aca="false">#N/A</f>
        <v>#N/A</v>
      </c>
      <c r="F35" s="16" t="s">
        <v>91</v>
      </c>
      <c r="G35" s="16" t="s">
        <v>32</v>
      </c>
      <c r="H35" s="16" t="s">
        <v>112</v>
      </c>
      <c r="I35" s="129" t="n">
        <v>10.6382978723404</v>
      </c>
      <c r="J35" s="129" t="n">
        <v>3.77872340425532</v>
      </c>
      <c r="K35" s="130" t="n">
        <v>4.59574468085106</v>
      </c>
      <c r="L35" s="16" t="s">
        <v>31</v>
      </c>
      <c r="M35" s="12" t="n">
        <v>42912</v>
      </c>
      <c r="N35" s="12" t="n">
        <v>42914</v>
      </c>
      <c r="O35" s="132" t="n">
        <v>0.102127659574468</v>
      </c>
      <c r="P35" s="16" t="n">
        <v>0.817021276595741</v>
      </c>
      <c r="Q35" s="16" t="n">
        <v>0.177777777777777</v>
      </c>
      <c r="R35" s="16" t="n">
        <v>1.89125295508273</v>
      </c>
    </row>
    <row r="36" customFormat="false" ht="15" hidden="false" customHeight="false" outlineLevel="0" collapsed="false">
      <c r="A36" s="16" t="s">
        <v>66</v>
      </c>
      <c r="C36" s="16" t="s">
        <v>67</v>
      </c>
      <c r="D36" s="16" t="s">
        <v>68</v>
      </c>
      <c r="E36" s="128" t="e">
        <f aca="false">#N/A</f>
        <v>#N/A</v>
      </c>
      <c r="F36" s="16" t="s">
        <v>96</v>
      </c>
      <c r="G36" s="16" t="s">
        <v>32</v>
      </c>
      <c r="H36" s="16" t="s">
        <v>110</v>
      </c>
      <c r="I36" s="129" t="n">
        <v>4.25531914893617</v>
      </c>
      <c r="J36" s="129" t="n">
        <v>1.66808510638298</v>
      </c>
      <c r="K36" s="130" t="n">
        <v>3.67659574468085</v>
      </c>
      <c r="L36" s="16" t="s">
        <v>31</v>
      </c>
      <c r="M36" s="12" t="n">
        <v>42912</v>
      </c>
      <c r="N36" s="12" t="n">
        <v>42915</v>
      </c>
      <c r="O36" s="132" t="n">
        <v>0.251063829787233</v>
      </c>
      <c r="P36" s="16" t="n">
        <v>2.00851063829787</v>
      </c>
      <c r="Q36" s="16" t="n">
        <v>0.546296296296295</v>
      </c>
      <c r="R36" s="16" t="n">
        <v>2.32466509062253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tabColor rgb="FF000000"/>
    <pageSetUpPr fitToPage="false"/>
  </sheetPr>
  <dimension ref="A1:V2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4.9959514170041"/>
    <col collapsed="false" hidden="false" max="2" min="2" style="0" width="22.4939271255061"/>
    <col collapsed="false" hidden="false" max="3" min="3" style="0" width="57.417004048583"/>
    <col collapsed="false" hidden="false" max="4" min="4" style="0" width="68.8785425101215"/>
    <col collapsed="false" hidden="false" max="5" min="5" style="0" width="23.8866396761134"/>
    <col collapsed="false" hidden="false" max="6" min="6" style="0" width="3.31983805668016"/>
    <col collapsed="false" hidden="false" max="7" min="7" style="0" width="4.2834008097166"/>
    <col collapsed="false" hidden="false" max="8" min="8" style="0" width="4.60728744939271"/>
    <col collapsed="false" hidden="false" max="9" min="9" style="0" width="8.67611336032389"/>
    <col collapsed="false" hidden="false" max="10" min="10" style="0" width="11.6761133603239"/>
    <col collapsed="false" hidden="false" max="11" min="11" style="0" width="7.39271255060729"/>
    <col collapsed="false" hidden="false" max="12" min="12" style="0" width="14.7813765182186"/>
    <col collapsed="false" hidden="false" max="13" min="13" style="0" width="3.64372469635628"/>
    <col collapsed="false" hidden="false" max="14" min="14" style="0" width="12.4251012145749"/>
    <col collapsed="false" hidden="false" max="15" min="15" style="0" width="11.6761133603239"/>
    <col collapsed="false" hidden="false" max="16" min="16" style="0" width="9.4251012145749"/>
    <col collapsed="false" hidden="false" max="17" min="17" style="0" width="10.7125506072875"/>
    <col collapsed="false" hidden="false" max="18" min="18" style="0" width="17.246963562753"/>
    <col collapsed="false" hidden="false" max="19" min="19" style="0" width="10.7125506072875"/>
    <col collapsed="false" hidden="false" max="20" min="20" style="0" width="8.1417004048583"/>
    <col collapsed="false" hidden="false" max="21" min="21" style="0" width="10.9271255060729"/>
    <col collapsed="false" hidden="false" max="22" min="22" style="0" width="10.7125506072875"/>
    <col collapsed="false" hidden="false" max="1025" min="23" style="0" width="9.4251012145749"/>
  </cols>
  <sheetData>
    <row r="1" customFormat="false" ht="15.75" hidden="false" customHeight="false" outlineLevel="0" collapsed="false">
      <c r="A1" s="138" t="s">
        <v>217</v>
      </c>
      <c r="B1" s="138" t="s">
        <v>218</v>
      </c>
      <c r="C1" s="138" t="s">
        <v>219</v>
      </c>
      <c r="D1" s="138" t="s">
        <v>220</v>
      </c>
      <c r="E1" s="138" t="s">
        <v>221</v>
      </c>
      <c r="F1" s="138" t="s">
        <v>189</v>
      </c>
      <c r="G1" s="138" t="s">
        <v>102</v>
      </c>
      <c r="H1" s="138" t="s">
        <v>103</v>
      </c>
      <c r="I1" s="138" t="s">
        <v>26</v>
      </c>
      <c r="J1" s="138" t="s">
        <v>222</v>
      </c>
      <c r="K1" s="138" t="s">
        <v>28</v>
      </c>
      <c r="L1" s="138" t="s">
        <v>223</v>
      </c>
      <c r="M1" s="138" t="s">
        <v>19</v>
      </c>
      <c r="N1" s="138" t="s">
        <v>224</v>
      </c>
      <c r="O1" s="138" t="s">
        <v>225</v>
      </c>
      <c r="P1" s="138" t="s">
        <v>25</v>
      </c>
      <c r="Q1" s="139" t="s">
        <v>193</v>
      </c>
      <c r="R1" s="139" t="s">
        <v>226</v>
      </c>
      <c r="S1" s="139" t="s">
        <v>227</v>
      </c>
      <c r="T1" s="139" t="s">
        <v>228</v>
      </c>
      <c r="U1" s="139" t="s">
        <v>229</v>
      </c>
      <c r="V1" s="139" t="s">
        <v>230</v>
      </c>
    </row>
    <row r="2" customFormat="false" ht="15" hidden="false" customHeight="false" outlineLevel="0" collapsed="false">
      <c r="A2" s="0" t="s">
        <v>57</v>
      </c>
      <c r="B2" s="0" t="s">
        <v>59</v>
      </c>
      <c r="C2" s="0" t="s">
        <v>201</v>
      </c>
      <c r="D2" s="0" t="s">
        <v>205</v>
      </c>
      <c r="E2" s="0" t="s">
        <v>97</v>
      </c>
      <c r="F2" s="0" t="s">
        <v>110</v>
      </c>
      <c r="G2" s="0" t="n">
        <v>2.12765957446808</v>
      </c>
      <c r="H2" s="0" t="n">
        <v>2.5531914893617</v>
      </c>
      <c r="I2" s="0" t="s">
        <v>35</v>
      </c>
      <c r="J2" s="0" t="n">
        <v>8</v>
      </c>
      <c r="K2" s="0" t="n">
        <v>0.7</v>
      </c>
      <c r="L2" s="0" t="n">
        <v>1.78723404255319</v>
      </c>
      <c r="M2" s="0" t="n">
        <v>0.2</v>
      </c>
      <c r="N2" s="0" t="n">
        <v>2.14468085106383</v>
      </c>
      <c r="O2" s="0" t="n">
        <v>0.268085106382979</v>
      </c>
      <c r="P2" s="0" t="s">
        <v>34</v>
      </c>
      <c r="Q2" s="0" t="n">
        <v>0.268085106382979</v>
      </c>
      <c r="R2" s="0" t="n">
        <v>0</v>
      </c>
      <c r="S2" s="12" t="n">
        <v>42909</v>
      </c>
      <c r="U2" s="0" t="n">
        <v>2.14468085106383</v>
      </c>
    </row>
    <row r="3" customFormat="false" ht="15" hidden="false" customHeight="false" outlineLevel="0" collapsed="false">
      <c r="A3" s="0" t="s">
        <v>57</v>
      </c>
      <c r="B3" s="0" t="s">
        <v>59</v>
      </c>
      <c r="C3" s="0" t="s">
        <v>201</v>
      </c>
      <c r="D3" s="0" t="s">
        <v>205</v>
      </c>
      <c r="E3" s="0" t="s">
        <v>97</v>
      </c>
      <c r="F3" s="0" t="s">
        <v>110</v>
      </c>
      <c r="G3" s="0" t="n">
        <v>2.12765957446808</v>
      </c>
      <c r="H3" s="0" t="n">
        <v>2.5531914893617</v>
      </c>
      <c r="I3" s="0" t="s">
        <v>32</v>
      </c>
      <c r="J3" s="0" t="n">
        <v>8</v>
      </c>
      <c r="K3" s="0" t="n">
        <v>0.3</v>
      </c>
      <c r="L3" s="0" t="n">
        <v>0.765957446808511</v>
      </c>
      <c r="M3" s="0" t="n">
        <v>0.2</v>
      </c>
      <c r="N3" s="0" t="n">
        <v>0.919148936170213</v>
      </c>
      <c r="O3" s="0" t="n">
        <v>0.114893617021277</v>
      </c>
      <c r="P3" s="0" t="s">
        <v>31</v>
      </c>
      <c r="Q3" s="0" t="n">
        <v>0.114893617021277</v>
      </c>
      <c r="R3" s="0" t="n">
        <v>0</v>
      </c>
      <c r="S3" s="12" t="n">
        <v>42909</v>
      </c>
      <c r="U3" s="0" t="n">
        <v>0.919148936170213</v>
      </c>
    </row>
    <row r="4" customFormat="false" ht="15" hidden="false" customHeight="false" outlineLevel="0" collapsed="false">
      <c r="A4" s="0" t="s">
        <v>57</v>
      </c>
      <c r="B4" s="0" t="s">
        <v>59</v>
      </c>
      <c r="C4" s="0" t="s">
        <v>201</v>
      </c>
      <c r="D4" s="0" t="s">
        <v>202</v>
      </c>
      <c r="E4" s="0" t="s">
        <v>93</v>
      </c>
      <c r="F4" s="0" t="s">
        <v>110</v>
      </c>
      <c r="G4" s="0" t="n">
        <v>2.12765957446808</v>
      </c>
      <c r="H4" s="0" t="n">
        <v>2.5531914893617</v>
      </c>
      <c r="I4" s="0" t="s">
        <v>32</v>
      </c>
      <c r="J4" s="0" t="n">
        <v>8</v>
      </c>
      <c r="K4" s="0" t="n">
        <v>1</v>
      </c>
      <c r="L4" s="0" t="n">
        <v>2.5531914893617</v>
      </c>
      <c r="M4" s="0" t="n">
        <v>0.2</v>
      </c>
      <c r="N4" s="0" t="n">
        <v>3.06382978723404</v>
      </c>
      <c r="O4" s="0" t="n">
        <v>0.382978723404255</v>
      </c>
      <c r="P4" s="0" t="s">
        <v>31</v>
      </c>
      <c r="Q4" s="0" t="n">
        <v>0.382978723404255</v>
      </c>
      <c r="R4" s="0" t="n">
        <v>0</v>
      </c>
      <c r="S4" s="12" t="n">
        <v>42909</v>
      </c>
      <c r="U4" s="0" t="n">
        <v>3.06382978723404</v>
      </c>
    </row>
    <row r="5" customFormat="false" ht="15" hidden="false" customHeight="false" outlineLevel="0" collapsed="false">
      <c r="A5" s="0" t="s">
        <v>57</v>
      </c>
      <c r="B5" s="0" t="s">
        <v>59</v>
      </c>
      <c r="C5" s="0" t="s">
        <v>206</v>
      </c>
      <c r="D5" s="0" t="s">
        <v>207</v>
      </c>
      <c r="E5" s="0" t="s">
        <v>95</v>
      </c>
      <c r="F5" s="0" t="s">
        <v>110</v>
      </c>
      <c r="G5" s="0" t="n">
        <v>2.12765957446808</v>
      </c>
      <c r="H5" s="0" t="n">
        <v>2.5531914893617</v>
      </c>
      <c r="I5" s="0" t="s">
        <v>32</v>
      </c>
      <c r="J5" s="0" t="n">
        <v>8</v>
      </c>
      <c r="K5" s="0" t="n">
        <v>0.4</v>
      </c>
      <c r="L5" s="0" t="n">
        <v>1.02127659574468</v>
      </c>
      <c r="M5" s="0" t="n">
        <v>0.2</v>
      </c>
      <c r="N5" s="0" t="n">
        <v>1.22553191489362</v>
      </c>
      <c r="O5" s="0" t="n">
        <v>0.153191489361702</v>
      </c>
      <c r="P5" s="0" t="s">
        <v>31</v>
      </c>
      <c r="Q5" s="0" t="n">
        <v>0.153191489361702</v>
      </c>
      <c r="R5" s="0" t="n">
        <v>0</v>
      </c>
      <c r="S5" s="12" t="n">
        <v>42909</v>
      </c>
      <c r="U5" s="0" t="n">
        <v>1.22553191489362</v>
      </c>
    </row>
    <row r="6" customFormat="false" ht="15" hidden="false" customHeight="false" outlineLevel="0" collapsed="false">
      <c r="A6" s="0" t="s">
        <v>57</v>
      </c>
      <c r="B6" s="0" t="s">
        <v>59</v>
      </c>
      <c r="C6" s="0" t="s">
        <v>206</v>
      </c>
      <c r="D6" s="0" t="s">
        <v>207</v>
      </c>
      <c r="E6" s="0" t="s">
        <v>95</v>
      </c>
      <c r="F6" s="0" t="s">
        <v>110</v>
      </c>
      <c r="G6" s="0" t="n">
        <v>2.12765957446808</v>
      </c>
      <c r="H6" s="0" t="n">
        <v>2.5531914893617</v>
      </c>
      <c r="I6" s="0" t="s">
        <v>35</v>
      </c>
      <c r="J6" s="0" t="n">
        <v>8</v>
      </c>
      <c r="K6" s="0" t="n">
        <v>0.6</v>
      </c>
      <c r="L6" s="0" t="n">
        <v>1.53191489361702</v>
      </c>
      <c r="M6" s="0" t="n">
        <v>0.2</v>
      </c>
      <c r="N6" s="0" t="n">
        <v>1.83829787234043</v>
      </c>
      <c r="O6" s="0" t="n">
        <v>0.229787234042553</v>
      </c>
      <c r="P6" s="0" t="s">
        <v>37</v>
      </c>
      <c r="Q6" s="0" t="n">
        <v>0.229787234042553</v>
      </c>
      <c r="R6" s="0" t="n">
        <v>0</v>
      </c>
      <c r="S6" s="12" t="n">
        <v>42909</v>
      </c>
      <c r="U6" s="0" t="n">
        <v>1.83829787234043</v>
      </c>
    </row>
    <row r="7" customFormat="false" ht="15" hidden="false" customHeight="false" outlineLevel="0" collapsed="false">
      <c r="A7" s="0" t="s">
        <v>57</v>
      </c>
      <c r="B7" s="0" t="s">
        <v>61</v>
      </c>
      <c r="C7" s="0" t="s">
        <v>203</v>
      </c>
      <c r="D7" s="0" t="s">
        <v>204</v>
      </c>
      <c r="E7" s="0" t="s">
        <v>93</v>
      </c>
      <c r="F7" s="0" t="s">
        <v>110</v>
      </c>
      <c r="G7" s="0" t="n">
        <v>2.12765957446808</v>
      </c>
      <c r="H7" s="0" t="n">
        <v>2.5531914893617</v>
      </c>
      <c r="I7" s="0" t="s">
        <v>32</v>
      </c>
      <c r="J7" s="0" t="n">
        <v>8</v>
      </c>
      <c r="K7" s="0" t="n">
        <v>1</v>
      </c>
      <c r="L7" s="0" t="n">
        <v>2.5531914893617</v>
      </c>
      <c r="M7" s="0" t="n">
        <v>0.2</v>
      </c>
      <c r="N7" s="0" t="n">
        <v>3.06382978723404</v>
      </c>
      <c r="O7" s="0" t="n">
        <v>0.382978723404255</v>
      </c>
      <c r="P7" s="0" t="s">
        <v>31</v>
      </c>
      <c r="Q7" s="0" t="n">
        <v>0.382978723404255</v>
      </c>
      <c r="R7" s="0" t="n">
        <v>0</v>
      </c>
      <c r="S7" s="12" t="n">
        <v>42912</v>
      </c>
      <c r="U7" s="0" t="n">
        <v>3.06382978723404</v>
      </c>
    </row>
    <row r="8" customFormat="false" ht="15" hidden="false" customHeight="false" outlineLevel="0" collapsed="false">
      <c r="A8" s="0" t="s">
        <v>62</v>
      </c>
      <c r="B8" s="0" t="s">
        <v>64</v>
      </c>
      <c r="C8" s="0" t="s">
        <v>209</v>
      </c>
      <c r="D8" s="0" t="s">
        <v>210</v>
      </c>
      <c r="E8" s="0" t="s">
        <v>96</v>
      </c>
      <c r="F8" s="0" t="s">
        <v>107</v>
      </c>
      <c r="G8" s="0" t="n">
        <v>2.12765957446808</v>
      </c>
      <c r="H8" s="0" t="n">
        <v>2.5531914893617</v>
      </c>
      <c r="I8" s="0" t="s">
        <v>32</v>
      </c>
      <c r="J8" s="0" t="n">
        <v>8</v>
      </c>
      <c r="K8" s="0" t="n">
        <v>0.6</v>
      </c>
      <c r="L8" s="0" t="n">
        <v>1.53191489361702</v>
      </c>
      <c r="M8" s="0" t="n">
        <v>0.2</v>
      </c>
      <c r="N8" s="0" t="n">
        <v>1.83829787234043</v>
      </c>
      <c r="O8" s="0" t="n">
        <v>0.229787234042553</v>
      </c>
      <c r="P8" s="0" t="s">
        <v>31</v>
      </c>
      <c r="Q8" s="0" t="n">
        <v>0.229787234042553</v>
      </c>
      <c r="R8" s="0" t="n">
        <v>0</v>
      </c>
      <c r="S8" s="12" t="n">
        <v>42912</v>
      </c>
      <c r="U8" s="0" t="n">
        <v>1.83829787234043</v>
      </c>
    </row>
    <row r="9" customFormat="false" ht="15" hidden="false" customHeight="false" outlineLevel="0" collapsed="false">
      <c r="A9" s="0" t="s">
        <v>62</v>
      </c>
      <c r="B9" s="0" t="s">
        <v>64</v>
      </c>
      <c r="C9" s="0" t="s">
        <v>209</v>
      </c>
      <c r="D9" s="0" t="s">
        <v>210</v>
      </c>
      <c r="E9" s="0" t="s">
        <v>96</v>
      </c>
      <c r="F9" s="0" t="s">
        <v>107</v>
      </c>
      <c r="G9" s="0" t="n">
        <v>2.12765957446808</v>
      </c>
      <c r="H9" s="0" t="n">
        <v>2.5531914893617</v>
      </c>
      <c r="I9" s="0" t="s">
        <v>35</v>
      </c>
      <c r="J9" s="0" t="n">
        <v>8</v>
      </c>
      <c r="K9" s="0" t="n">
        <v>0.4</v>
      </c>
      <c r="L9" s="0" t="n">
        <v>1.02127659574468</v>
      </c>
      <c r="M9" s="0" t="n">
        <v>0.2</v>
      </c>
      <c r="N9" s="0" t="n">
        <v>1.22553191489362</v>
      </c>
      <c r="O9" s="0" t="n">
        <v>0.153191489361702</v>
      </c>
      <c r="P9" s="0" t="s">
        <v>37</v>
      </c>
      <c r="Q9" s="0" t="n">
        <v>0.153191489361702</v>
      </c>
      <c r="R9" s="0" t="n">
        <v>0</v>
      </c>
      <c r="S9" s="12" t="n">
        <v>42909</v>
      </c>
      <c r="U9" s="0" t="n">
        <v>1.22553191489362</v>
      </c>
    </row>
    <row r="10" customFormat="false" ht="15" hidden="false" customHeight="false" outlineLevel="0" collapsed="false">
      <c r="A10" s="0" t="s">
        <v>62</v>
      </c>
      <c r="B10" s="0" t="s">
        <v>63</v>
      </c>
      <c r="C10" s="0" t="s">
        <v>197</v>
      </c>
      <c r="D10" s="0" t="s">
        <v>198</v>
      </c>
      <c r="E10" s="0" t="s">
        <v>96</v>
      </c>
      <c r="F10" s="0" t="s">
        <v>112</v>
      </c>
      <c r="G10" s="0" t="n">
        <v>8.51063829787234</v>
      </c>
      <c r="H10" s="0" t="n">
        <v>10.2127659574468</v>
      </c>
      <c r="I10" s="0" t="s">
        <v>32</v>
      </c>
      <c r="J10" s="0" t="n">
        <v>8</v>
      </c>
      <c r="K10" s="0" t="n">
        <v>0.6</v>
      </c>
      <c r="L10" s="0" t="n">
        <v>6.12765957446808</v>
      </c>
      <c r="M10" s="0" t="n">
        <v>0.2</v>
      </c>
      <c r="N10" s="0" t="n">
        <v>7.3531914893617</v>
      </c>
      <c r="O10" s="0" t="n">
        <v>0.919148936170213</v>
      </c>
      <c r="P10" s="0" t="s">
        <v>31</v>
      </c>
      <c r="Q10" s="0" t="n">
        <v>0.919148936170213</v>
      </c>
      <c r="R10" s="0" t="n">
        <v>0</v>
      </c>
      <c r="S10" s="12" t="n">
        <v>42913</v>
      </c>
      <c r="U10" s="0" t="n">
        <v>7.3531914893617</v>
      </c>
    </row>
    <row r="11" customFormat="false" ht="15" hidden="false" customHeight="false" outlineLevel="0" collapsed="false">
      <c r="A11" s="0" t="s">
        <v>62</v>
      </c>
      <c r="B11" s="0" t="s">
        <v>63</v>
      </c>
      <c r="C11" s="0" t="s">
        <v>197</v>
      </c>
      <c r="D11" s="0" t="s">
        <v>198</v>
      </c>
      <c r="E11" s="0" t="s">
        <v>96</v>
      </c>
      <c r="F11" s="0" t="s">
        <v>112</v>
      </c>
      <c r="G11" s="0" t="n">
        <v>8.51063829787234</v>
      </c>
      <c r="H11" s="0" t="n">
        <v>10.2127659574468</v>
      </c>
      <c r="I11" s="0" t="s">
        <v>35</v>
      </c>
      <c r="J11" s="0" t="n">
        <v>8</v>
      </c>
      <c r="K11" s="0" t="n">
        <v>0.4</v>
      </c>
      <c r="L11" s="0" t="n">
        <v>4.08510638297872</v>
      </c>
      <c r="M11" s="0" t="n">
        <v>0.2</v>
      </c>
      <c r="N11" s="0" t="n">
        <v>4.90212765957447</v>
      </c>
      <c r="O11" s="0" t="n">
        <v>0.612765957446808</v>
      </c>
      <c r="P11" s="0" t="s">
        <v>37</v>
      </c>
      <c r="Q11" s="0" t="n">
        <v>0.612765957446808</v>
      </c>
      <c r="R11" s="0" t="n">
        <v>0</v>
      </c>
      <c r="S11" s="12" t="n">
        <v>42909</v>
      </c>
      <c r="U11" s="0" t="n">
        <v>4.90212765957447</v>
      </c>
    </row>
    <row r="12" customFormat="false" ht="15" hidden="false" customHeight="false" outlineLevel="0" collapsed="false">
      <c r="A12" s="0" t="s">
        <v>62</v>
      </c>
      <c r="B12" s="0" t="s">
        <v>65</v>
      </c>
      <c r="C12" s="0" t="s">
        <v>199</v>
      </c>
      <c r="D12" s="0" t="s">
        <v>211</v>
      </c>
      <c r="E12" s="0" t="s">
        <v>94</v>
      </c>
      <c r="F12" s="0" t="s">
        <v>114</v>
      </c>
      <c r="G12" s="0" t="n">
        <v>9.57446808510638</v>
      </c>
      <c r="H12" s="0" t="n">
        <v>11.4893617021277</v>
      </c>
      <c r="I12" s="0" t="s">
        <v>35</v>
      </c>
      <c r="J12" s="0" t="n">
        <v>8</v>
      </c>
      <c r="K12" s="0" t="n">
        <v>1</v>
      </c>
      <c r="L12" s="0" t="n">
        <v>11.4893617021277</v>
      </c>
      <c r="M12" s="0" t="n">
        <v>0.2</v>
      </c>
      <c r="N12" s="0" t="n">
        <v>13.7872340425532</v>
      </c>
      <c r="O12" s="0" t="n">
        <v>1.72340425531915</v>
      </c>
      <c r="P12" s="0" t="s">
        <v>37</v>
      </c>
      <c r="Q12" s="0" t="n">
        <v>1.72340425531915</v>
      </c>
      <c r="R12" s="0" t="n">
        <v>0</v>
      </c>
      <c r="S12" s="12" t="n">
        <v>42913</v>
      </c>
      <c r="U12" s="0" t="n">
        <v>13.7872340425532</v>
      </c>
    </row>
    <row r="13" customFormat="false" ht="15" hidden="false" customHeight="false" outlineLevel="0" collapsed="false">
      <c r="A13" s="0" t="s">
        <v>62</v>
      </c>
      <c r="B13" s="0" t="s">
        <v>65</v>
      </c>
      <c r="C13" s="0" t="s">
        <v>199</v>
      </c>
      <c r="D13" s="0" t="s">
        <v>200</v>
      </c>
      <c r="E13" s="0" t="s">
        <v>97</v>
      </c>
      <c r="F13" s="0" t="s">
        <v>112</v>
      </c>
      <c r="G13" s="0" t="n">
        <v>4.25531914893617</v>
      </c>
      <c r="H13" s="0" t="n">
        <v>5.1063829787234</v>
      </c>
      <c r="I13" s="0" t="s">
        <v>35</v>
      </c>
      <c r="J13" s="0" t="n">
        <v>8</v>
      </c>
      <c r="K13" s="0" t="n">
        <v>0.7</v>
      </c>
      <c r="L13" s="0" t="n">
        <v>3.57446808510638</v>
      </c>
      <c r="M13" s="0" t="n">
        <v>0.2</v>
      </c>
      <c r="N13" s="0" t="n">
        <v>4.28936170212766</v>
      </c>
      <c r="O13" s="0" t="n">
        <v>0.536170212765957</v>
      </c>
      <c r="P13" s="0" t="s">
        <v>34</v>
      </c>
      <c r="Q13" s="0" t="n">
        <v>0.536170212765957</v>
      </c>
      <c r="R13" s="0" t="n">
        <v>0</v>
      </c>
      <c r="S13" s="12" t="n">
        <v>42909</v>
      </c>
      <c r="U13" s="0" t="n">
        <v>4.28936170212766</v>
      </c>
    </row>
    <row r="14" customFormat="false" ht="15" hidden="false" customHeight="false" outlineLevel="0" collapsed="false">
      <c r="A14" s="0" t="s">
        <v>62</v>
      </c>
      <c r="B14" s="0" t="s">
        <v>65</v>
      </c>
      <c r="C14" s="0" t="s">
        <v>199</v>
      </c>
      <c r="D14" s="0" t="s">
        <v>200</v>
      </c>
      <c r="E14" s="0" t="s">
        <v>97</v>
      </c>
      <c r="F14" s="0" t="s">
        <v>112</v>
      </c>
      <c r="G14" s="0" t="n">
        <v>4.25531914893617</v>
      </c>
      <c r="H14" s="0" t="n">
        <v>5.1063829787234</v>
      </c>
      <c r="I14" s="0" t="s">
        <v>32</v>
      </c>
      <c r="J14" s="0" t="n">
        <v>8</v>
      </c>
      <c r="K14" s="0" t="n">
        <v>0.3</v>
      </c>
      <c r="L14" s="0" t="n">
        <v>1.53191489361702</v>
      </c>
      <c r="M14" s="0" t="n">
        <v>0.2</v>
      </c>
      <c r="N14" s="0" t="n">
        <v>1.83829787234043</v>
      </c>
      <c r="O14" s="0" t="n">
        <v>0.229787234042553</v>
      </c>
      <c r="P14" s="0" t="s">
        <v>31</v>
      </c>
      <c r="Q14" s="0" t="n">
        <v>0.229787234042553</v>
      </c>
      <c r="R14" s="0" t="n">
        <v>0</v>
      </c>
      <c r="S14" s="12" t="n">
        <v>42913</v>
      </c>
      <c r="U14" s="0" t="n">
        <v>1.83829787234043</v>
      </c>
    </row>
    <row r="15" customFormat="false" ht="15" hidden="false" customHeight="false" outlineLevel="0" collapsed="false">
      <c r="A15" s="0" t="s">
        <v>62</v>
      </c>
      <c r="B15" s="0" t="s">
        <v>65</v>
      </c>
      <c r="C15" s="0" t="s">
        <v>199</v>
      </c>
      <c r="D15" s="0" t="s">
        <v>208</v>
      </c>
      <c r="E15" s="0" t="s">
        <v>92</v>
      </c>
      <c r="F15" s="0" t="s">
        <v>110</v>
      </c>
      <c r="G15" s="0" t="n">
        <v>2.12765957446808</v>
      </c>
      <c r="H15" s="0" t="n">
        <v>2.5531914893617</v>
      </c>
      <c r="I15" s="0" t="s">
        <v>32</v>
      </c>
      <c r="J15" s="0" t="n">
        <v>8</v>
      </c>
      <c r="K15" s="0" t="n">
        <v>0.3</v>
      </c>
      <c r="L15" s="0" t="n">
        <v>0.765957446808511</v>
      </c>
      <c r="M15" s="0" t="n">
        <v>0.2</v>
      </c>
      <c r="N15" s="0" t="n">
        <v>0.919148936170213</v>
      </c>
      <c r="O15" s="0" t="n">
        <v>0.114893617021277</v>
      </c>
      <c r="P15" s="0" t="s">
        <v>31</v>
      </c>
      <c r="Q15" s="0" t="n">
        <v>0.114893617021277</v>
      </c>
      <c r="R15" s="0" t="n">
        <v>0</v>
      </c>
      <c r="S15" s="12" t="n">
        <v>42913</v>
      </c>
      <c r="U15" s="0" t="n">
        <v>0.919148936170213</v>
      </c>
    </row>
    <row r="16" customFormat="false" ht="15" hidden="false" customHeight="false" outlineLevel="0" collapsed="false">
      <c r="A16" s="0" t="s">
        <v>62</v>
      </c>
      <c r="B16" s="0" t="s">
        <v>65</v>
      </c>
      <c r="C16" s="0" t="s">
        <v>199</v>
      </c>
      <c r="D16" s="0" t="s">
        <v>208</v>
      </c>
      <c r="E16" s="0" t="s">
        <v>92</v>
      </c>
      <c r="F16" s="0" t="s">
        <v>110</v>
      </c>
      <c r="G16" s="0" t="n">
        <v>2.12765957446808</v>
      </c>
      <c r="H16" s="0" t="n">
        <v>2.5531914893617</v>
      </c>
      <c r="I16" s="0" t="s">
        <v>35</v>
      </c>
      <c r="J16" s="0" t="n">
        <v>8</v>
      </c>
      <c r="K16" s="0" t="n">
        <v>0.7</v>
      </c>
      <c r="L16" s="0" t="n">
        <v>1.78723404255319</v>
      </c>
      <c r="M16" s="0" t="n">
        <v>0.2</v>
      </c>
      <c r="N16" s="0" t="n">
        <v>2.14468085106383</v>
      </c>
      <c r="O16" s="0" t="n">
        <v>0.268085106382979</v>
      </c>
      <c r="P16" s="0" t="s">
        <v>34</v>
      </c>
      <c r="Q16" s="0" t="n">
        <v>0.268085106382979</v>
      </c>
      <c r="R16" s="0" t="n">
        <v>0</v>
      </c>
      <c r="S16" s="12" t="n">
        <v>42912</v>
      </c>
      <c r="U16" s="0" t="n">
        <v>2.14468085106383</v>
      </c>
    </row>
    <row r="17" customFormat="false" ht="15" hidden="false" customHeight="false" outlineLevel="0" collapsed="false">
      <c r="A17" s="0" t="s">
        <v>62</v>
      </c>
      <c r="B17" s="0" t="s">
        <v>59</v>
      </c>
      <c r="C17" s="0" t="s">
        <v>212</v>
      </c>
      <c r="D17" s="0" t="s">
        <v>213</v>
      </c>
      <c r="E17" s="0" t="s">
        <v>91</v>
      </c>
      <c r="F17" s="0" t="s">
        <v>112</v>
      </c>
      <c r="G17" s="0" t="n">
        <v>10.6382978723404</v>
      </c>
      <c r="H17" s="0" t="n">
        <v>12.7659574468085</v>
      </c>
      <c r="I17" s="0" t="s">
        <v>32</v>
      </c>
      <c r="J17" s="0" t="n">
        <v>8</v>
      </c>
      <c r="K17" s="0" t="n">
        <v>0.3</v>
      </c>
      <c r="L17" s="0" t="n">
        <v>3.82978723404255</v>
      </c>
      <c r="M17" s="0" t="n">
        <v>0.2</v>
      </c>
      <c r="N17" s="0" t="n">
        <v>4.59574468085106</v>
      </c>
      <c r="O17" s="0" t="n">
        <v>0.574468085106383</v>
      </c>
      <c r="P17" s="0" t="s">
        <v>31</v>
      </c>
      <c r="Q17" s="0" t="n">
        <v>0.574468085106383</v>
      </c>
      <c r="R17" s="0" t="n">
        <v>0</v>
      </c>
      <c r="S17" s="12" t="n">
        <v>42914</v>
      </c>
      <c r="U17" s="0" t="n">
        <v>4.59574468085106</v>
      </c>
    </row>
    <row r="18" customFormat="false" ht="15" hidden="false" customHeight="false" outlineLevel="0" collapsed="false">
      <c r="A18" s="0" t="s">
        <v>62</v>
      </c>
      <c r="B18" s="0" t="s">
        <v>59</v>
      </c>
      <c r="C18" s="0" t="s">
        <v>212</v>
      </c>
      <c r="D18" s="0" t="s">
        <v>213</v>
      </c>
      <c r="E18" s="0" t="s">
        <v>91</v>
      </c>
      <c r="F18" s="0" t="s">
        <v>112</v>
      </c>
      <c r="G18" s="0" t="n">
        <v>10.6382978723404</v>
      </c>
      <c r="H18" s="0" t="n">
        <v>12.7659574468085</v>
      </c>
      <c r="I18" s="0" t="s">
        <v>35</v>
      </c>
      <c r="J18" s="0" t="n">
        <v>8</v>
      </c>
      <c r="K18" s="0" t="n">
        <v>0.7</v>
      </c>
      <c r="L18" s="0" t="n">
        <v>8.93617021276596</v>
      </c>
      <c r="M18" s="0" t="n">
        <v>0.2</v>
      </c>
      <c r="N18" s="0" t="n">
        <v>10.7234042553191</v>
      </c>
      <c r="O18" s="0" t="n">
        <v>1.34042553191489</v>
      </c>
      <c r="P18" s="0" t="s">
        <v>34</v>
      </c>
      <c r="Q18" s="0" t="n">
        <v>1.34042553191489</v>
      </c>
      <c r="R18" s="0" t="n">
        <v>0</v>
      </c>
      <c r="S18" s="12" t="n">
        <v>42913</v>
      </c>
      <c r="U18" s="0" t="n">
        <v>10.7234042553191</v>
      </c>
    </row>
    <row r="19" customFormat="false" ht="15" hidden="false" customHeight="false" outlineLevel="0" collapsed="false">
      <c r="A19" s="0" t="s">
        <v>62</v>
      </c>
      <c r="B19" s="0" t="s">
        <v>59</v>
      </c>
      <c r="C19" s="0" t="s">
        <v>212</v>
      </c>
      <c r="D19" s="0" t="s">
        <v>215</v>
      </c>
      <c r="E19" s="0" t="s">
        <v>97</v>
      </c>
      <c r="F19" s="0" t="s">
        <v>110</v>
      </c>
      <c r="G19" s="0" t="n">
        <v>2.12765957446808</v>
      </c>
      <c r="H19" s="0" t="n">
        <v>2.5531914893617</v>
      </c>
      <c r="I19" s="0" t="s">
        <v>35</v>
      </c>
      <c r="J19" s="0" t="n">
        <v>8</v>
      </c>
      <c r="K19" s="0" t="n">
        <v>0.7</v>
      </c>
      <c r="L19" s="0" t="n">
        <v>1.78723404255319</v>
      </c>
      <c r="M19" s="0" t="n">
        <v>0.2</v>
      </c>
      <c r="N19" s="0" t="n">
        <v>2.14468085106383</v>
      </c>
      <c r="O19" s="0" t="n">
        <v>0.268085106382979</v>
      </c>
      <c r="P19" s="0" t="s">
        <v>37</v>
      </c>
      <c r="Q19" s="0" t="n">
        <v>0.268085106382979</v>
      </c>
      <c r="R19" s="0" t="n">
        <v>0</v>
      </c>
      <c r="S19" s="12" t="n">
        <v>42913</v>
      </c>
      <c r="U19" s="0" t="n">
        <v>2.14468085106383</v>
      </c>
    </row>
    <row r="20" customFormat="false" ht="15" hidden="false" customHeight="false" outlineLevel="0" collapsed="false">
      <c r="A20" s="0" t="s">
        <v>62</v>
      </c>
      <c r="B20" s="0" t="s">
        <v>59</v>
      </c>
      <c r="C20" s="0" t="s">
        <v>212</v>
      </c>
      <c r="D20" s="0" t="s">
        <v>215</v>
      </c>
      <c r="E20" s="0" t="s">
        <v>97</v>
      </c>
      <c r="F20" s="0" t="s">
        <v>110</v>
      </c>
      <c r="G20" s="0" t="n">
        <v>2.12765957446808</v>
      </c>
      <c r="H20" s="0" t="n">
        <v>2.5531914893617</v>
      </c>
      <c r="I20" s="0" t="s">
        <v>32</v>
      </c>
      <c r="J20" s="0" t="n">
        <v>8</v>
      </c>
      <c r="K20" s="0" t="n">
        <v>0.3</v>
      </c>
      <c r="L20" s="0" t="n">
        <v>0.765957446808511</v>
      </c>
      <c r="M20" s="0" t="n">
        <v>0.2</v>
      </c>
      <c r="N20" s="0" t="n">
        <v>0.919148936170213</v>
      </c>
      <c r="O20" s="0" t="n">
        <v>0.114893617021277</v>
      </c>
      <c r="P20" s="0" t="s">
        <v>31</v>
      </c>
      <c r="Q20" s="0" t="n">
        <v>0.114893617021277</v>
      </c>
      <c r="R20" s="0" t="n">
        <v>0</v>
      </c>
      <c r="S20" s="12" t="n">
        <v>42914</v>
      </c>
      <c r="U20" s="0" t="n">
        <v>0.919148936170213</v>
      </c>
    </row>
    <row r="21" customFormat="false" ht="15" hidden="false" customHeight="false" outlineLevel="0" collapsed="false">
      <c r="A21" s="0" t="s">
        <v>62</v>
      </c>
      <c r="B21" s="0" t="s">
        <v>59</v>
      </c>
      <c r="C21" s="0" t="s">
        <v>212</v>
      </c>
      <c r="D21" s="0" t="s">
        <v>216</v>
      </c>
      <c r="E21" s="0" t="s">
        <v>92</v>
      </c>
      <c r="F21" s="0" t="s">
        <v>110</v>
      </c>
      <c r="G21" s="0" t="n">
        <v>2.12765957446808</v>
      </c>
      <c r="H21" s="0" t="n">
        <v>2.5531914893617</v>
      </c>
      <c r="I21" s="0" t="s">
        <v>32</v>
      </c>
      <c r="J21" s="0" t="n">
        <v>8</v>
      </c>
      <c r="K21" s="0" t="n">
        <v>0.3</v>
      </c>
      <c r="L21" s="0" t="n">
        <v>0.765957446808511</v>
      </c>
      <c r="M21" s="0" t="n">
        <v>0.2</v>
      </c>
      <c r="N21" s="0" t="n">
        <v>0.919148936170213</v>
      </c>
      <c r="O21" s="0" t="n">
        <v>0.114893617021277</v>
      </c>
      <c r="P21" s="0" t="s">
        <v>31</v>
      </c>
      <c r="Q21" s="0" t="n">
        <v>0.114893617021277</v>
      </c>
      <c r="R21" s="0" t="n">
        <v>0</v>
      </c>
      <c r="S21" s="12" t="n">
        <v>42914</v>
      </c>
      <c r="U21" s="0" t="n">
        <v>0.919148936170213</v>
      </c>
    </row>
    <row r="22" customFormat="false" ht="15" hidden="false" customHeight="false" outlineLevel="0" collapsed="false">
      <c r="A22" s="0" t="s">
        <v>62</v>
      </c>
      <c r="B22" s="0" t="s">
        <v>59</v>
      </c>
      <c r="C22" s="0" t="s">
        <v>212</v>
      </c>
      <c r="D22" s="0" t="s">
        <v>216</v>
      </c>
      <c r="E22" s="0" t="s">
        <v>92</v>
      </c>
      <c r="F22" s="0" t="s">
        <v>110</v>
      </c>
      <c r="G22" s="0" t="n">
        <v>2.12765957446808</v>
      </c>
      <c r="H22" s="0" t="n">
        <v>2.5531914893617</v>
      </c>
      <c r="I22" s="0" t="s">
        <v>35</v>
      </c>
      <c r="J22" s="0" t="n">
        <v>8</v>
      </c>
      <c r="K22" s="0" t="n">
        <v>0.7</v>
      </c>
      <c r="L22" s="0" t="n">
        <v>1.78723404255319</v>
      </c>
      <c r="M22" s="0" t="n">
        <v>0.2</v>
      </c>
      <c r="N22" s="0" t="n">
        <v>2.14468085106383</v>
      </c>
      <c r="O22" s="0" t="n">
        <v>0.268085106382979</v>
      </c>
      <c r="P22" s="0" t="s">
        <v>37</v>
      </c>
      <c r="Q22" s="0" t="n">
        <v>0.268085106382979</v>
      </c>
      <c r="R22" s="0" t="n">
        <v>0</v>
      </c>
      <c r="S22" s="12" t="n">
        <v>42914</v>
      </c>
      <c r="U22" s="0" t="n">
        <v>2.14468085106383</v>
      </c>
    </row>
    <row r="23" customFormat="false" ht="15" hidden="false" customHeight="false" outlineLevel="0" collapsed="false">
      <c r="A23" s="0" t="s">
        <v>62</v>
      </c>
      <c r="B23" s="0" t="s">
        <v>63</v>
      </c>
      <c r="C23" s="0" t="s">
        <v>197</v>
      </c>
      <c r="D23" s="0" t="s">
        <v>214</v>
      </c>
      <c r="E23" s="0" t="s">
        <v>92</v>
      </c>
      <c r="F23" s="0" t="s">
        <v>114</v>
      </c>
      <c r="G23" s="0" t="n">
        <v>8.51063829787234</v>
      </c>
      <c r="H23" s="0" t="n">
        <v>10.2127659574468</v>
      </c>
      <c r="I23" s="0" t="s">
        <v>32</v>
      </c>
      <c r="J23" s="0" t="n">
        <v>8</v>
      </c>
      <c r="K23" s="0" t="n">
        <v>0.3</v>
      </c>
      <c r="L23" s="0" t="n">
        <v>3.06382978723404</v>
      </c>
      <c r="M23" s="0" t="n">
        <v>0.2</v>
      </c>
      <c r="N23" s="0" t="n">
        <v>3.67659574468085</v>
      </c>
      <c r="O23" s="0" t="n">
        <v>0.459574468085106</v>
      </c>
      <c r="P23" s="0" t="s">
        <v>31</v>
      </c>
      <c r="Q23" s="0" t="n">
        <v>0.459574468085106</v>
      </c>
      <c r="R23" s="0" t="n">
        <v>0</v>
      </c>
      <c r="S23" s="12" t="n">
        <v>42914</v>
      </c>
      <c r="U23" s="0" t="n">
        <v>3.67659574468085</v>
      </c>
    </row>
    <row r="24" customFormat="false" ht="15" hidden="false" customHeight="false" outlineLevel="0" collapsed="false">
      <c r="A24" s="0" t="s">
        <v>62</v>
      </c>
      <c r="B24" s="0" t="s">
        <v>63</v>
      </c>
      <c r="C24" s="0" t="s">
        <v>197</v>
      </c>
      <c r="D24" s="0" t="s">
        <v>214</v>
      </c>
      <c r="E24" s="0" t="s">
        <v>92</v>
      </c>
      <c r="F24" s="0" t="s">
        <v>114</v>
      </c>
      <c r="G24" s="0" t="n">
        <v>8.51063829787234</v>
      </c>
      <c r="H24" s="0" t="n">
        <v>10.2127659574468</v>
      </c>
      <c r="I24" s="0" t="s">
        <v>35</v>
      </c>
      <c r="J24" s="0" t="n">
        <v>8</v>
      </c>
      <c r="K24" s="0" t="n">
        <v>0.7</v>
      </c>
      <c r="L24" s="0" t="n">
        <v>7.14893617021277</v>
      </c>
      <c r="M24" s="0" t="n">
        <v>0.2</v>
      </c>
      <c r="N24" s="0" t="n">
        <v>8.57872340425532</v>
      </c>
      <c r="O24" s="0" t="n">
        <v>1.07234042553191</v>
      </c>
      <c r="P24" s="0" t="s">
        <v>34</v>
      </c>
      <c r="Q24" s="0" t="n">
        <v>1.07234042553191</v>
      </c>
      <c r="R24" s="0" t="n">
        <v>0</v>
      </c>
      <c r="S24" s="12" t="n">
        <v>42914</v>
      </c>
      <c r="U24" s="0" t="n">
        <v>8.57872340425532</v>
      </c>
    </row>
    <row r="25" customFormat="false" ht="15" hidden="false" customHeight="false" outlineLevel="0" collapsed="false">
      <c r="A25" s="0" t="s">
        <v>66</v>
      </c>
      <c r="C25" s="0" t="s">
        <v>67</v>
      </c>
      <c r="D25" s="0" t="s">
        <v>68</v>
      </c>
      <c r="E25" s="0" t="s">
        <v>96</v>
      </c>
      <c r="F25" s="0" t="s">
        <v>110</v>
      </c>
      <c r="G25" s="0" t="n">
        <v>4.25531914893617</v>
      </c>
      <c r="H25" s="0" t="n">
        <v>5.1063829787234</v>
      </c>
      <c r="I25" s="0" t="s">
        <v>32</v>
      </c>
      <c r="J25" s="0" t="n">
        <v>8</v>
      </c>
      <c r="K25" s="0" t="n">
        <v>0.6</v>
      </c>
      <c r="L25" s="0" t="n">
        <v>3.06382978723404</v>
      </c>
      <c r="M25" s="0" t="n">
        <v>0.2</v>
      </c>
      <c r="N25" s="0" t="n">
        <v>3.67659574468085</v>
      </c>
      <c r="O25" s="0" t="n">
        <v>0.459574468085106</v>
      </c>
      <c r="P25" s="0" t="s">
        <v>31</v>
      </c>
      <c r="Q25" s="0" t="n">
        <v>0.459574468085106</v>
      </c>
      <c r="R25" s="0" t="n">
        <v>0</v>
      </c>
      <c r="S25" s="12" t="n">
        <v>42915</v>
      </c>
      <c r="U25" s="0" t="n">
        <v>3.67659574468085</v>
      </c>
    </row>
    <row r="26" customFormat="false" ht="15" hidden="false" customHeight="false" outlineLevel="0" collapsed="false">
      <c r="A26" s="0" t="s">
        <v>66</v>
      </c>
      <c r="C26" s="0" t="s">
        <v>67</v>
      </c>
      <c r="D26" s="0" t="s">
        <v>68</v>
      </c>
      <c r="E26" s="0" t="s">
        <v>96</v>
      </c>
      <c r="F26" s="0" t="s">
        <v>110</v>
      </c>
      <c r="G26" s="0" t="n">
        <v>4.25531914893617</v>
      </c>
      <c r="H26" s="0" t="n">
        <v>5.1063829787234</v>
      </c>
      <c r="I26" s="0" t="s">
        <v>35</v>
      </c>
      <c r="J26" s="0" t="n">
        <v>8</v>
      </c>
      <c r="K26" s="0" t="n">
        <v>0.4</v>
      </c>
      <c r="L26" s="0" t="n">
        <v>2.04255319148936</v>
      </c>
      <c r="M26" s="0" t="n">
        <v>0.2</v>
      </c>
      <c r="N26" s="0" t="n">
        <v>2.45106382978723</v>
      </c>
      <c r="O26" s="0" t="n">
        <v>0.306382978723404</v>
      </c>
      <c r="P26" s="0" t="s">
        <v>37</v>
      </c>
      <c r="Q26" s="0" t="n">
        <v>0.306382978723404</v>
      </c>
      <c r="R26" s="0" t="n">
        <v>0</v>
      </c>
      <c r="S26" s="12" t="n">
        <v>42914</v>
      </c>
      <c r="U26" s="0" t="n">
        <v>2.45106382978723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2016-10-03T16:19:42Z</dcterms:created>
  <dc:creator>Ramon Tramontini</dc:creator>
  <dc:description/>
  <dc:language>pt-BR</dc:language>
  <cp:lastModifiedBy/>
  <dcterms:modified xsi:type="dcterms:W3CDTF">2017-06-27T09:31:59Z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  <property fmtid="{D5CDD505-2E9C-101B-9397-08002B2CF9AE}" pid="8" name="WorkbookGuid">
    <vt:lpwstr>3a0d08ad-521e-48ab-bff8-be96a248b834</vt:lpwstr>
  </property>
</Properties>
</file>