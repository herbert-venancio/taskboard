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pivotTables/pivotTable4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6"/>
  </bookViews>
  <sheets>
    <sheet name="Demands by Status" sheetId="1" state="visible" r:id="rId2"/>
    <sheet name="Progress by Demand" sheetId="2" state="visible" r:id="rId3"/>
    <sheet name="Timeline" sheetId="3" state="visible" r:id="rId4"/>
    <sheet name="Gantt" sheetId="4" state="visible" r:id="rId5"/>
    <sheet name="Role Mapping &amp; Issue Type" sheetId="5" state="visible" r:id="rId6"/>
    <sheet name="T-shirt Size" sheetId="6" state="visible" r:id="rId7"/>
    <sheet name="From Jira" sheetId="7" state="visible" r:id="rId8"/>
    <sheet name="Ordered Status" sheetId="8" state="visible" r:id="rId9"/>
    <sheet name="GanttBase" sheetId="9" state="visible" r:id="rId10"/>
    <sheet name="Activities" sheetId="10" state="visible" r:id="rId11"/>
  </sheets>
  <definedNames>
    <definedName function="false" hidden="false" name="Cluster_Name" vbProcedure="false">'T-shirt Size'!$H$3</definedName>
    <definedName function="false" hidden="false" name="EstimateByVelocity" vbProcedure="false">'progress by demand'!#ref!</definedName>
    <definedName function="false" hidden="false" name="HipotesisTreshold" vbProcedure="false">'Progress by Demand'!$B$1</definedName>
    <definedName function="false" hidden="false" name="UseBallpark" vbProcedure="false">'progress by demand'!#ref!</definedName>
    <definedName function="false" hidden="false" name="Velocity" vbProcedure="false">'progress by demand'!#ref!</definedName>
    <definedName function="false" hidden="false" name="_" vbProcedure="false">'T-shirt Size'!$H$3</definedName>
    <definedName function="false" hidden="false" localSheetId="6" name="jira_all_issues_1" vbProcedure="false">'From Jira'!$A$1:$AC$3665</definedName>
    <definedName function="false" hidden="false" localSheetId="8" name="_xlnm._FilterDatabase" vbProcedure="false">GanttBase!$A$1:$R$94</definedName>
    <definedName function="false" hidden="false" localSheetId="9" name="_xlnm._FilterDatabase" vbProcedure="false">Activities!$A$1:$U$1</definedName>
    <definedName function="true" hidden="false" name="Module1.UpdateJiraData" vbProcedure="true"/>
    <definedName function="true" hidden="false" name="Module1.UpdateGantt" vbProcedure="true"/>
  </definedNames>
  <calcPr iterateCount="100" refMode="A1" iterate="false" iterateDelta="0.0001"/>
</workbook>
</file>

<file path=xl/sharedStrings.xml><?xml version="1.0" encoding="utf-8"?>
<sst xmlns="http://schemas.openxmlformats.org/spreadsheetml/2006/main" count="2061" uniqueCount="457">
  <si>
    <t>project</t>
  </si>
  <si>
    <t>- todas -</t>
  </si>
  <si>
    <t>DemandOrderedStatus</t>
  </si>
  <si>
    <t>Cont.Núm - SubtaskOrderedFullDescription</t>
  </si>
  <si>
    <t>SubtaskOrderedStatus</t>
  </si>
  <si>
    <t>task_release</t>
  </si>
  <si>
    <t>demand_description</t>
  </si>
  <si>
    <t>TASK_FULL_DESCRIPTION</t>
  </si>
  <si>
    <t>SUBTASK_TYPE</t>
  </si>
  <si>
    <t>(vazio)</t>
  </si>
  <si>
    <t>Erro:508</t>
  </si>
  <si>
    <t>Total Resultado</t>
  </si>
  <si>
    <t>1-POC</t>
  </si>
  <si>
    <t>00001 - Enhanced Group Functionality (Site)</t>
  </si>
  <si>
    <t>00002 - User Activity Tracking</t>
  </si>
  <si>
    <t>00003 - OpenID Connect SSO Support </t>
  </si>
  <si>
    <t>00004 - Google LMS Integration</t>
  </si>
  <si>
    <t>00005 - System Architecture</t>
  </si>
  <si>
    <t>2-Discovery</t>
  </si>
  <si>
    <t>00104 - User Management</t>
  </si>
  <si>
    <t>00069 - UI &amp; Theme</t>
  </si>
  <si>
    <t>00092 - Content Management</t>
  </si>
  <si>
    <t>No Release Set</t>
  </si>
  <si>
    <t>01429 - Enhancement - Buyer Order Management</t>
  </si>
  <si>
    <t>Feature | 01250 - Update Sales Order to take in different order statuses</t>
  </si>
  <si>
    <t>Alpha Test</t>
  </si>
  <si>
    <t>Tech Planning</t>
  </si>
  <si>
    <t>Feature Review</t>
  </si>
  <si>
    <t>Backend Development</t>
  </si>
  <si>
    <t>Feature | 01440 - Update search criteria on Orders Landing Page</t>
  </si>
  <si>
    <t>QA</t>
  </si>
  <si>
    <t>Feature | 01442 - Update search criteria on Release Landing Page </t>
  </si>
  <si>
    <t>Alpha Bug</t>
  </si>
  <si>
    <t>Feature | 01475 - Update default Sort Order and Add Sort Functioanlity on Orders Landing Page </t>
  </si>
  <si>
    <t>Frontend Development</t>
  </si>
  <si>
    <t>Feature Planning</t>
  </si>
  <si>
    <t>UX</t>
  </si>
  <si>
    <t>Feature | 01643 - Update Sales Order Data Sync logic</t>
  </si>
  <si>
    <t>Feature | 01697 - Update display of qty fields on Orders page</t>
  </si>
  <si>
    <t>Feature | 01981 - Logging Updates</t>
  </si>
  <si>
    <t>01437 - Enhancement - Buyer Shipment Management</t>
  </si>
  <si>
    <t>Feature | 01668 - Refactor Shipment Sync/WS Classes for data refresh calls.</t>
  </si>
  <si>
    <t>Feature | 01718 - BIT 176 -  BOL# Incorrect for SAP Shipment</t>
  </si>
  <si>
    <t>Feature | 02878 - Update Carrier list for portal </t>
  </si>
  <si>
    <t>01438 - Enhancement - Buyer Inventory Management </t>
  </si>
  <si>
    <t>Feature | 01669 - Refactor Inventory Sync/WS Classes for data refresh calls.</t>
  </si>
  <si>
    <t>01439 - Enhanced Portal Foundation Settings</t>
  </si>
  <si>
    <t>Bug | 01491 - Customer Site Template was not updated correctly</t>
  </si>
  <si>
    <t>Feature | 01575 - User friendly error messaging for CSR and Buyers</t>
  </si>
  <si>
    <t>Feature | 01852 - Update User Creation Test Scripts and customer LARs </t>
  </si>
  <si>
    <t>Sub-Task</t>
  </si>
  <si>
    <t>Feature | 01891 - Add Google Analytics to the Customer Portal Sites</t>
  </si>
  <si>
    <t>01527 - Updates for all Report </t>
  </si>
  <si>
    <t>Feature | 01873 - 211 (BDT) Report parameter issue from page view buttons- Open and Closed/ Releases and Shipment History </t>
  </si>
  <si>
    <t>01570 - Enhancement - Buyer Reports</t>
  </si>
  <si>
    <t>Bug | 01316 - BIT-78 All Reports- Default Column Fields </t>
  </si>
  <si>
    <t>Feature | 01526 - Update the report that is called from the Open Order Landing Page</t>
  </si>
  <si>
    <t>Feature | 01527 - Updates for all Report </t>
  </si>
  <si>
    <t>01652 - Enhancement - Customer Data Sync</t>
  </si>
  <si>
    <t>Feature | 01173 - BIT-49 Ship To Filter Name &amp; Address Info Missing in Portal</t>
  </si>
  <si>
    <t>01657 - Enhancement - Buyer Portal Foundations</t>
  </si>
  <si>
    <t>Feature | 01661 - Update default settings for locations filter</t>
  </si>
  <si>
    <t>Feature | 01692 - Update the Footer Content </t>
  </si>
  <si>
    <t>Feature | 01736 - Update Dashboard Content</t>
  </si>
  <si>
    <t>Feature | 01777 - Keep CSR on Control Panel View when navigating to customer sites  </t>
  </si>
  <si>
    <t>Feature | 01784 - Improve data display on all pages </t>
  </si>
  <si>
    <t>Bug | 00806 - Ship To Filter Issue with Name Format and number of items</t>
  </si>
  <si>
    <t>02870 - Off-boarding Tasks</t>
  </si>
  <si>
    <t>Feature | 02842 - Remove test users from deployment scripts</t>
  </si>
  <si>
    <t>Feature | 02875 - Deployment Documentation </t>
  </si>
  <si>
    <t>Feature | 02876 - Functional Spec Documentation </t>
  </si>
  <si>
    <t>BALLPARK - Alpha Test</t>
  </si>
  <si>
    <t>BALLPARK - Feature Review</t>
  </si>
  <si>
    <t>BALLPARK - QA/UAT Support</t>
  </si>
  <si>
    <t>Feature | 02977 - Set search highlighting property to false</t>
  </si>
  <si>
    <t>Feature | 02990 - Update deployment scripts to preserve old releases</t>
  </si>
  <si>
    <t>Feature | 02996 - Final Clean QA Deploy</t>
  </si>
  <si>
    <t>Feature | 02997 - Check latest versions of image magick and ghost script are in the repository</t>
  </si>
  <si>
    <t>Feature | 02998 - Create Hub Admin documentation</t>
  </si>
  <si>
    <t>00366 - Buyer - Order Management</t>
  </si>
  <si>
    <t>Feature | 00124 - View closed orders in Order Views</t>
  </si>
  <si>
    <t>BALLPARK - Planning</t>
  </si>
  <si>
    <t>BALLPARK - Development</t>
  </si>
  <si>
    <t>BALLPARK - UX</t>
  </si>
  <si>
    <t>BALLPARK - Developer Support</t>
  </si>
  <si>
    <t>BALLPARK - Subtask</t>
  </si>
  <si>
    <t>Feature | 00223 - View Orders by PO</t>
  </si>
  <si>
    <t>Feature | 00224 - Order Detail in Orders by PO</t>
  </si>
  <si>
    <t>Feature | 00227 - Add ExpandAll option to Orders Summaries.</t>
  </si>
  <si>
    <t>Feature | 00358 - Co-Packer - orders Ship to no pricing</t>
  </si>
  <si>
    <t>Feature | 00364 - Buyer expanded view of orders by PO</t>
  </si>
  <si>
    <t>Task | 00794 - Refactoring Search for Shipment ordered and releases</t>
  </si>
  <si>
    <t>Feature | 00008 - Check graphics record (to monitor order progress)</t>
  </si>
  <si>
    <t>Feature | 00801 - List shipments from specific Order</t>
  </si>
  <si>
    <t>Feature | 00802 - List Releases of specifc Order</t>
  </si>
  <si>
    <t>00420 - Buyer - Shipment Management</t>
  </si>
  <si>
    <t>Feature | 00509 - View and Download Invoice and BoL </t>
  </si>
  <si>
    <t>00444 - CSR - Customer and User Profile</t>
  </si>
  <si>
    <t>Feature | 01127 - Create Page for CSRs to View Customer Locations </t>
  </si>
  <si>
    <t>Feature | 01396 - Allow Buyers to update display settings </t>
  </si>
  <si>
    <t>00501 - IBB Integration</t>
  </si>
  <si>
    <t>Task | 00266 - Create data sync process to bulk upload data from IBB</t>
  </si>
  <si>
    <t>Task | 00503 - WS Commons</t>
  </si>
  <si>
    <t>Bug | 00736 - Proxy configuration breaks access to IBB </t>
  </si>
  <si>
    <t>Task | 00788 - Refactor IBB Authentication</t>
  </si>
  <si>
    <t>00510 - Buyer - Release Management</t>
  </si>
  <si>
    <t>00519 - Buyer - Portal Foundations</t>
  </si>
  <si>
    <t>Feature | 00146 - Two Factor Authentication</t>
  </si>
  <si>
    <t>Feature | 00212 - View Customer logo on the dashboard</t>
  </si>
  <si>
    <t>Task | 00259 - Customer Site Template should have 'template' in name</t>
  </si>
  <si>
    <t>Feature | 02862 - Customize Email Templates for users </t>
  </si>
  <si>
    <t>Task | 00478 - Clean up JSP for two-factor-auth-device-manager-web</t>
  </si>
  <si>
    <t>Feature | 00537 - Link from Portal Logo</t>
  </si>
  <si>
    <t>Bug | 00545 - Two Factor Authentication - Verification Code Error</t>
  </si>
  <si>
    <t>Feature | 00645 - Buyer - Security</t>
  </si>
  <si>
    <t>Feature | 00080 - All external users are re-directed to the  dashboard</t>
  </si>
  <si>
    <t>00523 - CSR - Portal Foundations</t>
  </si>
  <si>
    <t>Feature | 01019 - Link Bemis/TheHub Logo back CSR Bemis Site</t>
  </si>
  <si>
    <t>Bug | 01218 - Landing page redirection does not work when impersonating</t>
  </si>
  <si>
    <t>Feature | 01476 - Remove default e-mail suffix from login page</t>
  </si>
  <si>
    <t>Bug | 01751 - Edit Links on the User profile view are not visible with menu expanded</t>
  </si>
  <si>
    <t>Feature | 00334 - As a buyer, I can schedule an ASN to be sent to me, so that I know when product has shipped</t>
  </si>
  <si>
    <t>Feature | 00335 - As a CSR, I can schedule an ASN to be sent to me or my customer, so that we can be notified of when product has shipped</t>
  </si>
  <si>
    <t>00531 - System Architecture</t>
  </si>
  <si>
    <t>Task | 01070 - Optimize JVM settings</t>
  </si>
  <si>
    <t>Task | 00141 - CI server setup</t>
  </si>
  <si>
    <t>Feature | 01480 - Performance Testing and Tuning</t>
  </si>
  <si>
    <t>Task | 00384 - Setup Bemis Development Infrastructure</t>
  </si>
  <si>
    <t>Task | 00450 - Setup Liferay Development Infrastructure</t>
  </si>
  <si>
    <t>Task | 00481 - UAT/Prod Deployment</t>
  </si>
  <si>
    <t>Task | 00717 - Manage Technical Debt</t>
  </si>
  <si>
    <t>Bug | 00753 - Fix Gradle theme build </t>
  </si>
  <si>
    <t>00533 - Bemis CP Theme</t>
  </si>
  <si>
    <t>Feature | 01113 - Redesign for product description display</t>
  </si>
  <si>
    <t>Feature | 01180 - Updates to Bemis Portal Navigation</t>
  </si>
  <si>
    <t>Bug | 01195 -  Icons do not display properly on the Global Search Results Page</t>
  </si>
  <si>
    <t>Bug | 01684 - Add dependency in Theme for freemarker contributor</t>
  </si>
  <si>
    <t>Feature | 00211 - Style and colors</t>
  </si>
  <si>
    <t>Feature | 00213 - Pending notifications counter</t>
  </si>
  <si>
    <t>Feature | 00214 - View Notifications</t>
  </si>
  <si>
    <t>Feature | 00215 - Login &amp; Logout</t>
  </si>
  <si>
    <t>Feature | 00296 - Mobile compatibility &amp; responsive design</t>
  </si>
  <si>
    <t>Feature | 00297 - Browser compatibility</t>
  </si>
  <si>
    <t>Feature | 00365 - Left Navigation Expand / Collapse on all pages</t>
  </si>
  <si>
    <t>Feature | 00367 - Welcome screen / landing page</t>
  </si>
  <si>
    <t>Feature | 00381 - Login page - cookie statement</t>
  </si>
  <si>
    <t>Task | 00495 - Update products based on feedback</t>
  </si>
  <si>
    <t>Feature | 00536 - Remove Top Bar for External User</t>
  </si>
  <si>
    <t>Bug | 00765 - Date format incorrect in UI</t>
  </si>
  <si>
    <t>00538 - Buyer - Reports</t>
  </si>
  <si>
    <t>Feature | 01007 - Requirement changes for Reports</t>
  </si>
  <si>
    <t>Bug | 01203 - SSRS integration config had wrong password for QA</t>
  </si>
  <si>
    <t>00541 - CSR - Dashboard</t>
  </si>
  <si>
    <t>Ballpark - Demand | 00000 - Dummy Feature of CSR - Dashboard</t>
  </si>
  <si>
    <t>Ballpark - Demand</t>
  </si>
  <si>
    <t>00691 - Liferay Workspace Maintenance and Improvements</t>
  </si>
  <si>
    <t>Ballpark - Demand | 00000 - Dummy Feature of Liferay Workspace Maintenance and Improvements</t>
  </si>
  <si>
    <t>00016 - Stories</t>
  </si>
  <si>
    <t>Feature | 00073 - Unified boiler plate text</t>
  </si>
  <si>
    <t>00630 - Need Credentials for the Following Users</t>
  </si>
  <si>
    <t>Ballpark - Demand | 00000 - Dummy Feature of Need Credentials for the Following Users</t>
  </si>
  <si>
    <t>00633 - Sustainability - Overview</t>
  </si>
  <si>
    <t>Feature | 00649 - Sustainability &gt; Overview</t>
  </si>
  <si>
    <t>00065 - Roles Configuration</t>
  </si>
  <si>
    <t>Ballpark - Demand | 00000 - Dummy Feature of Roles Configuration</t>
  </si>
  <si>
    <t>00001 - Objective Taskboard</t>
  </si>
  <si>
    <t>Feature | 00011 - All Projects Configuration</t>
  </si>
  <si>
    <t>Feature | 00002 - Multi-criteria search</t>
  </si>
  <si>
    <t>Feature | 00060 - Wip validator service REST</t>
  </si>
  <si>
    <t>00015 - JIRA Customizations/Automations</t>
  </si>
  <si>
    <t>Feature | 00016 - Required Fields</t>
  </si>
  <si>
    <t>Feature | 00017 - Workflows Customizations</t>
  </si>
  <si>
    <t>00052 - Tools - CI Server</t>
  </si>
  <si>
    <t>Feature | 00059 - One Click Deploy</t>
  </si>
  <si>
    <t>00053 - Tools - Dashboard</t>
  </si>
  <si>
    <t>Feature | 00076 - Dashboard - New indicators</t>
  </si>
  <si>
    <t>00054 - Tools - Indicators</t>
  </si>
  <si>
    <t>Ballpark - Demand | 00000 - Dummy Feature of Tools - Indicators</t>
  </si>
  <si>
    <t>00055 - Tools - Sonar</t>
  </si>
  <si>
    <t>Ballpark - Demand | 00000 - Dummy Feature of Tools - Sonar</t>
  </si>
  <si>
    <t>00056 - Tools - Worklogger</t>
  </si>
  <si>
    <t>Ballpark - Demand | 00000 - Dummy Feature of Tools - Worklogger</t>
  </si>
  <si>
    <t>00057 - Tools - Sizing</t>
  </si>
  <si>
    <t>Ballpark - Demand | 00000 - Dummy Feature of Tools - Sizing</t>
  </si>
  <si>
    <t>00058 - Tools - Github</t>
  </si>
  <si>
    <t>Ballpark - Demand | 00000 - Dummy Feature of Tools - Github</t>
  </si>
  <si>
    <t>Release 1</t>
  </si>
  <si>
    <t>Release 2</t>
  </si>
  <si>
    <t>Release 3</t>
  </si>
  <si>
    <t>Release 4</t>
  </si>
  <si>
    <t>Release 5</t>
  </si>
  <si>
    <t>Release 6</t>
  </si>
  <si>
    <t>Feature | 00118 - Include videos on the full story page</t>
  </si>
  <si>
    <t>Feature | 00136 - Choose the section of the image to show</t>
  </si>
  <si>
    <t>Feature | 00138 - Carousel for full story pages</t>
  </si>
  <si>
    <t>Feature | 00167 - Add behavior to concrete incubator link</t>
  </si>
  <si>
    <t>00017 - Investors</t>
  </si>
  <si>
    <t>Feature | 00174 - Corporate Governance Page</t>
  </si>
  <si>
    <t>Feature | 00184 - Key Company Data</t>
  </si>
  <si>
    <t>Feature | 00232 - Reports Page</t>
  </si>
  <si>
    <t>Feature | 00029 - Stock ticker portlet</t>
  </si>
  <si>
    <t>00265 - Suppliers Section</t>
  </si>
  <si>
    <t>Feature | 00266 - Suppliers Overview</t>
  </si>
  <si>
    <t>Feature | 00318 - Sourcing Approach</t>
  </si>
  <si>
    <t>00054 - About Us</t>
  </si>
  <si>
    <t>Feature | 00293 - About Us &gt; Position Papers</t>
  </si>
  <si>
    <t>00055 - Products + Service</t>
  </si>
  <si>
    <t>Feature | 00234 - Services Page</t>
  </si>
  <si>
    <t>Feature | 00235 - Building Solutions</t>
  </si>
  <si>
    <t>Feature | 00295 - Products + Service &gt; Trading</t>
  </si>
  <si>
    <t>00006 - Theme</t>
  </si>
  <si>
    <t>Feature | 00280 - Careers Page</t>
  </si>
  <si>
    <t>Feature | 00308 - Set maximum width for pages in 1300 px</t>
  </si>
  <si>
    <t>00008 - Homepage</t>
  </si>
  <si>
    <t>Feature | 00166 - Add behavior to Homepage links</t>
  </si>
  <si>
    <t>Release 7</t>
  </si>
  <si>
    <t>Feature | 00161 - Format text and add links to image description</t>
  </si>
  <si>
    <t>Feature | 00074 - Related articles</t>
  </si>
  <si>
    <t>Feature | 00319 - Sustainable Sourcing</t>
  </si>
  <si>
    <t>Feature | 00320 - Become a supplier</t>
  </si>
  <si>
    <t>00029 - Stock ticker portlet</t>
  </si>
  <si>
    <t>Bug | 00379 - Adjust layout of stock ticker in different screen sizes</t>
  </si>
  <si>
    <t>Feature | 00377 - Our History</t>
  </si>
  <si>
    <t>Feature | 00236 - Global Solutions</t>
  </si>
  <si>
    <t>Feature | 00013 - Footer</t>
  </si>
  <si>
    <t>Feature | 00329 - Site map</t>
  </si>
  <si>
    <t>Feature | 00331 - Page Legal </t>
  </si>
  <si>
    <t>Feature | 00397 - Careers &gt; Life at Cemex</t>
  </si>
  <si>
    <t>Feature | 00401 - Careers &gt; Locations and Functions</t>
  </si>
  <si>
    <t>Bug | 00405 - In overview pages the banner and image below must fill in all screen size</t>
  </si>
  <si>
    <t>Release 8</t>
  </si>
  <si>
    <t>Feature | 00406 - Adjust forms layouts</t>
  </si>
  <si>
    <t>Feature | 00407 - Search function on menu bar</t>
  </si>
  <si>
    <t>Release 9</t>
  </si>
  <si>
    <t>Feature | 00328 - Custom 404 page</t>
  </si>
  <si>
    <t>Feature | 00416 - Adjustments throughout the portal</t>
  </si>
  <si>
    <t>Sprint 4</t>
  </si>
  <si>
    <t>Sprint 5</t>
  </si>
  <si>
    <t>Sprint 6</t>
  </si>
  <si>
    <t>Sprint 7</t>
  </si>
  <si>
    <t>Expected</t>
  </si>
  <si>
    <t>Start</t>
  </si>
  <si>
    <t>demand_num</t>
  </si>
  <si>
    <t>demand_type</t>
  </si>
  <si>
    <t>demand_status</t>
  </si>
  <si>
    <t>TASK_TYPE</t>
  </si>
  <si>
    <t>TASK_STATUS</t>
  </si>
  <si>
    <t>TASK_NUM</t>
  </si>
  <si>
    <t>SUBTASK_STATUS</t>
  </si>
  <si>
    <t>SUBTASK_NUM</t>
  </si>
  <si>
    <t>Dados</t>
  </si>
  <si>
    <t>TaskOrderedStatus</t>
  </si>
  <si>
    <t>SubtaskOrderedFullDescription</t>
  </si>
  <si>
    <t>Soma - CountDemands</t>
  </si>
  <si>
    <t>Soma - CountTasks</t>
  </si>
  <si>
    <t>Soma - CountSubtasks</t>
  </si>
  <si>
    <t>Soma - BallparkEffort</t>
  </si>
  <si>
    <t>Soma - PlannedEffort</t>
  </si>
  <si>
    <t>Soma - EffortOnBacklog</t>
  </si>
  <si>
    <t>Soma - EffortDone</t>
  </si>
  <si>
    <t>Soma - EffortEstimate</t>
  </si>
  <si>
    <t>Soma - WorklogDoing</t>
  </si>
  <si>
    <t>Soma - WorklogDone</t>
  </si>
  <si>
    <t>Soma - worklog</t>
  </si>
  <si>
    <t>Máx - wrong_worklog</t>
  </si>
  <si>
    <t>Soma - PlannedEffortOnBug</t>
  </si>
  <si>
    <t>Soma - WorklogOnBug</t>
  </si>
  <si>
    <t>Bug | 00408 - Our History &gt; Adjust padding in map for IPhone</t>
  </si>
  <si>
    <t>Feature | 00455 - Media &gt; Overview</t>
  </si>
  <si>
    <t>Risk</t>
  </si>
  <si>
    <t>Holyday</t>
  </si>
  <si>
    <t>Date</t>
  </si>
  <si>
    <t>Release Date</t>
  </si>
  <si>
    <t>Week</t>
  </si>
  <si>
    <t>Release Name</t>
  </si>
  <si>
    <t>Thread Name</t>
  </si>
  <si>
    <t>Role</t>
  </si>
  <si>
    <t>Last day of work</t>
  </si>
  <si>
    <t>Allocation</t>
  </si>
  <si>
    <t>First Day</t>
  </si>
  <si>
    <t>POC Delivery</t>
  </si>
  <si>
    <t>Tech Lead1</t>
  </si>
  <si>
    <t>Tech Lead</t>
  </si>
  <si>
    <t>Holydays</t>
  </si>
  <si>
    <t>Developer1</t>
  </si>
  <si>
    <t>Developer</t>
  </si>
  <si>
    <t>Critical Path (Days)</t>
  </si>
  <si>
    <t>Developer2</t>
  </si>
  <si>
    <t>Critical Path (Date)</t>
  </si>
  <si>
    <t>Months</t>
  </si>
  <si>
    <t>People</t>
  </si>
  <si>
    <t>Individual Daily Effort (net)</t>
  </si>
  <si>
    <t>Team Daily Capability</t>
  </si>
  <si>
    <t>Cycle Hours  on Backlog</t>
  </si>
  <si>
    <t>Total</t>
  </si>
  <si>
    <t>Working Days</t>
  </si>
  <si>
    <t>Last Day of Work</t>
  </si>
  <si>
    <t>Grand Total</t>
  </si>
  <si>
    <t>Type</t>
  </si>
  <si>
    <t>Thread</t>
  </si>
  <si>
    <t>Soma -  Allocated Days </t>
  </si>
  <si>
    <t>Release</t>
  </si>
  <si>
    <t>Issue Status</t>
  </si>
  <si>
    <t>Demand Name</t>
  </si>
  <si>
    <t>3.Doing</t>
  </si>
  <si>
    <t>4.To Do</t>
  </si>
  <si>
    <t>2.To Review</t>
  </si>
  <si>
    <t>5.Open</t>
  </si>
  <si>
    <t>Project</t>
  </si>
  <si>
    <t>Group</t>
  </si>
  <si>
    <t>Issue Type</t>
  </si>
  <si>
    <t>Role Allocation</t>
  </si>
  <si>
    <t>Issue Type Allocation</t>
  </si>
  <si>
    <t>Cycle on Backlog</t>
  </si>
  <si>
    <t>Effort on Backlog</t>
  </si>
  <si>
    <t>Group %</t>
  </si>
  <si>
    <t>PROJECT - Google LMS</t>
  </si>
  <si>
    <t>Ballpark - Alpha Test</t>
  </si>
  <si>
    <t>Ballpark - Developer Support</t>
  </si>
  <si>
    <t>Soma - Group %</t>
  </si>
  <si>
    <t>Ballpark</t>
  </si>
  <si>
    <t>Ballpark - Development</t>
  </si>
  <si>
    <t>Ballpark - Feature Planning</t>
  </si>
  <si>
    <t>Ballpark - Feature Review</t>
  </si>
  <si>
    <t>Ballpark - QA Support</t>
  </si>
  <si>
    <t>Ballpark - Tech Planning</t>
  </si>
  <si>
    <t>Ballpark - UX</t>
  </si>
  <si>
    <t>Plan</t>
  </si>
  <si>
    <t>Alpha-Bug</t>
  </si>
  <si>
    <t>UAT</t>
  </si>
  <si>
    <t>Cluster Name</t>
  </si>
  <si>
    <t>T-Shirt Size</t>
  </si>
  <si>
    <t>Effort</t>
  </si>
  <si>
    <t>Cycle</t>
  </si>
  <si>
    <t>IssueType</t>
  </si>
  <si>
    <t>Distribution</t>
  </si>
  <si>
    <t>Total Distribution</t>
  </si>
  <si>
    <t>XS</t>
  </si>
  <si>
    <t>Hours</t>
  </si>
  <si>
    <t>S</t>
  </si>
  <si>
    <t>M</t>
  </si>
  <si>
    <t>L</t>
  </si>
  <si>
    <t>XL</t>
  </si>
  <si>
    <t>BALLPARK - Feature Planning</t>
  </si>
  <si>
    <t>BALLPARK - Tech Planning</t>
  </si>
  <si>
    <t>BALLPARK - Demand</t>
  </si>
  <si>
    <t>% Of (Dev + Alpha)</t>
  </si>
  <si>
    <t>% Of Dev</t>
  </si>
  <si>
    <t>DEMAND_SUMMARY</t>
  </si>
  <si>
    <t>TASK_SUMMARY</t>
  </si>
  <si>
    <t>TASK_DESCRIPTION</t>
  </si>
  <si>
    <t>SUBTASK_SUMMARY</t>
  </si>
  <si>
    <t>SUBTASK_DESCRIPTION</t>
  </si>
  <si>
    <t>SUBTASK_FULL_DESCRIPTION</t>
  </si>
  <si>
    <t>DEMAND_ID</t>
  </si>
  <si>
    <t>TASK_ID</t>
  </si>
  <si>
    <t>SUBTASK_ID</t>
  </si>
  <si>
    <t>planning_type</t>
  </si>
  <si>
    <t>worklog</t>
  </si>
  <si>
    <t>wrong_worklog</t>
  </si>
  <si>
    <t>Demand_ballpark</t>
  </si>
  <si>
    <t>TASK_BALLPARK</t>
  </si>
  <si>
    <t>tshirt_size</t>
  </si>
  <si>
    <t>Query_Type</t>
  </si>
  <si>
    <t>EffortEstimate</t>
  </si>
  <si>
    <t>CycleEstimate</t>
  </si>
  <si>
    <t>EffortOnBacklog</t>
  </si>
  <si>
    <t>CycleOnBacklog</t>
  </si>
  <si>
    <t>BallparkEffort</t>
  </si>
  <si>
    <t>PlannedEffort</t>
  </si>
  <si>
    <t>EffortDone</t>
  </si>
  <si>
    <t>CycleDone</t>
  </si>
  <si>
    <t>WorklogDone</t>
  </si>
  <si>
    <t>WorklogDoing</t>
  </si>
  <si>
    <t>CountTasks</t>
  </si>
  <si>
    <t>CountDemands</t>
  </si>
  <si>
    <t>CountSubtasks</t>
  </si>
  <si>
    <t>SubtaskEstimativeForEEPCalculation</t>
  </si>
  <si>
    <t>PlannedEffortOnBug</t>
  </si>
  <si>
    <t>WorklogOnBug</t>
  </si>
  <si>
    <t>PROJECT - AonHewitt</t>
  </si>
  <si>
    <t>Task</t>
  </si>
  <si>
    <t>Ready for Review</t>
  </si>
  <si>
    <t>AONHEWITT-102</t>
  </si>
  <si>
    <t>OSGI Dependencies</t>
  </si>
  <si>
    <t>00102 - OSGI Dependencies</t>
  </si>
  <si>
    <t>Task | 00102 - OSGI Dependencies</t>
  </si>
  <si>
    <t>Open</t>
  </si>
  <si>
    <t>AONHEWITT-103</t>
  </si>
  <si>
    <t>Extend Apache log4j</t>
  </si>
  <si>
    <t>00103 - Extend Apache log4j</t>
  </si>
  <si>
    <t>Sub-Task | 00103 - Extend Apache log4j</t>
  </si>
  <si>
    <t>SUBTASK PLAN</t>
  </si>
  <si>
    <t>Demands</t>
  </si>
  <si>
    <t>Tasks</t>
  </si>
  <si>
    <t>Subtasks</t>
  </si>
  <si>
    <t>Done</t>
  </si>
  <si>
    <t>UATing</t>
  </si>
  <si>
    <t>QAing</t>
  </si>
  <si>
    <t>Reviewing</t>
  </si>
  <si>
    <t>To UAT</t>
  </si>
  <si>
    <t>To QA</t>
  </si>
  <si>
    <t>To Review</t>
  </si>
  <si>
    <t>Doing</t>
  </si>
  <si>
    <t>Feature Reviewing</t>
  </si>
  <si>
    <t>To Do</t>
  </si>
  <si>
    <t>To Feature Review</t>
  </si>
  <si>
    <t>Alpha Testing</t>
  </si>
  <si>
    <t>Cancelled</t>
  </si>
  <si>
    <t>0.Cancelled</t>
  </si>
  <si>
    <t>To Alpha Test</t>
  </si>
  <si>
    <t>Feature Name</t>
  </si>
  <si>
    <t>SubtaskName</t>
  </si>
  <si>
    <t>Size</t>
  </si>
  <si>
    <t>Cycle Hours</t>
  </si>
  <si>
    <t>Cycle Hours per Role With Risk</t>
  </si>
  <si>
    <t>Day</t>
  </si>
  <si>
    <t>Allocated Days</t>
  </si>
  <si>
    <t>Allocated Cycle Hours</t>
  </si>
  <si>
    <t>Completion</t>
  </si>
  <si>
    <t>Allocated Effort</t>
  </si>
  <si>
    <t>Feature | 00025 - Notify Google LMS of User activity</t>
  </si>
  <si>
    <t>Backend Development | S | 00090 - Create mock pages</t>
  </si>
  <si>
    <t>Feature | 00099 - Add sorting capability to Site REST API</t>
  </si>
  <si>
    <t>Feature Review | S | 00131 - Review of Add sorting capability to Site REST API</t>
  </si>
  <si>
    <t>Feature | 00070 - Create Theme</t>
  </si>
  <si>
    <t>Tech Planning | M | 00072 - Discuss UI Architecture</t>
  </si>
  <si>
    <t>Feature Planning | S | 00071 - Discuss UX</t>
  </si>
  <si>
    <t>Feature | 00006 - Add version</t>
  </si>
  <si>
    <t>QA | S | 00107 - QA for Add version</t>
  </si>
  <si>
    <t>Feature | 00022 - Add support for OpenID Connect Single Sign-on</t>
  </si>
  <si>
    <t>Sub-Task | XS | 00060 - Update OIDC modules to latest from master</t>
  </si>
  <si>
    <t>Feature Review | S | 00108 - Review of Add support for OpenID Connect Single Sign-on</t>
  </si>
  <si>
    <t>Frontend Development | L | 00073 - Implement Theme POC</t>
  </si>
  <si>
    <t>Feature | 00023 - Add SCORM support</t>
  </si>
  <si>
    <t>Feature Planning | L | 00024 - Add SCORM support - Feature Planning</t>
  </si>
  <si>
    <t>Feature Review | S | 00089 - Review of Notify Google LMS of User activity</t>
  </si>
  <si>
    <t>Feature | 00007 - Add expiration date</t>
  </si>
  <si>
    <t>Tech Planning | S | 00008 - Expiration Date - Feature Planning</t>
  </si>
  <si>
    <t>Tech Planning | S | 00093 - Expiration Date - Tech Planning</t>
  </si>
  <si>
    <t>Task | 00020 - Create Google Local Environment</t>
  </si>
  <si>
    <t>Feature Review | S | 00121 - Review of Create Google Local Environment</t>
  </si>
  <si>
    <t>UX | S | 00112 - Define logout splash page</t>
  </si>
  <si>
    <t>Relase</t>
  </si>
  <si>
    <t>Demand</t>
  </si>
  <si>
    <t>Feature / Bug</t>
  </si>
  <si>
    <t>Activity</t>
  </si>
  <si>
    <t>Activity Type</t>
  </si>
  <si>
    <t>Daily Production</t>
  </si>
  <si>
    <t>Cycle Hours per Role</t>
  </si>
  <si>
    <t>Total Cycle Hours</t>
  </si>
  <si>
    <t>Needed Days</t>
  </si>
  <si>
    <t>Still need allocate (Days)</t>
  </si>
  <si>
    <t>Start Date</t>
  </si>
  <si>
    <t>Finish Date</t>
  </si>
  <si>
    <t>Subtask Status</t>
  </si>
  <si>
    <t>AllocatedHours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</si>
</sst>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0%"/>
    <numFmt numFmtId="166" formatCode="D/M/YYYY"/>
    <numFmt numFmtId="167" formatCode="0.00%"/>
    <numFmt numFmtId="168" formatCode="0.00"/>
    <numFmt numFmtId="169" formatCode="DDDD&quot;, &quot;MMMM\ DD&quot;, &quot;YYYY"/>
    <numFmt numFmtId="170" formatCode="#,##0"/>
    <numFmt numFmtId="171" formatCode="0.0"/>
    <numFmt numFmtId="172" formatCode="_(* #,##0.00_);_(* \(#,##0.00\);_(* \-??_);_(@_)"/>
    <numFmt numFmtId="173" formatCode="_(* #,##0.0_);_(* \(#,##0.0\);_(* \-??_);_(@_)"/>
    <numFmt numFmtId="174" formatCode="D\-MMM;@"/>
    <numFmt numFmtId="175" formatCode="_(* #,##0.000_);_(* \(#,##0.000\);_(* \-??_);_(@_)"/>
    <numFmt numFmtId="176" formatCode="MM/DD/YY;@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sz val="9"/>
      <color rgb="FF000000"/>
      <name val="Calibri"/>
      <family val="2"/>
      <charset val="1"/>
    </font>
    <font>
      <sz val="8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203864"/>
        <bgColor rgb="FF333399"/>
      </patternFill>
    </fill>
  </fills>
  <borders count="4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/>
      <bottom style="thin">
        <color rgb="FF203864"/>
      </bottom>
      <diagonal/>
    </border>
    <border diagonalUp="false" diagonalDown="false">
      <left/>
      <right style="medium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>
        <color rgb="FFCCCCCC"/>
      </left>
      <right style="medium">
        <color rgb="FFCCCCCC"/>
      </right>
      <top/>
      <bottom/>
      <diagonal/>
    </border>
    <border diagonalUp="false" diagonalDown="false">
      <left style="medium">
        <color rgb="FFCCCCCC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0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1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2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2" borderId="3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6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9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4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4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9" fillId="0" borderId="4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9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90" wrapText="false" indent="0" shrinkToFit="false"/>
      <protection locked="true" hidden="false"/>
    </xf>
    <xf numFmtId="166" fontId="0" fillId="0" borderId="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10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4" fillId="0" borderId="1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0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2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2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2" fontId="0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42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72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2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4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44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0" fillId="0" borderId="4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4" fillId="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Campo da tabela dinâmica" xfId="20" builtinId="54" customBuiltin="true"/>
    <cellStyle name="Canto da tabela dinâmica" xfId="21" builtinId="54" customBuiltin="true"/>
    <cellStyle name="Valor da tabela dinâmica" xfId="22" builtinId="54" customBuiltin="true"/>
    <cellStyle name="Categoria da tabela dinâmica" xfId="23" builtinId="54" customBuiltin="true"/>
    <cellStyle name="Título da tabela dinâmica" xfId="24" builtinId="54" customBuiltin="true"/>
    <cellStyle name="Resultado da tabela dinâmica" xfId="25" builtinId="54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7C7C7C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20386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Tables/pivotTable1.xml><?xml version="1.0" encoding="utf-8"?>
<pivotTableDefinition xmlns="http://schemas.openxmlformats.org/spreadsheetml/2006/main" name="DemandsByStatus" cacheId="0" dataOnRows="false" dataPosition="65535" autoFormatId="1" dataCaption="" enableDrill="true" rowGrandTotals="true" colGrandTotals="true">
  <location ref="A4:G837" firstHeaderRow="3" firstDataRow="5" firstDataCol="4" rowPageCount="832" colPageCount="3"/>
  <rowFields count="4"/>
  <colFields count="1"/>
  <pageFields count="2"/>
  <dataFields count="1"/>
</pivotTableDefinition>
</file>

<file path=xl/pivotTables/pivotTable2.xml><?xml version="1.0" encoding="utf-8"?>
<pivotTableDefinition xmlns="http://schemas.openxmlformats.org/spreadsheetml/2006/main" name="ProgressByDemand" cacheId="1" dataOnRows="true" dataPosition="65535" autoFormatId="1" dataCaption="Dados" enableDrill="true" rowGrandTotals="true" colGrandTotals="true">
  <location ref="A14:T65" firstHeaderRow="13" firstDataRow="15" firstDataCol="6" rowPageCount="50" colPageCount="14"/>
  <rowFields count="6"/>
  <colFields count="1"/>
  <pageFields count="10"/>
  <dataFields count="14"/>
</pivotTableDefinition>
</file>

<file path=xl/pivotTables/pivotTable3.xml><?xml version="1.0" encoding="utf-8"?>
<pivotTableDefinition xmlns="http://schemas.openxmlformats.org/spreadsheetml/2006/main" name="Gantt" cacheId="2" dataOnRows="false" dataPosition="65535" autoFormatId="1" dataCaption="" enableDrill="true" rowGrandTotals="true" colGrandTotals="true">
  <location ref="A5:G26" firstHeaderRow="4" firstDataRow="6" firstDataCol="5" rowPageCount="20" colPageCount="2"/>
  <rowFields count="5"/>
  <colFields count="1"/>
  <pageFields count="3"/>
  <dataFields count="1"/>
</pivotTableDefinition>
</file>

<file path=xl/pivotTables/pivotTable4.xml><?xml version="1.0" encoding="utf-8"?>
<pivotTableDefinition xmlns="http://schemas.openxmlformats.org/spreadsheetml/2006/main" name="PivotTable1" cacheId="3" dataOnRows="false" dataPosition="65535" autoFormatId="1" dataCaption="" enableDrill="true" rowGrandTotals="true" colGrandTotals="true">
  <location ref="K3:N25" firstHeaderRow="2" firstDataRow="3" firstDataCol="13" rowPageCount="22" colPageCount="1"/>
  <rowFields count="3"/>
  <pageFields count="1"/>
  <dataFields count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pivotTable" Target="../pivotTables/pivotTable4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G8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1" activeCellId="0" sqref="H21"/>
    </sheetView>
  </sheetViews>
  <sheetFormatPr defaultRowHeight="15"/>
  <cols>
    <col collapsed="false" hidden="false" max="1" min="1" style="0" width="44.1417004048583"/>
    <col collapsed="false" hidden="false" max="2" min="2" style="1" width="25.2793522267206"/>
    <col collapsed="false" hidden="false" max="3" min="3" style="1" width="7.57085020242915"/>
    <col collapsed="false" hidden="false" max="4" min="4" style="1" width="7.71255060728745"/>
    <col collapsed="false" hidden="false" max="5" min="5" style="1" width="7.2834008097166"/>
    <col collapsed="false" hidden="false" max="6" min="6" style="1" width="11.7125506072874"/>
    <col collapsed="false" hidden="false" max="7" min="7" style="1" width="11.2834008097166"/>
    <col collapsed="false" hidden="false" max="11" min="8" style="0" width="11.2834008097166"/>
    <col collapsed="false" hidden="false" max="12" min="12" style="0" width="36.1417004048583"/>
    <col collapsed="false" hidden="false" max="13" min="13" style="0" width="17.7085020242915"/>
    <col collapsed="false" hidden="false" max="14" min="14" style="0" width="66.8582995951417"/>
    <col collapsed="false" hidden="false" max="15" min="15" style="0" width="43.8542510121458"/>
    <col collapsed="false" hidden="false" max="17" min="16" style="0" width="57.4210526315789"/>
    <col collapsed="false" hidden="false" max="18" min="18" style="0" width="63.4291497975709"/>
    <col collapsed="false" hidden="false" max="19" min="19" style="0" width="72.4251012145749"/>
    <col collapsed="false" hidden="false" max="20" min="20" style="0" width="46.7125506072875"/>
    <col collapsed="false" hidden="false" max="21" min="21" style="0" width="52.4251012145749"/>
    <col collapsed="false" hidden="false" max="22" min="22" style="0" width="50.8542510121458"/>
    <col collapsed="false" hidden="false" max="23" min="23" style="0" width="51.8542510121458"/>
    <col collapsed="false" hidden="false" max="24" min="24" style="0" width="63.4291497975709"/>
    <col collapsed="false" hidden="false" max="25" min="25" style="0" width="54.8502024291498"/>
    <col collapsed="false" hidden="false" max="26" min="26" style="0" width="40"/>
    <col collapsed="false" hidden="false" max="27" min="27" style="0" width="62.8582995951417"/>
    <col collapsed="false" hidden="false" max="28" min="28" style="0" width="68.8542510121458"/>
    <col collapsed="false" hidden="false" max="29" min="29" style="0" width="54.2793522267206"/>
    <col collapsed="false" hidden="false" max="30" min="30" style="0" width="55.4251012145749"/>
    <col collapsed="false" hidden="false" max="31" min="31" style="0" width="67.1417004048583"/>
    <col collapsed="false" hidden="false" max="32" min="32" style="0" width="58.2874493927126"/>
    <col collapsed="false" hidden="false" max="33" min="33" style="0" width="43.4251012145749"/>
    <col collapsed="false" hidden="false" max="34" min="34" style="0" width="66.2834008097166"/>
    <col collapsed="false" hidden="false" max="35" min="35" style="0" width="72.2834008097166"/>
    <col collapsed="false" hidden="false" max="36" min="36" style="0" width="64.8582995951417"/>
    <col collapsed="false" hidden="false" max="37" min="37" style="0" width="57.7165991902834"/>
    <col collapsed="false" hidden="false" max="38" min="38" style="0" width="65.4291497975708"/>
    <col collapsed="false" hidden="false" max="39" min="39" style="0" width="60.1417004048583"/>
    <col collapsed="false" hidden="false" max="40" min="40" style="0" width="73.1417004048583"/>
    <col collapsed="false" hidden="false" max="41" min="41" style="0" width="61.4210526315789"/>
    <col collapsed="false" hidden="false" max="42" min="42" style="0" width="53.2793522267207"/>
    <col collapsed="false" hidden="false" max="43" min="43" style="0" width="52.8542510121458"/>
    <col collapsed="false" hidden="false" max="44" min="44" style="0" width="56.2793522267207"/>
    <col collapsed="false" hidden="false" max="45" min="45" style="0" width="40.4251012145749"/>
    <col collapsed="false" hidden="false" max="46" min="46" style="0" width="35.4291497975708"/>
    <col collapsed="false" hidden="false" max="47" min="47" style="0" width="40.2834008097166"/>
    <col collapsed="false" hidden="false" max="48" min="48" style="0" width="6.42914979757085"/>
    <col collapsed="false" hidden="false" max="49" min="49" style="0" width="9.99595141700405"/>
    <col collapsed="false" hidden="false" max="1025" min="50" style="0" width="10.7125506072875"/>
  </cols>
  <sheetData>
    <row r="1" customFormat="false" ht="15" hidden="false" customHeight="false" outlineLevel="0" collapsed="false">
      <c r="A1" s="2" t="s">
        <v>0</v>
      </c>
      <c r="B1" s="3" t="s">
        <v>1</v>
      </c>
      <c r="C1" s="0"/>
      <c r="D1" s="0"/>
      <c r="E1" s="0"/>
      <c r="F1" s="0"/>
      <c r="G1" s="0"/>
    </row>
    <row r="2" customFormat="false" ht="15" hidden="false" customHeight="false" outlineLevel="0" collapsed="false">
      <c r="A2" s="2" t="s">
        <v>2</v>
      </c>
      <c r="B2" s="3" t="s">
        <v>1</v>
      </c>
      <c r="C2" s="0"/>
      <c r="D2" s="0"/>
      <c r="E2" s="0"/>
      <c r="F2" s="0"/>
      <c r="G2" s="0"/>
    </row>
    <row r="3" customFormat="false" ht="15" hidden="false" customHeight="false" outlineLevel="0" collapsed="false">
      <c r="B3" s="0"/>
      <c r="C3" s="0"/>
      <c r="D3" s="0"/>
      <c r="E3" s="0"/>
      <c r="F3" s="0"/>
      <c r="G3" s="0"/>
    </row>
    <row r="4" customFormat="false" ht="13.8" hidden="false" customHeight="false" outlineLevel="0" collapsed="false">
      <c r="A4" s="4" t="s">
        <v>3</v>
      </c>
      <c r="B4" s="5"/>
      <c r="C4" s="5"/>
      <c r="D4" s="6"/>
      <c r="E4" s="7" t="s">
        <v>4</v>
      </c>
      <c r="F4" s="8"/>
      <c r="G4" s="9"/>
    </row>
    <row r="5" customFormat="false" ht="13.8" hidden="false" customHeight="false" outlineLevel="0" collapsed="false">
      <c r="A5" s="10" t="s">
        <v>5</v>
      </c>
      <c r="B5" s="11" t="s">
        <v>6</v>
      </c>
      <c r="C5" s="11" t="s">
        <v>7</v>
      </c>
      <c r="D5" s="11" t="s">
        <v>8</v>
      </c>
      <c r="E5" s="12" t="s">
        <v>9</v>
      </c>
      <c r="F5" s="13" t="s">
        <v>10</v>
      </c>
      <c r="G5" s="14" t="s">
        <v>11</v>
      </c>
    </row>
    <row r="6" customFormat="false" ht="13.8" hidden="false" customHeight="false" outlineLevel="0" collapsed="false">
      <c r="A6" s="15" t="s">
        <v>12</v>
      </c>
      <c r="B6" s="16"/>
      <c r="C6" s="16"/>
      <c r="D6" s="17"/>
      <c r="E6" s="18"/>
      <c r="F6" s="19" t="n">
        <v>90</v>
      </c>
      <c r="G6" s="20" t="n">
        <v>90</v>
      </c>
    </row>
    <row r="7" customFormat="false" ht="13.8" hidden="false" customHeight="false" outlineLevel="0" collapsed="false">
      <c r="A7" s="21"/>
      <c r="B7" s="22" t="s">
        <v>13</v>
      </c>
      <c r="C7" s="23"/>
      <c r="D7" s="24"/>
      <c r="E7" s="25"/>
      <c r="F7" s="25" t="n">
        <v>41</v>
      </c>
      <c r="G7" s="20" t="n">
        <v>41</v>
      </c>
    </row>
    <row r="8" customFormat="false" ht="13.8" hidden="false" customHeight="false" outlineLevel="0" collapsed="false">
      <c r="A8" s="21"/>
      <c r="B8" s="22" t="s">
        <v>14</v>
      </c>
      <c r="C8" s="23"/>
      <c r="D8" s="24"/>
      <c r="E8" s="18"/>
      <c r="F8" s="19" t="n">
        <v>11</v>
      </c>
      <c r="G8" s="20" t="n">
        <v>11</v>
      </c>
    </row>
    <row r="9" customFormat="false" ht="13.8" hidden="false" customHeight="false" outlineLevel="0" collapsed="false">
      <c r="A9" s="21"/>
      <c r="B9" s="22" t="s">
        <v>15</v>
      </c>
      <c r="C9" s="23"/>
      <c r="D9" s="24"/>
      <c r="E9" s="25"/>
      <c r="F9" s="25" t="n">
        <v>11</v>
      </c>
      <c r="G9" s="20" t="n">
        <v>11</v>
      </c>
    </row>
    <row r="10" customFormat="false" ht="13.8" hidden="false" customHeight="false" outlineLevel="0" collapsed="false">
      <c r="A10" s="21"/>
      <c r="B10" s="22" t="s">
        <v>16</v>
      </c>
      <c r="C10" s="23"/>
      <c r="D10" s="24"/>
      <c r="E10" s="18"/>
      <c r="F10" s="19" t="n">
        <v>17</v>
      </c>
      <c r="G10" s="20" t="n">
        <v>17</v>
      </c>
    </row>
    <row r="11" customFormat="false" ht="13.8" hidden="false" customHeight="false" outlineLevel="0" collapsed="false">
      <c r="A11" s="26"/>
      <c r="B11" s="22" t="s">
        <v>17</v>
      </c>
      <c r="C11" s="23"/>
      <c r="D11" s="24"/>
      <c r="E11" s="25"/>
      <c r="F11" s="25" t="n">
        <v>10</v>
      </c>
      <c r="G11" s="20" t="n">
        <v>10</v>
      </c>
    </row>
    <row r="12" customFormat="false" ht="13.8" hidden="false" customHeight="false" outlineLevel="0" collapsed="false">
      <c r="A12" s="15" t="s">
        <v>18</v>
      </c>
      <c r="B12" s="16"/>
      <c r="C12" s="16"/>
      <c r="D12" s="17"/>
      <c r="E12" s="18"/>
      <c r="F12" s="19" t="n">
        <v>31</v>
      </c>
      <c r="G12" s="20" t="n">
        <v>31</v>
      </c>
    </row>
    <row r="13" customFormat="false" ht="13.8" hidden="false" customHeight="false" outlineLevel="0" collapsed="false">
      <c r="A13" s="21"/>
      <c r="B13" s="22" t="s">
        <v>13</v>
      </c>
      <c r="C13" s="23"/>
      <c r="D13" s="24"/>
      <c r="E13" s="25"/>
      <c r="F13" s="25" t="n">
        <v>11</v>
      </c>
      <c r="G13" s="20" t="n">
        <v>11</v>
      </c>
    </row>
    <row r="14" customFormat="false" ht="13.8" hidden="false" customHeight="false" outlineLevel="0" collapsed="false">
      <c r="A14" s="21"/>
      <c r="B14" s="22" t="s">
        <v>19</v>
      </c>
      <c r="C14" s="23"/>
      <c r="D14" s="24"/>
      <c r="E14" s="18"/>
      <c r="F14" s="19" t="n">
        <v>1</v>
      </c>
      <c r="G14" s="20" t="n">
        <v>1</v>
      </c>
    </row>
    <row r="15" customFormat="false" ht="13.8" hidden="false" customHeight="false" outlineLevel="0" collapsed="false">
      <c r="A15" s="21"/>
      <c r="B15" s="22" t="s">
        <v>15</v>
      </c>
      <c r="C15" s="23"/>
      <c r="D15" s="24"/>
      <c r="E15" s="25"/>
      <c r="F15" s="25" t="n">
        <v>5</v>
      </c>
      <c r="G15" s="20" t="n">
        <v>5</v>
      </c>
    </row>
    <row r="16" customFormat="false" ht="13.8" hidden="false" customHeight="false" outlineLevel="0" collapsed="false">
      <c r="A16" s="21"/>
      <c r="B16" s="22" t="s">
        <v>16</v>
      </c>
      <c r="C16" s="23"/>
      <c r="D16" s="24"/>
      <c r="E16" s="18"/>
      <c r="F16" s="19" t="n">
        <v>6</v>
      </c>
      <c r="G16" s="20" t="n">
        <v>6</v>
      </c>
    </row>
    <row r="17" customFormat="false" ht="13.8" hidden="false" customHeight="false" outlineLevel="0" collapsed="false">
      <c r="A17" s="21"/>
      <c r="B17" s="22" t="s">
        <v>20</v>
      </c>
      <c r="C17" s="23"/>
      <c r="D17" s="24"/>
      <c r="E17" s="25"/>
      <c r="F17" s="25" t="n">
        <v>7</v>
      </c>
      <c r="G17" s="20" t="n">
        <v>7</v>
      </c>
    </row>
    <row r="18" customFormat="false" ht="13.8" hidden="false" customHeight="false" outlineLevel="0" collapsed="false">
      <c r="A18" s="26"/>
      <c r="B18" s="22" t="s">
        <v>21</v>
      </c>
      <c r="C18" s="23"/>
      <c r="D18" s="24"/>
      <c r="E18" s="18"/>
      <c r="F18" s="19" t="n">
        <v>1</v>
      </c>
      <c r="G18" s="20" t="n">
        <v>1</v>
      </c>
    </row>
    <row r="19" customFormat="false" ht="13.8" hidden="false" customHeight="false" outlineLevel="0" collapsed="false">
      <c r="A19" s="15" t="s">
        <v>22</v>
      </c>
      <c r="B19" s="16"/>
      <c r="C19" s="16"/>
      <c r="D19" s="17"/>
      <c r="E19" s="27"/>
      <c r="F19" s="27" t="n">
        <v>2796</v>
      </c>
      <c r="G19" s="20" t="n">
        <v>2796</v>
      </c>
    </row>
    <row r="20" customFormat="false" ht="13.8" hidden="false" customHeight="false" outlineLevel="0" collapsed="false">
      <c r="A20" s="21"/>
      <c r="B20" s="22" t="s">
        <v>9</v>
      </c>
      <c r="C20" s="23"/>
      <c r="D20" s="24"/>
      <c r="E20" s="18"/>
      <c r="F20" s="19" t="n">
        <v>2220</v>
      </c>
      <c r="G20" s="20" t="n">
        <v>2220</v>
      </c>
    </row>
    <row r="21" customFormat="false" ht="13.8" hidden="false" customHeight="false" outlineLevel="0" collapsed="false">
      <c r="A21" s="21"/>
      <c r="B21" s="28" t="s">
        <v>23</v>
      </c>
      <c r="C21" s="16"/>
      <c r="D21" s="17"/>
      <c r="E21" s="27"/>
      <c r="F21" s="27" t="n">
        <v>45</v>
      </c>
      <c r="G21" s="20" t="n">
        <v>45</v>
      </c>
    </row>
    <row r="22" customFormat="false" ht="15" hidden="false" customHeight="false" outlineLevel="0" collapsed="false">
      <c r="A22" s="21"/>
      <c r="B22" s="29"/>
      <c r="C22" s="28" t="s">
        <v>24</v>
      </c>
      <c r="D22" s="28"/>
      <c r="E22" s="30"/>
      <c r="F22" s="31" t="n">
        <v>4</v>
      </c>
      <c r="G22" s="32" t="n">
        <v>4</v>
      </c>
    </row>
    <row r="23" customFormat="false" ht="15" hidden="false" customHeight="false" outlineLevel="0" collapsed="false">
      <c r="A23" s="21"/>
      <c r="B23" s="29"/>
      <c r="C23" s="29"/>
      <c r="D23" s="29" t="s">
        <v>25</v>
      </c>
      <c r="E23" s="33"/>
      <c r="F23" s="34" t="n">
        <v>1</v>
      </c>
      <c r="G23" s="35" t="n">
        <v>1</v>
      </c>
    </row>
    <row r="24" customFormat="false" ht="15" hidden="false" customHeight="false" outlineLevel="0" collapsed="false">
      <c r="A24" s="21"/>
      <c r="B24" s="29"/>
      <c r="C24" s="29"/>
      <c r="D24" s="29" t="s">
        <v>26</v>
      </c>
      <c r="E24" s="33"/>
      <c r="F24" s="34" t="n">
        <v>1</v>
      </c>
      <c r="G24" s="35" t="n">
        <v>1</v>
      </c>
    </row>
    <row r="25" customFormat="false" ht="15" hidden="false" customHeight="false" outlineLevel="0" collapsed="false">
      <c r="A25" s="21"/>
      <c r="B25" s="29"/>
      <c r="C25" s="29"/>
      <c r="D25" s="29" t="s">
        <v>27</v>
      </c>
      <c r="E25" s="33"/>
      <c r="F25" s="34" t="n">
        <v>1</v>
      </c>
      <c r="G25" s="35" t="n">
        <v>1</v>
      </c>
    </row>
    <row r="26" customFormat="false" ht="15" hidden="false" customHeight="false" outlineLevel="0" collapsed="false">
      <c r="A26" s="21"/>
      <c r="B26" s="29"/>
      <c r="C26" s="36"/>
      <c r="D26" s="36" t="s">
        <v>28</v>
      </c>
      <c r="E26" s="37"/>
      <c r="F26" s="38" t="n">
        <v>1</v>
      </c>
      <c r="G26" s="39" t="n">
        <v>1</v>
      </c>
    </row>
    <row r="27" customFormat="false" ht="15" hidden="false" customHeight="false" outlineLevel="0" collapsed="false">
      <c r="A27" s="21"/>
      <c r="B27" s="29"/>
      <c r="C27" s="28" t="s">
        <v>29</v>
      </c>
      <c r="D27" s="28"/>
      <c r="E27" s="27"/>
      <c r="F27" s="27" t="n">
        <v>5</v>
      </c>
      <c r="G27" s="32" t="n">
        <v>5</v>
      </c>
    </row>
    <row r="28" customFormat="false" ht="15" hidden="false" customHeight="false" outlineLevel="0" collapsed="false">
      <c r="A28" s="21"/>
      <c r="B28" s="29"/>
      <c r="C28" s="29"/>
      <c r="D28" s="29" t="s">
        <v>25</v>
      </c>
      <c r="E28" s="40"/>
      <c r="F28" s="40" t="n">
        <v>1</v>
      </c>
      <c r="G28" s="35" t="n">
        <v>1</v>
      </c>
    </row>
    <row r="29" customFormat="false" ht="15" hidden="false" customHeight="false" outlineLevel="0" collapsed="false">
      <c r="A29" s="21"/>
      <c r="B29" s="29"/>
      <c r="C29" s="29"/>
      <c r="D29" s="29" t="s">
        <v>26</v>
      </c>
      <c r="E29" s="40"/>
      <c r="F29" s="40" t="n">
        <v>1</v>
      </c>
      <c r="G29" s="35" t="n">
        <v>1</v>
      </c>
    </row>
    <row r="30" customFormat="false" ht="15" hidden="false" customHeight="false" outlineLevel="0" collapsed="false">
      <c r="A30" s="21"/>
      <c r="B30" s="29"/>
      <c r="C30" s="29"/>
      <c r="D30" s="29" t="s">
        <v>27</v>
      </c>
      <c r="E30" s="40"/>
      <c r="F30" s="40" t="n">
        <v>1</v>
      </c>
      <c r="G30" s="35" t="n">
        <v>1</v>
      </c>
    </row>
    <row r="31" customFormat="false" ht="15" hidden="false" customHeight="false" outlineLevel="0" collapsed="false">
      <c r="A31" s="21"/>
      <c r="B31" s="29"/>
      <c r="C31" s="29"/>
      <c r="D31" s="29" t="s">
        <v>30</v>
      </c>
      <c r="E31" s="40"/>
      <c r="F31" s="40" t="n">
        <v>1</v>
      </c>
      <c r="G31" s="35" t="n">
        <v>1</v>
      </c>
    </row>
    <row r="32" customFormat="false" ht="15" hidden="false" customHeight="false" outlineLevel="0" collapsed="false">
      <c r="A32" s="21"/>
      <c r="B32" s="29"/>
      <c r="C32" s="36"/>
      <c r="D32" s="36" t="s">
        <v>28</v>
      </c>
      <c r="E32" s="41"/>
      <c r="F32" s="41" t="n">
        <v>1</v>
      </c>
      <c r="G32" s="39" t="n">
        <v>1</v>
      </c>
    </row>
    <row r="33" customFormat="false" ht="15" hidden="false" customHeight="false" outlineLevel="0" collapsed="false">
      <c r="A33" s="21"/>
      <c r="B33" s="29"/>
      <c r="C33" s="28" t="s">
        <v>31</v>
      </c>
      <c r="D33" s="28"/>
      <c r="E33" s="30"/>
      <c r="F33" s="31" t="n">
        <v>5</v>
      </c>
      <c r="G33" s="32" t="n">
        <v>5</v>
      </c>
    </row>
    <row r="34" customFormat="false" ht="15" hidden="false" customHeight="false" outlineLevel="0" collapsed="false">
      <c r="A34" s="21"/>
      <c r="B34" s="29"/>
      <c r="C34" s="29"/>
      <c r="D34" s="29" t="s">
        <v>25</v>
      </c>
      <c r="E34" s="33"/>
      <c r="F34" s="34" t="n">
        <v>1</v>
      </c>
      <c r="G34" s="35" t="n">
        <v>1</v>
      </c>
    </row>
    <row r="35" customFormat="false" ht="15" hidden="false" customHeight="false" outlineLevel="0" collapsed="false">
      <c r="A35" s="21"/>
      <c r="B35" s="29"/>
      <c r="C35" s="29"/>
      <c r="D35" s="29" t="s">
        <v>27</v>
      </c>
      <c r="E35" s="33"/>
      <c r="F35" s="34" t="n">
        <v>1</v>
      </c>
      <c r="G35" s="35" t="n">
        <v>1</v>
      </c>
    </row>
    <row r="36" customFormat="false" ht="15" hidden="false" customHeight="false" outlineLevel="0" collapsed="false">
      <c r="A36" s="21"/>
      <c r="B36" s="29"/>
      <c r="C36" s="29"/>
      <c r="D36" s="29" t="s">
        <v>30</v>
      </c>
      <c r="E36" s="33"/>
      <c r="F36" s="34" t="n">
        <v>1</v>
      </c>
      <c r="G36" s="35" t="n">
        <v>1</v>
      </c>
    </row>
    <row r="37" customFormat="false" ht="15" hidden="false" customHeight="false" outlineLevel="0" collapsed="false">
      <c r="A37" s="21"/>
      <c r="B37" s="29"/>
      <c r="C37" s="29"/>
      <c r="D37" s="29" t="s">
        <v>32</v>
      </c>
      <c r="E37" s="33"/>
      <c r="F37" s="34" t="n">
        <v>1</v>
      </c>
      <c r="G37" s="35" t="n">
        <v>1</v>
      </c>
    </row>
    <row r="38" customFormat="false" ht="15" hidden="false" customHeight="false" outlineLevel="0" collapsed="false">
      <c r="A38" s="21"/>
      <c r="B38" s="29"/>
      <c r="C38" s="36"/>
      <c r="D38" s="36" t="s">
        <v>28</v>
      </c>
      <c r="E38" s="37"/>
      <c r="F38" s="38" t="n">
        <v>1</v>
      </c>
      <c r="G38" s="39" t="n">
        <v>1</v>
      </c>
    </row>
    <row r="39" customFormat="false" ht="15" hidden="false" customHeight="false" outlineLevel="0" collapsed="false">
      <c r="A39" s="21"/>
      <c r="B39" s="29"/>
      <c r="C39" s="28" t="s">
        <v>33</v>
      </c>
      <c r="D39" s="28"/>
      <c r="E39" s="27"/>
      <c r="F39" s="27" t="n">
        <v>8</v>
      </c>
      <c r="G39" s="32" t="n">
        <v>8</v>
      </c>
    </row>
    <row r="40" customFormat="false" ht="15" hidden="false" customHeight="false" outlineLevel="0" collapsed="false">
      <c r="A40" s="21"/>
      <c r="B40" s="29"/>
      <c r="C40" s="29"/>
      <c r="D40" s="29" t="s">
        <v>25</v>
      </c>
      <c r="E40" s="40"/>
      <c r="F40" s="40" t="n">
        <v>1</v>
      </c>
      <c r="G40" s="35" t="n">
        <v>1</v>
      </c>
    </row>
    <row r="41" customFormat="false" ht="15" hidden="false" customHeight="false" outlineLevel="0" collapsed="false">
      <c r="A41" s="21"/>
      <c r="B41" s="29"/>
      <c r="C41" s="29"/>
      <c r="D41" s="29" t="s">
        <v>34</v>
      </c>
      <c r="E41" s="40"/>
      <c r="F41" s="40" t="n">
        <v>1</v>
      </c>
      <c r="G41" s="35" t="n">
        <v>1</v>
      </c>
    </row>
    <row r="42" customFormat="false" ht="15" hidden="false" customHeight="false" outlineLevel="0" collapsed="false">
      <c r="A42" s="21"/>
      <c r="B42" s="29"/>
      <c r="C42" s="29"/>
      <c r="D42" s="29" t="s">
        <v>26</v>
      </c>
      <c r="E42" s="40"/>
      <c r="F42" s="40" t="n">
        <v>1</v>
      </c>
      <c r="G42" s="35" t="n">
        <v>1</v>
      </c>
    </row>
    <row r="43" customFormat="false" ht="15" hidden="false" customHeight="false" outlineLevel="0" collapsed="false">
      <c r="A43" s="21"/>
      <c r="B43" s="29"/>
      <c r="C43" s="29"/>
      <c r="D43" s="29" t="s">
        <v>27</v>
      </c>
      <c r="E43" s="40"/>
      <c r="F43" s="40" t="n">
        <v>1</v>
      </c>
      <c r="G43" s="35" t="n">
        <v>1</v>
      </c>
    </row>
    <row r="44" customFormat="false" ht="15" hidden="false" customHeight="false" outlineLevel="0" collapsed="false">
      <c r="A44" s="21"/>
      <c r="B44" s="29"/>
      <c r="C44" s="29"/>
      <c r="D44" s="29" t="s">
        <v>30</v>
      </c>
      <c r="E44" s="40"/>
      <c r="F44" s="40" t="n">
        <v>1</v>
      </c>
      <c r="G44" s="35" t="n">
        <v>1</v>
      </c>
    </row>
    <row r="45" customFormat="false" ht="15" hidden="false" customHeight="false" outlineLevel="0" collapsed="false">
      <c r="A45" s="21"/>
      <c r="B45" s="29"/>
      <c r="C45" s="29"/>
      <c r="D45" s="29" t="s">
        <v>35</v>
      </c>
      <c r="E45" s="40"/>
      <c r="F45" s="40" t="n">
        <v>1</v>
      </c>
      <c r="G45" s="35" t="n">
        <v>1</v>
      </c>
    </row>
    <row r="46" customFormat="false" ht="15" hidden="false" customHeight="false" outlineLevel="0" collapsed="false">
      <c r="A46" s="21"/>
      <c r="B46" s="29"/>
      <c r="C46" s="29"/>
      <c r="D46" s="29" t="s">
        <v>28</v>
      </c>
      <c r="E46" s="40"/>
      <c r="F46" s="40" t="n">
        <v>1</v>
      </c>
      <c r="G46" s="35" t="n">
        <v>1</v>
      </c>
    </row>
    <row r="47" customFormat="false" ht="15" hidden="false" customHeight="false" outlineLevel="0" collapsed="false">
      <c r="A47" s="21"/>
      <c r="B47" s="29"/>
      <c r="C47" s="36"/>
      <c r="D47" s="36" t="s">
        <v>36</v>
      </c>
      <c r="E47" s="41"/>
      <c r="F47" s="41" t="n">
        <v>1</v>
      </c>
      <c r="G47" s="39" t="n">
        <v>1</v>
      </c>
    </row>
    <row r="48" customFormat="false" ht="15" hidden="false" customHeight="false" outlineLevel="0" collapsed="false">
      <c r="A48" s="21"/>
      <c r="B48" s="29"/>
      <c r="C48" s="28" t="s">
        <v>37</v>
      </c>
      <c r="D48" s="28"/>
      <c r="E48" s="30"/>
      <c r="F48" s="31" t="n">
        <v>9</v>
      </c>
      <c r="G48" s="32" t="n">
        <v>9</v>
      </c>
    </row>
    <row r="49" customFormat="false" ht="15" hidden="false" customHeight="false" outlineLevel="0" collapsed="false">
      <c r="A49" s="21"/>
      <c r="B49" s="29"/>
      <c r="C49" s="29"/>
      <c r="D49" s="29" t="s">
        <v>25</v>
      </c>
      <c r="E49" s="33"/>
      <c r="F49" s="34" t="n">
        <v>1</v>
      </c>
      <c r="G49" s="35" t="n">
        <v>1</v>
      </c>
    </row>
    <row r="50" customFormat="false" ht="15" hidden="false" customHeight="false" outlineLevel="0" collapsed="false">
      <c r="A50" s="21"/>
      <c r="B50" s="29"/>
      <c r="C50" s="29"/>
      <c r="D50" s="29" t="s">
        <v>26</v>
      </c>
      <c r="E50" s="33"/>
      <c r="F50" s="34" t="n">
        <v>1</v>
      </c>
      <c r="G50" s="35" t="n">
        <v>1</v>
      </c>
    </row>
    <row r="51" customFormat="false" ht="15" hidden="false" customHeight="false" outlineLevel="0" collapsed="false">
      <c r="A51" s="21"/>
      <c r="B51" s="29"/>
      <c r="C51" s="29"/>
      <c r="D51" s="29" t="s">
        <v>27</v>
      </c>
      <c r="E51" s="33"/>
      <c r="F51" s="34" t="n">
        <v>1</v>
      </c>
      <c r="G51" s="35" t="n">
        <v>1</v>
      </c>
    </row>
    <row r="52" customFormat="false" ht="15" hidden="false" customHeight="false" outlineLevel="0" collapsed="false">
      <c r="A52" s="21"/>
      <c r="B52" s="29"/>
      <c r="C52" s="29"/>
      <c r="D52" s="29" t="s">
        <v>30</v>
      </c>
      <c r="E52" s="33"/>
      <c r="F52" s="34" t="n">
        <v>1</v>
      </c>
      <c r="G52" s="35" t="n">
        <v>1</v>
      </c>
    </row>
    <row r="53" customFormat="false" ht="15" hidden="false" customHeight="false" outlineLevel="0" collapsed="false">
      <c r="A53" s="21"/>
      <c r="B53" s="29"/>
      <c r="C53" s="36"/>
      <c r="D53" s="36" t="s">
        <v>28</v>
      </c>
      <c r="E53" s="37"/>
      <c r="F53" s="38" t="n">
        <v>5</v>
      </c>
      <c r="G53" s="39" t="n">
        <v>5</v>
      </c>
    </row>
    <row r="54" customFormat="false" ht="15" hidden="false" customHeight="false" outlineLevel="0" collapsed="false">
      <c r="A54" s="21"/>
      <c r="B54" s="29"/>
      <c r="C54" s="28" t="s">
        <v>38</v>
      </c>
      <c r="D54" s="28"/>
      <c r="E54" s="27"/>
      <c r="F54" s="27" t="n">
        <v>7</v>
      </c>
      <c r="G54" s="32" t="n">
        <v>7</v>
      </c>
    </row>
    <row r="55" customFormat="false" ht="15" hidden="false" customHeight="false" outlineLevel="0" collapsed="false">
      <c r="A55" s="21"/>
      <c r="B55" s="29"/>
      <c r="C55" s="29"/>
      <c r="D55" s="29" t="s">
        <v>25</v>
      </c>
      <c r="E55" s="40"/>
      <c r="F55" s="40" t="n">
        <v>1</v>
      </c>
      <c r="G55" s="35" t="n">
        <v>1</v>
      </c>
    </row>
    <row r="56" customFormat="false" ht="15" hidden="false" customHeight="false" outlineLevel="0" collapsed="false">
      <c r="A56" s="21"/>
      <c r="B56" s="29"/>
      <c r="C56" s="29"/>
      <c r="D56" s="29" t="s">
        <v>34</v>
      </c>
      <c r="E56" s="40"/>
      <c r="F56" s="40" t="n">
        <v>2</v>
      </c>
      <c r="G56" s="35" t="n">
        <v>2</v>
      </c>
    </row>
    <row r="57" customFormat="false" ht="15" hidden="false" customHeight="false" outlineLevel="0" collapsed="false">
      <c r="A57" s="21"/>
      <c r="B57" s="29"/>
      <c r="C57" s="29"/>
      <c r="D57" s="29" t="s">
        <v>26</v>
      </c>
      <c r="E57" s="40"/>
      <c r="F57" s="40" t="n">
        <v>1</v>
      </c>
      <c r="G57" s="35" t="n">
        <v>1</v>
      </c>
    </row>
    <row r="58" customFormat="false" ht="15" hidden="false" customHeight="false" outlineLevel="0" collapsed="false">
      <c r="A58" s="21"/>
      <c r="B58" s="29"/>
      <c r="C58" s="29"/>
      <c r="D58" s="29" t="s">
        <v>27</v>
      </c>
      <c r="E58" s="40"/>
      <c r="F58" s="40" t="n">
        <v>1</v>
      </c>
      <c r="G58" s="35" t="n">
        <v>1</v>
      </c>
    </row>
    <row r="59" customFormat="false" ht="15" hidden="false" customHeight="false" outlineLevel="0" collapsed="false">
      <c r="A59" s="21"/>
      <c r="B59" s="29"/>
      <c r="C59" s="29"/>
      <c r="D59" s="29" t="s">
        <v>30</v>
      </c>
      <c r="E59" s="40"/>
      <c r="F59" s="40" t="n">
        <v>1</v>
      </c>
      <c r="G59" s="35" t="n">
        <v>1</v>
      </c>
    </row>
    <row r="60" customFormat="false" ht="15" hidden="false" customHeight="false" outlineLevel="0" collapsed="false">
      <c r="A60" s="21"/>
      <c r="B60" s="29"/>
      <c r="C60" s="36"/>
      <c r="D60" s="36" t="s">
        <v>32</v>
      </c>
      <c r="E60" s="41"/>
      <c r="F60" s="41" t="n">
        <v>1</v>
      </c>
      <c r="G60" s="39" t="n">
        <v>1</v>
      </c>
    </row>
    <row r="61" customFormat="false" ht="15" hidden="false" customHeight="false" outlineLevel="0" collapsed="false">
      <c r="A61" s="21"/>
      <c r="B61" s="29"/>
      <c r="C61" s="28" t="s">
        <v>39</v>
      </c>
      <c r="D61" s="28"/>
      <c r="E61" s="30"/>
      <c r="F61" s="31" t="n">
        <v>7</v>
      </c>
      <c r="G61" s="32" t="n">
        <v>7</v>
      </c>
    </row>
    <row r="62" customFormat="false" ht="15" hidden="false" customHeight="false" outlineLevel="0" collapsed="false">
      <c r="A62" s="21"/>
      <c r="B62" s="29"/>
      <c r="C62" s="29"/>
      <c r="D62" s="29" t="s">
        <v>25</v>
      </c>
      <c r="E62" s="33"/>
      <c r="F62" s="34" t="n">
        <v>1</v>
      </c>
      <c r="G62" s="35" t="n">
        <v>1</v>
      </c>
    </row>
    <row r="63" customFormat="false" ht="15" hidden="false" customHeight="false" outlineLevel="0" collapsed="false">
      <c r="A63" s="21"/>
      <c r="B63" s="29"/>
      <c r="C63" s="29"/>
      <c r="D63" s="29" t="s">
        <v>26</v>
      </c>
      <c r="E63" s="33"/>
      <c r="F63" s="34" t="n">
        <v>1</v>
      </c>
      <c r="G63" s="35" t="n">
        <v>1</v>
      </c>
    </row>
    <row r="64" customFormat="false" ht="15" hidden="false" customHeight="false" outlineLevel="0" collapsed="false">
      <c r="A64" s="21"/>
      <c r="B64" s="29"/>
      <c r="C64" s="29"/>
      <c r="D64" s="29" t="s">
        <v>27</v>
      </c>
      <c r="E64" s="33"/>
      <c r="F64" s="34" t="n">
        <v>1</v>
      </c>
      <c r="G64" s="35" t="n">
        <v>1</v>
      </c>
    </row>
    <row r="65" customFormat="false" ht="15" hidden="false" customHeight="false" outlineLevel="0" collapsed="false">
      <c r="A65" s="21"/>
      <c r="B65" s="29"/>
      <c r="C65" s="29"/>
      <c r="D65" s="29" t="s">
        <v>30</v>
      </c>
      <c r="E65" s="33"/>
      <c r="F65" s="34" t="n">
        <v>1</v>
      </c>
      <c r="G65" s="35" t="n">
        <v>1</v>
      </c>
    </row>
    <row r="66" customFormat="false" ht="15" hidden="false" customHeight="false" outlineLevel="0" collapsed="false">
      <c r="A66" s="21"/>
      <c r="B66" s="36"/>
      <c r="C66" s="36"/>
      <c r="D66" s="36" t="s">
        <v>28</v>
      </c>
      <c r="E66" s="37"/>
      <c r="F66" s="38" t="n">
        <v>3</v>
      </c>
      <c r="G66" s="39" t="n">
        <v>3</v>
      </c>
    </row>
    <row r="67" customFormat="false" ht="15" hidden="false" customHeight="false" outlineLevel="0" collapsed="false">
      <c r="A67" s="21"/>
      <c r="B67" s="28" t="s">
        <v>40</v>
      </c>
      <c r="C67" s="16"/>
      <c r="D67" s="17"/>
      <c r="E67" s="27"/>
      <c r="F67" s="27" t="n">
        <v>16</v>
      </c>
      <c r="G67" s="20" t="n">
        <v>16</v>
      </c>
    </row>
    <row r="68" customFormat="false" ht="15" hidden="false" customHeight="false" outlineLevel="0" collapsed="false">
      <c r="A68" s="21"/>
      <c r="B68" s="29"/>
      <c r="C68" s="28" t="s">
        <v>41</v>
      </c>
      <c r="D68" s="28"/>
      <c r="E68" s="30"/>
      <c r="F68" s="31" t="n">
        <v>8</v>
      </c>
      <c r="G68" s="32" t="n">
        <v>8</v>
      </c>
    </row>
    <row r="69" customFormat="false" ht="15" hidden="false" customHeight="false" outlineLevel="0" collapsed="false">
      <c r="A69" s="21"/>
      <c r="B69" s="29"/>
      <c r="C69" s="29"/>
      <c r="D69" s="29" t="s">
        <v>25</v>
      </c>
      <c r="E69" s="33"/>
      <c r="F69" s="34" t="n">
        <v>1</v>
      </c>
      <c r="G69" s="35" t="n">
        <v>1</v>
      </c>
    </row>
    <row r="70" customFormat="false" ht="15" hidden="false" customHeight="false" outlineLevel="0" collapsed="false">
      <c r="A70" s="21"/>
      <c r="B70" s="29"/>
      <c r="C70" s="29"/>
      <c r="D70" s="29" t="s">
        <v>26</v>
      </c>
      <c r="E70" s="33"/>
      <c r="F70" s="34" t="n">
        <v>1</v>
      </c>
      <c r="G70" s="35" t="n">
        <v>1</v>
      </c>
    </row>
    <row r="71" customFormat="false" ht="15" hidden="false" customHeight="false" outlineLevel="0" collapsed="false">
      <c r="A71" s="21"/>
      <c r="B71" s="29"/>
      <c r="C71" s="29"/>
      <c r="D71" s="29" t="s">
        <v>27</v>
      </c>
      <c r="E71" s="33"/>
      <c r="F71" s="34" t="n">
        <v>1</v>
      </c>
      <c r="G71" s="35" t="n">
        <v>1</v>
      </c>
    </row>
    <row r="72" customFormat="false" ht="15" hidden="false" customHeight="false" outlineLevel="0" collapsed="false">
      <c r="A72" s="21"/>
      <c r="B72" s="29"/>
      <c r="C72" s="29"/>
      <c r="D72" s="29" t="s">
        <v>30</v>
      </c>
      <c r="E72" s="33"/>
      <c r="F72" s="34" t="n">
        <v>1</v>
      </c>
      <c r="G72" s="35" t="n">
        <v>1</v>
      </c>
    </row>
    <row r="73" customFormat="false" ht="15" hidden="false" customHeight="false" outlineLevel="0" collapsed="false">
      <c r="A73" s="21"/>
      <c r="B73" s="29"/>
      <c r="C73" s="29"/>
      <c r="D73" s="29" t="s">
        <v>32</v>
      </c>
      <c r="E73" s="33"/>
      <c r="F73" s="34" t="n">
        <v>1</v>
      </c>
      <c r="G73" s="35" t="n">
        <v>1</v>
      </c>
    </row>
    <row r="74" customFormat="false" ht="15" hidden="false" customHeight="false" outlineLevel="0" collapsed="false">
      <c r="A74" s="21"/>
      <c r="B74" s="29"/>
      <c r="C74" s="36"/>
      <c r="D74" s="36" t="s">
        <v>28</v>
      </c>
      <c r="E74" s="37"/>
      <c r="F74" s="38" t="n">
        <v>3</v>
      </c>
      <c r="G74" s="39" t="n">
        <v>3</v>
      </c>
    </row>
    <row r="75" customFormat="false" ht="15" hidden="false" customHeight="false" outlineLevel="0" collapsed="false">
      <c r="A75" s="21"/>
      <c r="B75" s="29"/>
      <c r="C75" s="28" t="s">
        <v>42</v>
      </c>
      <c r="D75" s="28"/>
      <c r="E75" s="27"/>
      <c r="F75" s="27" t="n">
        <v>4</v>
      </c>
      <c r="G75" s="32" t="n">
        <v>4</v>
      </c>
    </row>
    <row r="76" customFormat="false" ht="15" hidden="false" customHeight="false" outlineLevel="0" collapsed="false">
      <c r="A76" s="21"/>
      <c r="B76" s="29"/>
      <c r="C76" s="29"/>
      <c r="D76" s="29" t="s">
        <v>25</v>
      </c>
      <c r="E76" s="40"/>
      <c r="F76" s="40" t="n">
        <v>1</v>
      </c>
      <c r="G76" s="35" t="n">
        <v>1</v>
      </c>
    </row>
    <row r="77" customFormat="false" ht="15" hidden="false" customHeight="false" outlineLevel="0" collapsed="false">
      <c r="A77" s="21"/>
      <c r="B77" s="29"/>
      <c r="C77" s="29"/>
      <c r="D77" s="29" t="s">
        <v>27</v>
      </c>
      <c r="E77" s="40"/>
      <c r="F77" s="40" t="n">
        <v>1</v>
      </c>
      <c r="G77" s="35" t="n">
        <v>1</v>
      </c>
    </row>
    <row r="78" customFormat="false" ht="15" hidden="false" customHeight="false" outlineLevel="0" collapsed="false">
      <c r="A78" s="21"/>
      <c r="B78" s="29"/>
      <c r="C78" s="29"/>
      <c r="D78" s="29" t="s">
        <v>30</v>
      </c>
      <c r="E78" s="40"/>
      <c r="F78" s="40" t="n">
        <v>1</v>
      </c>
      <c r="G78" s="35" t="n">
        <v>1</v>
      </c>
    </row>
    <row r="79" customFormat="false" ht="15" hidden="false" customHeight="false" outlineLevel="0" collapsed="false">
      <c r="A79" s="21"/>
      <c r="B79" s="29"/>
      <c r="C79" s="36"/>
      <c r="D79" s="36" t="s">
        <v>28</v>
      </c>
      <c r="E79" s="41"/>
      <c r="F79" s="41" t="n">
        <v>1</v>
      </c>
      <c r="G79" s="39" t="n">
        <v>1</v>
      </c>
    </row>
    <row r="80" customFormat="false" ht="15" hidden="false" customHeight="false" outlineLevel="0" collapsed="false">
      <c r="A80" s="21"/>
      <c r="B80" s="29"/>
      <c r="C80" s="28" t="s">
        <v>43</v>
      </c>
      <c r="D80" s="28"/>
      <c r="E80" s="30"/>
      <c r="F80" s="31" t="n">
        <v>4</v>
      </c>
      <c r="G80" s="32" t="n">
        <v>4</v>
      </c>
    </row>
    <row r="81" customFormat="false" ht="15" hidden="false" customHeight="false" outlineLevel="0" collapsed="false">
      <c r="A81" s="21"/>
      <c r="B81" s="29"/>
      <c r="C81" s="29"/>
      <c r="D81" s="29" t="s">
        <v>25</v>
      </c>
      <c r="E81" s="33"/>
      <c r="F81" s="34" t="n">
        <v>1</v>
      </c>
      <c r="G81" s="35" t="n">
        <v>1</v>
      </c>
    </row>
    <row r="82" customFormat="false" ht="15" hidden="false" customHeight="false" outlineLevel="0" collapsed="false">
      <c r="A82" s="21"/>
      <c r="B82" s="29"/>
      <c r="C82" s="29"/>
      <c r="D82" s="29" t="s">
        <v>27</v>
      </c>
      <c r="E82" s="33"/>
      <c r="F82" s="34" t="n">
        <v>1</v>
      </c>
      <c r="G82" s="35" t="n">
        <v>1</v>
      </c>
    </row>
    <row r="83" customFormat="false" ht="15" hidden="false" customHeight="false" outlineLevel="0" collapsed="false">
      <c r="A83" s="21"/>
      <c r="B83" s="29"/>
      <c r="C83" s="29"/>
      <c r="D83" s="29" t="s">
        <v>30</v>
      </c>
      <c r="E83" s="33"/>
      <c r="F83" s="34" t="n">
        <v>1</v>
      </c>
      <c r="G83" s="35" t="n">
        <v>1</v>
      </c>
    </row>
    <row r="84" customFormat="false" ht="15" hidden="false" customHeight="false" outlineLevel="0" collapsed="false">
      <c r="A84" s="21"/>
      <c r="B84" s="36"/>
      <c r="C84" s="36"/>
      <c r="D84" s="36" t="s">
        <v>28</v>
      </c>
      <c r="E84" s="37"/>
      <c r="F84" s="38" t="n">
        <v>1</v>
      </c>
      <c r="G84" s="39" t="n">
        <v>1</v>
      </c>
    </row>
    <row r="85" customFormat="false" ht="15" hidden="false" customHeight="false" outlineLevel="0" collapsed="false">
      <c r="A85" s="21"/>
      <c r="B85" s="28" t="s">
        <v>44</v>
      </c>
      <c r="C85" s="16"/>
      <c r="D85" s="17"/>
      <c r="E85" s="27"/>
      <c r="F85" s="27" t="n">
        <v>6</v>
      </c>
      <c r="G85" s="20" t="n">
        <v>6</v>
      </c>
    </row>
    <row r="86" customFormat="false" ht="15" hidden="false" customHeight="false" outlineLevel="0" collapsed="false">
      <c r="A86" s="21"/>
      <c r="B86" s="29"/>
      <c r="C86" s="28" t="s">
        <v>45</v>
      </c>
      <c r="D86" s="28"/>
      <c r="E86" s="30"/>
      <c r="F86" s="31" t="n">
        <v>6</v>
      </c>
      <c r="G86" s="32" t="n">
        <v>6</v>
      </c>
    </row>
    <row r="87" customFormat="false" ht="15" hidden="false" customHeight="false" outlineLevel="0" collapsed="false">
      <c r="A87" s="21"/>
      <c r="B87" s="29"/>
      <c r="C87" s="29"/>
      <c r="D87" s="29" t="s">
        <v>25</v>
      </c>
      <c r="E87" s="33"/>
      <c r="F87" s="34" t="n">
        <v>1</v>
      </c>
      <c r="G87" s="35" t="n">
        <v>1</v>
      </c>
    </row>
    <row r="88" customFormat="false" ht="15" hidden="false" customHeight="false" outlineLevel="0" collapsed="false">
      <c r="A88" s="21"/>
      <c r="B88" s="29"/>
      <c r="C88" s="29"/>
      <c r="D88" s="29" t="s">
        <v>26</v>
      </c>
      <c r="E88" s="33"/>
      <c r="F88" s="34" t="n">
        <v>1</v>
      </c>
      <c r="G88" s="35" t="n">
        <v>1</v>
      </c>
    </row>
    <row r="89" customFormat="false" ht="15" hidden="false" customHeight="false" outlineLevel="0" collapsed="false">
      <c r="A89" s="21"/>
      <c r="B89" s="29"/>
      <c r="C89" s="29"/>
      <c r="D89" s="29" t="s">
        <v>27</v>
      </c>
      <c r="E89" s="33"/>
      <c r="F89" s="34" t="n">
        <v>1</v>
      </c>
      <c r="G89" s="35" t="n">
        <v>1</v>
      </c>
    </row>
    <row r="90" customFormat="false" ht="15" hidden="false" customHeight="false" outlineLevel="0" collapsed="false">
      <c r="A90" s="21"/>
      <c r="B90" s="29"/>
      <c r="C90" s="29"/>
      <c r="D90" s="29" t="s">
        <v>30</v>
      </c>
      <c r="E90" s="33"/>
      <c r="F90" s="34" t="n">
        <v>1</v>
      </c>
      <c r="G90" s="35" t="n">
        <v>1</v>
      </c>
    </row>
    <row r="91" customFormat="false" ht="15" hidden="false" customHeight="false" outlineLevel="0" collapsed="false">
      <c r="A91" s="21"/>
      <c r="B91" s="36"/>
      <c r="C91" s="36"/>
      <c r="D91" s="36" t="s">
        <v>28</v>
      </c>
      <c r="E91" s="37"/>
      <c r="F91" s="38" t="n">
        <v>2</v>
      </c>
      <c r="G91" s="39" t="n">
        <v>2</v>
      </c>
    </row>
    <row r="92" customFormat="false" ht="15" hidden="false" customHeight="false" outlineLevel="0" collapsed="false">
      <c r="A92" s="21"/>
      <c r="B92" s="28" t="s">
        <v>46</v>
      </c>
      <c r="C92" s="16"/>
      <c r="D92" s="17"/>
      <c r="E92" s="27"/>
      <c r="F92" s="27" t="n">
        <v>20</v>
      </c>
      <c r="G92" s="20" t="n">
        <v>20</v>
      </c>
    </row>
    <row r="93" customFormat="false" ht="15" hidden="false" customHeight="false" outlineLevel="0" collapsed="false">
      <c r="A93" s="21"/>
      <c r="B93" s="29"/>
      <c r="C93" s="28" t="s">
        <v>47</v>
      </c>
      <c r="D93" s="28"/>
      <c r="E93" s="30"/>
      <c r="F93" s="31" t="n">
        <v>4</v>
      </c>
      <c r="G93" s="32" t="n">
        <v>4</v>
      </c>
    </row>
    <row r="94" customFormat="false" ht="15" hidden="false" customHeight="false" outlineLevel="0" collapsed="false">
      <c r="A94" s="21"/>
      <c r="B94" s="29"/>
      <c r="C94" s="29"/>
      <c r="D94" s="29" t="s">
        <v>25</v>
      </c>
      <c r="E94" s="33"/>
      <c r="F94" s="34" t="n">
        <v>1</v>
      </c>
      <c r="G94" s="35" t="n">
        <v>1</v>
      </c>
    </row>
    <row r="95" customFormat="false" ht="15" hidden="false" customHeight="false" outlineLevel="0" collapsed="false">
      <c r="A95" s="21"/>
      <c r="B95" s="29"/>
      <c r="C95" s="29"/>
      <c r="D95" s="29" t="s">
        <v>27</v>
      </c>
      <c r="E95" s="33"/>
      <c r="F95" s="34" t="n">
        <v>1</v>
      </c>
      <c r="G95" s="35" t="n">
        <v>1</v>
      </c>
    </row>
    <row r="96" customFormat="false" ht="15" hidden="false" customHeight="false" outlineLevel="0" collapsed="false">
      <c r="A96" s="21"/>
      <c r="B96" s="29"/>
      <c r="C96" s="29"/>
      <c r="D96" s="29" t="s">
        <v>30</v>
      </c>
      <c r="E96" s="33"/>
      <c r="F96" s="34" t="n">
        <v>1</v>
      </c>
      <c r="G96" s="35" t="n">
        <v>1</v>
      </c>
    </row>
    <row r="97" customFormat="false" ht="15" hidden="false" customHeight="false" outlineLevel="0" collapsed="false">
      <c r="A97" s="21"/>
      <c r="B97" s="29"/>
      <c r="C97" s="36"/>
      <c r="D97" s="36" t="s">
        <v>28</v>
      </c>
      <c r="E97" s="37"/>
      <c r="F97" s="38" t="n">
        <v>1</v>
      </c>
      <c r="G97" s="39" t="n">
        <v>1</v>
      </c>
    </row>
    <row r="98" customFormat="false" ht="15" hidden="false" customHeight="false" outlineLevel="0" collapsed="false">
      <c r="A98" s="21"/>
      <c r="B98" s="29"/>
      <c r="C98" s="28" t="s">
        <v>48</v>
      </c>
      <c r="D98" s="28"/>
      <c r="E98" s="27"/>
      <c r="F98" s="27" t="n">
        <v>5</v>
      </c>
      <c r="G98" s="32" t="n">
        <v>5</v>
      </c>
    </row>
    <row r="99" customFormat="false" ht="15" hidden="false" customHeight="false" outlineLevel="0" collapsed="false">
      <c r="A99" s="21"/>
      <c r="B99" s="29"/>
      <c r="C99" s="29"/>
      <c r="D99" s="29" t="s">
        <v>25</v>
      </c>
      <c r="E99" s="40"/>
      <c r="F99" s="40" t="n">
        <v>1</v>
      </c>
      <c r="G99" s="35" t="n">
        <v>1</v>
      </c>
    </row>
    <row r="100" customFormat="false" ht="15" hidden="false" customHeight="false" outlineLevel="0" collapsed="false">
      <c r="A100" s="21"/>
      <c r="B100" s="29"/>
      <c r="C100" s="29"/>
      <c r="D100" s="29" t="s">
        <v>34</v>
      </c>
      <c r="E100" s="40"/>
      <c r="F100" s="40" t="n">
        <v>1</v>
      </c>
      <c r="G100" s="35" t="n">
        <v>1</v>
      </c>
    </row>
    <row r="101" customFormat="false" ht="15" hidden="false" customHeight="false" outlineLevel="0" collapsed="false">
      <c r="A101" s="21"/>
      <c r="B101" s="29"/>
      <c r="C101" s="29"/>
      <c r="D101" s="29" t="s">
        <v>27</v>
      </c>
      <c r="E101" s="40"/>
      <c r="F101" s="40" t="n">
        <v>1</v>
      </c>
      <c r="G101" s="35" t="n">
        <v>1</v>
      </c>
    </row>
    <row r="102" customFormat="false" ht="15" hidden="false" customHeight="false" outlineLevel="0" collapsed="false">
      <c r="A102" s="21"/>
      <c r="B102" s="29"/>
      <c r="C102" s="29"/>
      <c r="D102" s="29" t="s">
        <v>30</v>
      </c>
      <c r="E102" s="40"/>
      <c r="F102" s="40" t="n">
        <v>1</v>
      </c>
      <c r="G102" s="35" t="n">
        <v>1</v>
      </c>
    </row>
    <row r="103" customFormat="false" ht="15" hidden="false" customHeight="false" outlineLevel="0" collapsed="false">
      <c r="A103" s="21"/>
      <c r="B103" s="29"/>
      <c r="C103" s="36"/>
      <c r="D103" s="36" t="s">
        <v>36</v>
      </c>
      <c r="E103" s="41"/>
      <c r="F103" s="41" t="n">
        <v>1</v>
      </c>
      <c r="G103" s="39" t="n">
        <v>1</v>
      </c>
    </row>
    <row r="104" customFormat="false" ht="15" hidden="false" customHeight="false" outlineLevel="0" collapsed="false">
      <c r="A104" s="21"/>
      <c r="B104" s="29"/>
      <c r="C104" s="28" t="s">
        <v>49</v>
      </c>
      <c r="D104" s="28"/>
      <c r="E104" s="30"/>
      <c r="F104" s="31" t="n">
        <v>5</v>
      </c>
      <c r="G104" s="32" t="n">
        <v>5</v>
      </c>
    </row>
    <row r="105" customFormat="false" ht="15" hidden="false" customHeight="false" outlineLevel="0" collapsed="false">
      <c r="A105" s="21"/>
      <c r="B105" s="29"/>
      <c r="C105" s="29"/>
      <c r="D105" s="29" t="s">
        <v>25</v>
      </c>
      <c r="E105" s="33"/>
      <c r="F105" s="34" t="n">
        <v>1</v>
      </c>
      <c r="G105" s="35" t="n">
        <v>1</v>
      </c>
    </row>
    <row r="106" customFormat="false" ht="15" hidden="false" customHeight="false" outlineLevel="0" collapsed="false">
      <c r="A106" s="21"/>
      <c r="B106" s="29"/>
      <c r="C106" s="29"/>
      <c r="D106" s="29" t="s">
        <v>50</v>
      </c>
      <c r="E106" s="33"/>
      <c r="F106" s="34" t="n">
        <v>1</v>
      </c>
      <c r="G106" s="35" t="n">
        <v>1</v>
      </c>
    </row>
    <row r="107" customFormat="false" ht="15" hidden="false" customHeight="false" outlineLevel="0" collapsed="false">
      <c r="A107" s="21"/>
      <c r="B107" s="29"/>
      <c r="C107" s="29"/>
      <c r="D107" s="29" t="s">
        <v>27</v>
      </c>
      <c r="E107" s="33"/>
      <c r="F107" s="34" t="n">
        <v>1</v>
      </c>
      <c r="G107" s="35" t="n">
        <v>1</v>
      </c>
    </row>
    <row r="108" customFormat="false" ht="15" hidden="false" customHeight="false" outlineLevel="0" collapsed="false">
      <c r="A108" s="21"/>
      <c r="B108" s="29"/>
      <c r="C108" s="29"/>
      <c r="D108" s="29" t="s">
        <v>30</v>
      </c>
      <c r="E108" s="33"/>
      <c r="F108" s="34" t="n">
        <v>1</v>
      </c>
      <c r="G108" s="35" t="n">
        <v>1</v>
      </c>
    </row>
    <row r="109" customFormat="false" ht="15" hidden="false" customHeight="false" outlineLevel="0" collapsed="false">
      <c r="A109" s="21"/>
      <c r="B109" s="29"/>
      <c r="C109" s="36"/>
      <c r="D109" s="36" t="s">
        <v>28</v>
      </c>
      <c r="E109" s="37"/>
      <c r="F109" s="38" t="n">
        <v>1</v>
      </c>
      <c r="G109" s="39" t="n">
        <v>1</v>
      </c>
    </row>
    <row r="110" customFormat="false" ht="15" hidden="false" customHeight="false" outlineLevel="0" collapsed="false">
      <c r="A110" s="21"/>
      <c r="B110" s="29"/>
      <c r="C110" s="28" t="s">
        <v>51</v>
      </c>
      <c r="D110" s="28"/>
      <c r="E110" s="27"/>
      <c r="F110" s="27" t="n">
        <v>6</v>
      </c>
      <c r="G110" s="32" t="n">
        <v>6</v>
      </c>
    </row>
    <row r="111" customFormat="false" ht="15" hidden="false" customHeight="false" outlineLevel="0" collapsed="false">
      <c r="A111" s="21"/>
      <c r="B111" s="29"/>
      <c r="C111" s="29"/>
      <c r="D111" s="29" t="s">
        <v>25</v>
      </c>
      <c r="E111" s="40"/>
      <c r="F111" s="40" t="n">
        <v>1</v>
      </c>
      <c r="G111" s="35" t="n">
        <v>1</v>
      </c>
    </row>
    <row r="112" customFormat="false" ht="15" hidden="false" customHeight="false" outlineLevel="0" collapsed="false">
      <c r="A112" s="21"/>
      <c r="B112" s="29"/>
      <c r="C112" s="29"/>
      <c r="D112" s="29" t="s">
        <v>34</v>
      </c>
      <c r="E112" s="40"/>
      <c r="F112" s="40" t="n">
        <v>1</v>
      </c>
      <c r="G112" s="35" t="n">
        <v>1</v>
      </c>
    </row>
    <row r="113" customFormat="false" ht="15" hidden="false" customHeight="false" outlineLevel="0" collapsed="false">
      <c r="A113" s="21"/>
      <c r="B113" s="29"/>
      <c r="C113" s="29"/>
      <c r="D113" s="29" t="s">
        <v>26</v>
      </c>
      <c r="E113" s="40"/>
      <c r="F113" s="40" t="n">
        <v>1</v>
      </c>
      <c r="G113" s="35" t="n">
        <v>1</v>
      </c>
    </row>
    <row r="114" customFormat="false" ht="15" hidden="false" customHeight="false" outlineLevel="0" collapsed="false">
      <c r="A114" s="21"/>
      <c r="B114" s="29"/>
      <c r="C114" s="29"/>
      <c r="D114" s="29" t="s">
        <v>27</v>
      </c>
      <c r="E114" s="40"/>
      <c r="F114" s="40" t="n">
        <v>1</v>
      </c>
      <c r="G114" s="35" t="n">
        <v>1</v>
      </c>
    </row>
    <row r="115" customFormat="false" ht="15" hidden="false" customHeight="false" outlineLevel="0" collapsed="false">
      <c r="A115" s="21"/>
      <c r="B115" s="29"/>
      <c r="C115" s="29"/>
      <c r="D115" s="29" t="s">
        <v>30</v>
      </c>
      <c r="E115" s="40"/>
      <c r="F115" s="40" t="n">
        <v>1</v>
      </c>
      <c r="G115" s="35" t="n">
        <v>1</v>
      </c>
    </row>
    <row r="116" customFormat="false" ht="15" hidden="false" customHeight="false" outlineLevel="0" collapsed="false">
      <c r="A116" s="21"/>
      <c r="B116" s="36"/>
      <c r="C116" s="36"/>
      <c r="D116" s="36" t="s">
        <v>28</v>
      </c>
      <c r="E116" s="41"/>
      <c r="F116" s="41" t="n">
        <v>1</v>
      </c>
      <c r="G116" s="39" t="n">
        <v>1</v>
      </c>
    </row>
    <row r="117" customFormat="false" ht="15" hidden="false" customHeight="false" outlineLevel="0" collapsed="false">
      <c r="A117" s="21"/>
      <c r="B117" s="28" t="s">
        <v>52</v>
      </c>
      <c r="C117" s="16"/>
      <c r="D117" s="17"/>
      <c r="E117" s="18"/>
      <c r="F117" s="19" t="n">
        <v>3</v>
      </c>
      <c r="G117" s="20" t="n">
        <v>3</v>
      </c>
    </row>
    <row r="118" customFormat="false" ht="15" hidden="false" customHeight="false" outlineLevel="0" collapsed="false">
      <c r="A118" s="21"/>
      <c r="B118" s="29"/>
      <c r="C118" s="28" t="s">
        <v>53</v>
      </c>
      <c r="D118" s="28"/>
      <c r="E118" s="27"/>
      <c r="F118" s="27" t="n">
        <v>3</v>
      </c>
      <c r="G118" s="32" t="n">
        <v>3</v>
      </c>
    </row>
    <row r="119" customFormat="false" ht="15" hidden="false" customHeight="false" outlineLevel="0" collapsed="false">
      <c r="A119" s="21"/>
      <c r="B119" s="29"/>
      <c r="C119" s="29"/>
      <c r="D119" s="29" t="s">
        <v>25</v>
      </c>
      <c r="E119" s="40"/>
      <c r="F119" s="40" t="n">
        <v>1</v>
      </c>
      <c r="G119" s="35" t="n">
        <v>1</v>
      </c>
    </row>
    <row r="120" customFormat="false" ht="15" hidden="false" customHeight="false" outlineLevel="0" collapsed="false">
      <c r="A120" s="21"/>
      <c r="B120" s="29"/>
      <c r="C120" s="29"/>
      <c r="D120" s="29" t="s">
        <v>27</v>
      </c>
      <c r="E120" s="40"/>
      <c r="F120" s="40" t="n">
        <v>1</v>
      </c>
      <c r="G120" s="35" t="n">
        <v>1</v>
      </c>
    </row>
    <row r="121" customFormat="false" ht="15" hidden="false" customHeight="false" outlineLevel="0" collapsed="false">
      <c r="A121" s="21"/>
      <c r="B121" s="36"/>
      <c r="C121" s="36"/>
      <c r="D121" s="36" t="s">
        <v>30</v>
      </c>
      <c r="E121" s="41"/>
      <c r="F121" s="41" t="n">
        <v>1</v>
      </c>
      <c r="G121" s="39" t="n">
        <v>1</v>
      </c>
    </row>
    <row r="122" customFormat="false" ht="15" hidden="false" customHeight="false" outlineLevel="0" collapsed="false">
      <c r="A122" s="21"/>
      <c r="B122" s="28" t="s">
        <v>54</v>
      </c>
      <c r="C122" s="16"/>
      <c r="D122" s="17"/>
      <c r="E122" s="18"/>
      <c r="F122" s="19" t="n">
        <v>22</v>
      </c>
      <c r="G122" s="20" t="n">
        <v>22</v>
      </c>
    </row>
    <row r="123" customFormat="false" ht="15" hidden="false" customHeight="false" outlineLevel="0" collapsed="false">
      <c r="A123" s="21"/>
      <c r="B123" s="29"/>
      <c r="C123" s="28" t="s">
        <v>53</v>
      </c>
      <c r="D123" s="28"/>
      <c r="E123" s="27"/>
      <c r="F123" s="27" t="n">
        <v>3</v>
      </c>
      <c r="G123" s="32" t="n">
        <v>3</v>
      </c>
    </row>
    <row r="124" customFormat="false" ht="15" hidden="false" customHeight="false" outlineLevel="0" collapsed="false">
      <c r="A124" s="21"/>
      <c r="B124" s="29"/>
      <c r="C124" s="29"/>
      <c r="D124" s="29" t="s">
        <v>25</v>
      </c>
      <c r="E124" s="40"/>
      <c r="F124" s="40" t="n">
        <v>1</v>
      </c>
      <c r="G124" s="35" t="n">
        <v>1</v>
      </c>
    </row>
    <row r="125" customFormat="false" ht="15" hidden="false" customHeight="false" outlineLevel="0" collapsed="false">
      <c r="A125" s="21"/>
      <c r="B125" s="29"/>
      <c r="C125" s="29"/>
      <c r="D125" s="29" t="s">
        <v>27</v>
      </c>
      <c r="E125" s="40"/>
      <c r="F125" s="40" t="n">
        <v>1</v>
      </c>
      <c r="G125" s="35" t="n">
        <v>1</v>
      </c>
    </row>
    <row r="126" customFormat="false" ht="15" hidden="false" customHeight="false" outlineLevel="0" collapsed="false">
      <c r="A126" s="21"/>
      <c r="B126" s="29"/>
      <c r="C126" s="36"/>
      <c r="D126" s="36" t="s">
        <v>30</v>
      </c>
      <c r="E126" s="41"/>
      <c r="F126" s="41" t="n">
        <v>1</v>
      </c>
      <c r="G126" s="39" t="n">
        <v>1</v>
      </c>
    </row>
    <row r="127" customFormat="false" ht="15" hidden="false" customHeight="false" outlineLevel="0" collapsed="false">
      <c r="A127" s="21"/>
      <c r="B127" s="29"/>
      <c r="C127" s="28" t="s">
        <v>55</v>
      </c>
      <c r="D127" s="28"/>
      <c r="E127" s="30"/>
      <c r="F127" s="31" t="n">
        <v>3</v>
      </c>
      <c r="G127" s="32" t="n">
        <v>3</v>
      </c>
    </row>
    <row r="128" customFormat="false" ht="15" hidden="false" customHeight="false" outlineLevel="0" collapsed="false">
      <c r="A128" s="21"/>
      <c r="B128" s="29"/>
      <c r="C128" s="29"/>
      <c r="D128" s="29" t="s">
        <v>25</v>
      </c>
      <c r="E128" s="33"/>
      <c r="F128" s="34" t="n">
        <v>1</v>
      </c>
      <c r="G128" s="35" t="n">
        <v>1</v>
      </c>
    </row>
    <row r="129" customFormat="false" ht="15" hidden="false" customHeight="false" outlineLevel="0" collapsed="false">
      <c r="A129" s="21"/>
      <c r="B129" s="29"/>
      <c r="C129" s="29"/>
      <c r="D129" s="29" t="s">
        <v>27</v>
      </c>
      <c r="E129" s="33"/>
      <c r="F129" s="34" t="n">
        <v>1</v>
      </c>
      <c r="G129" s="35" t="n">
        <v>1</v>
      </c>
    </row>
    <row r="130" customFormat="false" ht="15" hidden="false" customHeight="false" outlineLevel="0" collapsed="false">
      <c r="A130" s="21"/>
      <c r="B130" s="29"/>
      <c r="C130" s="36"/>
      <c r="D130" s="36" t="s">
        <v>30</v>
      </c>
      <c r="E130" s="37"/>
      <c r="F130" s="38" t="n">
        <v>1</v>
      </c>
      <c r="G130" s="39" t="n">
        <v>1</v>
      </c>
    </row>
    <row r="131" customFormat="false" ht="15" hidden="false" customHeight="false" outlineLevel="0" collapsed="false">
      <c r="A131" s="21"/>
      <c r="B131" s="29"/>
      <c r="C131" s="28" t="s">
        <v>56</v>
      </c>
      <c r="D131" s="28"/>
      <c r="E131" s="27"/>
      <c r="F131" s="27" t="n">
        <v>5</v>
      </c>
      <c r="G131" s="32" t="n">
        <v>5</v>
      </c>
    </row>
    <row r="132" customFormat="false" ht="15" hidden="false" customHeight="false" outlineLevel="0" collapsed="false">
      <c r="A132" s="21"/>
      <c r="B132" s="29"/>
      <c r="C132" s="29"/>
      <c r="D132" s="29" t="s">
        <v>25</v>
      </c>
      <c r="E132" s="40"/>
      <c r="F132" s="40" t="n">
        <v>1</v>
      </c>
      <c r="G132" s="35" t="n">
        <v>1</v>
      </c>
    </row>
    <row r="133" customFormat="false" ht="15" hidden="false" customHeight="false" outlineLevel="0" collapsed="false">
      <c r="A133" s="21"/>
      <c r="B133" s="29"/>
      <c r="C133" s="29"/>
      <c r="D133" s="29" t="s">
        <v>27</v>
      </c>
      <c r="E133" s="40"/>
      <c r="F133" s="40" t="n">
        <v>1</v>
      </c>
      <c r="G133" s="35" t="n">
        <v>1</v>
      </c>
    </row>
    <row r="134" customFormat="false" ht="15" hidden="false" customHeight="false" outlineLevel="0" collapsed="false">
      <c r="A134" s="21"/>
      <c r="B134" s="29"/>
      <c r="C134" s="29"/>
      <c r="D134" s="29" t="s">
        <v>30</v>
      </c>
      <c r="E134" s="40"/>
      <c r="F134" s="40" t="n">
        <v>2</v>
      </c>
      <c r="G134" s="35" t="n">
        <v>2</v>
      </c>
    </row>
    <row r="135" customFormat="false" ht="15" hidden="false" customHeight="false" outlineLevel="0" collapsed="false">
      <c r="A135" s="21"/>
      <c r="B135" s="29"/>
      <c r="C135" s="36"/>
      <c r="D135" s="36" t="s">
        <v>28</v>
      </c>
      <c r="E135" s="41"/>
      <c r="F135" s="41" t="n">
        <v>1</v>
      </c>
      <c r="G135" s="39" t="n">
        <v>1</v>
      </c>
    </row>
    <row r="136" customFormat="false" ht="15" hidden="false" customHeight="false" outlineLevel="0" collapsed="false">
      <c r="A136" s="21"/>
      <c r="B136" s="29"/>
      <c r="C136" s="28" t="s">
        <v>57</v>
      </c>
      <c r="D136" s="28"/>
      <c r="E136" s="30"/>
      <c r="F136" s="31" t="n">
        <v>11</v>
      </c>
      <c r="G136" s="32" t="n">
        <v>11</v>
      </c>
    </row>
    <row r="137" customFormat="false" ht="15" hidden="false" customHeight="false" outlineLevel="0" collapsed="false">
      <c r="A137" s="21"/>
      <c r="B137" s="29"/>
      <c r="C137" s="29"/>
      <c r="D137" s="29" t="s">
        <v>25</v>
      </c>
      <c r="E137" s="33"/>
      <c r="F137" s="34" t="n">
        <v>1</v>
      </c>
      <c r="G137" s="35" t="n">
        <v>1</v>
      </c>
    </row>
    <row r="138" customFormat="false" ht="15" hidden="false" customHeight="false" outlineLevel="0" collapsed="false">
      <c r="A138" s="21"/>
      <c r="B138" s="29"/>
      <c r="C138" s="29"/>
      <c r="D138" s="29" t="s">
        <v>34</v>
      </c>
      <c r="E138" s="33"/>
      <c r="F138" s="34" t="n">
        <v>1</v>
      </c>
      <c r="G138" s="35" t="n">
        <v>1</v>
      </c>
    </row>
    <row r="139" customFormat="false" ht="15" hidden="false" customHeight="false" outlineLevel="0" collapsed="false">
      <c r="A139" s="21"/>
      <c r="B139" s="29"/>
      <c r="C139" s="29"/>
      <c r="D139" s="29" t="s">
        <v>26</v>
      </c>
      <c r="E139" s="33"/>
      <c r="F139" s="34" t="n">
        <v>1</v>
      </c>
      <c r="G139" s="35" t="n">
        <v>1</v>
      </c>
    </row>
    <row r="140" customFormat="false" ht="15" hidden="false" customHeight="false" outlineLevel="0" collapsed="false">
      <c r="A140" s="21"/>
      <c r="B140" s="29"/>
      <c r="C140" s="29"/>
      <c r="D140" s="29" t="s">
        <v>27</v>
      </c>
      <c r="E140" s="33"/>
      <c r="F140" s="34" t="n">
        <v>1</v>
      </c>
      <c r="G140" s="35" t="n">
        <v>1</v>
      </c>
    </row>
    <row r="141" customFormat="false" ht="15" hidden="false" customHeight="false" outlineLevel="0" collapsed="false">
      <c r="A141" s="21"/>
      <c r="B141" s="29"/>
      <c r="C141" s="29"/>
      <c r="D141" s="29" t="s">
        <v>30</v>
      </c>
      <c r="E141" s="33"/>
      <c r="F141" s="34" t="n">
        <v>2</v>
      </c>
      <c r="G141" s="35" t="n">
        <v>2</v>
      </c>
    </row>
    <row r="142" customFormat="false" ht="15" hidden="false" customHeight="false" outlineLevel="0" collapsed="false">
      <c r="A142" s="21"/>
      <c r="B142" s="29"/>
      <c r="C142" s="29"/>
      <c r="D142" s="29" t="s">
        <v>32</v>
      </c>
      <c r="E142" s="33"/>
      <c r="F142" s="34" t="n">
        <v>1</v>
      </c>
      <c r="G142" s="35" t="n">
        <v>1</v>
      </c>
    </row>
    <row r="143" customFormat="false" ht="15" hidden="false" customHeight="false" outlineLevel="0" collapsed="false">
      <c r="A143" s="21"/>
      <c r="B143" s="36"/>
      <c r="C143" s="36"/>
      <c r="D143" s="36" t="s">
        <v>28</v>
      </c>
      <c r="E143" s="37"/>
      <c r="F143" s="38" t="n">
        <v>4</v>
      </c>
      <c r="G143" s="39" t="n">
        <v>4</v>
      </c>
    </row>
    <row r="144" customFormat="false" ht="15" hidden="false" customHeight="false" outlineLevel="0" collapsed="false">
      <c r="A144" s="21"/>
      <c r="B144" s="28" t="s">
        <v>58</v>
      </c>
      <c r="C144" s="16"/>
      <c r="D144" s="17"/>
      <c r="E144" s="27"/>
      <c r="F144" s="27" t="n">
        <v>5</v>
      </c>
      <c r="G144" s="20" t="n">
        <v>5</v>
      </c>
    </row>
    <row r="145" customFormat="false" ht="15" hidden="false" customHeight="false" outlineLevel="0" collapsed="false">
      <c r="A145" s="21"/>
      <c r="B145" s="29"/>
      <c r="C145" s="28" t="s">
        <v>59</v>
      </c>
      <c r="D145" s="28"/>
      <c r="E145" s="30"/>
      <c r="F145" s="31" t="n">
        <v>5</v>
      </c>
      <c r="G145" s="32" t="n">
        <v>5</v>
      </c>
    </row>
    <row r="146" customFormat="false" ht="15" hidden="false" customHeight="false" outlineLevel="0" collapsed="false">
      <c r="A146" s="21"/>
      <c r="B146" s="29"/>
      <c r="C146" s="29"/>
      <c r="D146" s="29" t="s">
        <v>25</v>
      </c>
      <c r="E146" s="33"/>
      <c r="F146" s="34" t="n">
        <v>1</v>
      </c>
      <c r="G146" s="35" t="n">
        <v>1</v>
      </c>
    </row>
    <row r="147" customFormat="false" ht="15" hidden="false" customHeight="false" outlineLevel="0" collapsed="false">
      <c r="A147" s="21"/>
      <c r="B147" s="29"/>
      <c r="C147" s="29"/>
      <c r="D147" s="29" t="s">
        <v>27</v>
      </c>
      <c r="E147" s="33"/>
      <c r="F147" s="34" t="n">
        <v>1</v>
      </c>
      <c r="G147" s="35" t="n">
        <v>1</v>
      </c>
    </row>
    <row r="148" customFormat="false" ht="15" hidden="false" customHeight="false" outlineLevel="0" collapsed="false">
      <c r="A148" s="21"/>
      <c r="B148" s="29"/>
      <c r="C148" s="29"/>
      <c r="D148" s="29" t="s">
        <v>30</v>
      </c>
      <c r="E148" s="33"/>
      <c r="F148" s="34" t="n">
        <v>1</v>
      </c>
      <c r="G148" s="35" t="n">
        <v>1</v>
      </c>
    </row>
    <row r="149" customFormat="false" ht="15" hidden="false" customHeight="false" outlineLevel="0" collapsed="false">
      <c r="A149" s="21"/>
      <c r="B149" s="36"/>
      <c r="C149" s="36"/>
      <c r="D149" s="36" t="s">
        <v>28</v>
      </c>
      <c r="E149" s="37"/>
      <c r="F149" s="38" t="n">
        <v>2</v>
      </c>
      <c r="G149" s="39" t="n">
        <v>2</v>
      </c>
    </row>
    <row r="150" customFormat="false" ht="15" hidden="false" customHeight="false" outlineLevel="0" collapsed="false">
      <c r="A150" s="21"/>
      <c r="B150" s="28" t="s">
        <v>60</v>
      </c>
      <c r="C150" s="16"/>
      <c r="D150" s="17"/>
      <c r="E150" s="27"/>
      <c r="F150" s="27" t="n">
        <v>45</v>
      </c>
      <c r="G150" s="20" t="n">
        <v>45</v>
      </c>
    </row>
    <row r="151" customFormat="false" ht="15" hidden="false" customHeight="false" outlineLevel="0" collapsed="false">
      <c r="A151" s="21"/>
      <c r="B151" s="29"/>
      <c r="C151" s="28" t="s">
        <v>51</v>
      </c>
      <c r="D151" s="28"/>
      <c r="E151" s="30"/>
      <c r="F151" s="31" t="n">
        <v>6</v>
      </c>
      <c r="G151" s="32" t="n">
        <v>6</v>
      </c>
    </row>
    <row r="152" customFormat="false" ht="15" hidden="false" customHeight="false" outlineLevel="0" collapsed="false">
      <c r="A152" s="21"/>
      <c r="B152" s="29"/>
      <c r="C152" s="29"/>
      <c r="D152" s="29" t="s">
        <v>25</v>
      </c>
      <c r="E152" s="33"/>
      <c r="F152" s="34" t="n">
        <v>1</v>
      </c>
      <c r="G152" s="35" t="n">
        <v>1</v>
      </c>
    </row>
    <row r="153" customFormat="false" ht="15" hidden="false" customHeight="false" outlineLevel="0" collapsed="false">
      <c r="A153" s="21"/>
      <c r="B153" s="29"/>
      <c r="C153" s="29"/>
      <c r="D153" s="29" t="s">
        <v>34</v>
      </c>
      <c r="E153" s="33"/>
      <c r="F153" s="34" t="n">
        <v>1</v>
      </c>
      <c r="G153" s="35" t="n">
        <v>1</v>
      </c>
    </row>
    <row r="154" customFormat="false" ht="15" hidden="false" customHeight="false" outlineLevel="0" collapsed="false">
      <c r="A154" s="21"/>
      <c r="B154" s="29"/>
      <c r="C154" s="29"/>
      <c r="D154" s="29" t="s">
        <v>26</v>
      </c>
      <c r="E154" s="33"/>
      <c r="F154" s="34" t="n">
        <v>1</v>
      </c>
      <c r="G154" s="35" t="n">
        <v>1</v>
      </c>
    </row>
    <row r="155" customFormat="false" ht="15" hidden="false" customHeight="false" outlineLevel="0" collapsed="false">
      <c r="A155" s="21"/>
      <c r="B155" s="29"/>
      <c r="C155" s="29"/>
      <c r="D155" s="29" t="s">
        <v>27</v>
      </c>
      <c r="E155" s="33"/>
      <c r="F155" s="34" t="n">
        <v>1</v>
      </c>
      <c r="G155" s="35" t="n">
        <v>1</v>
      </c>
    </row>
    <row r="156" customFormat="false" ht="15" hidden="false" customHeight="false" outlineLevel="0" collapsed="false">
      <c r="A156" s="21"/>
      <c r="B156" s="29"/>
      <c r="C156" s="29"/>
      <c r="D156" s="29" t="s">
        <v>30</v>
      </c>
      <c r="E156" s="33"/>
      <c r="F156" s="34" t="n">
        <v>1</v>
      </c>
      <c r="G156" s="35" t="n">
        <v>1</v>
      </c>
    </row>
    <row r="157" customFormat="false" ht="15" hidden="false" customHeight="false" outlineLevel="0" collapsed="false">
      <c r="A157" s="21"/>
      <c r="B157" s="29"/>
      <c r="C157" s="36"/>
      <c r="D157" s="36" t="s">
        <v>28</v>
      </c>
      <c r="E157" s="37"/>
      <c r="F157" s="38" t="n">
        <v>1</v>
      </c>
      <c r="G157" s="39" t="n">
        <v>1</v>
      </c>
    </row>
    <row r="158" customFormat="false" ht="15" hidden="false" customHeight="false" outlineLevel="0" collapsed="false">
      <c r="A158" s="21"/>
      <c r="B158" s="29"/>
      <c r="C158" s="28" t="s">
        <v>61</v>
      </c>
      <c r="D158" s="28"/>
      <c r="E158" s="27"/>
      <c r="F158" s="27" t="n">
        <v>6</v>
      </c>
      <c r="G158" s="32" t="n">
        <v>6</v>
      </c>
    </row>
    <row r="159" customFormat="false" ht="15" hidden="false" customHeight="false" outlineLevel="0" collapsed="false">
      <c r="A159" s="21"/>
      <c r="B159" s="29"/>
      <c r="C159" s="29"/>
      <c r="D159" s="29" t="s">
        <v>25</v>
      </c>
      <c r="E159" s="40"/>
      <c r="F159" s="40" t="n">
        <v>1</v>
      </c>
      <c r="G159" s="35" t="n">
        <v>1</v>
      </c>
    </row>
    <row r="160" customFormat="false" ht="15" hidden="false" customHeight="false" outlineLevel="0" collapsed="false">
      <c r="A160" s="21"/>
      <c r="B160" s="29"/>
      <c r="C160" s="29"/>
      <c r="D160" s="29" t="s">
        <v>34</v>
      </c>
      <c r="E160" s="40"/>
      <c r="F160" s="40" t="n">
        <v>1</v>
      </c>
      <c r="G160" s="35" t="n">
        <v>1</v>
      </c>
    </row>
    <row r="161" customFormat="false" ht="15" hidden="false" customHeight="false" outlineLevel="0" collapsed="false">
      <c r="A161" s="21"/>
      <c r="B161" s="29"/>
      <c r="C161" s="29"/>
      <c r="D161" s="29" t="s">
        <v>26</v>
      </c>
      <c r="E161" s="40"/>
      <c r="F161" s="40" t="n">
        <v>1</v>
      </c>
      <c r="G161" s="35" t="n">
        <v>1</v>
      </c>
    </row>
    <row r="162" customFormat="false" ht="15" hidden="false" customHeight="false" outlineLevel="0" collapsed="false">
      <c r="A162" s="21"/>
      <c r="B162" s="29"/>
      <c r="C162" s="29"/>
      <c r="D162" s="29" t="s">
        <v>27</v>
      </c>
      <c r="E162" s="40"/>
      <c r="F162" s="40" t="n">
        <v>1</v>
      </c>
      <c r="G162" s="35" t="n">
        <v>1</v>
      </c>
    </row>
    <row r="163" customFormat="false" ht="15" hidden="false" customHeight="false" outlineLevel="0" collapsed="false">
      <c r="A163" s="21"/>
      <c r="B163" s="29"/>
      <c r="C163" s="29"/>
      <c r="D163" s="29" t="s">
        <v>30</v>
      </c>
      <c r="E163" s="40"/>
      <c r="F163" s="40" t="n">
        <v>1</v>
      </c>
      <c r="G163" s="35" t="n">
        <v>1</v>
      </c>
    </row>
    <row r="164" customFormat="false" ht="15" hidden="false" customHeight="false" outlineLevel="0" collapsed="false">
      <c r="A164" s="21"/>
      <c r="B164" s="29"/>
      <c r="C164" s="36"/>
      <c r="D164" s="36" t="s">
        <v>28</v>
      </c>
      <c r="E164" s="41"/>
      <c r="F164" s="41" t="n">
        <v>1</v>
      </c>
      <c r="G164" s="39" t="n">
        <v>1</v>
      </c>
    </row>
    <row r="165" customFormat="false" ht="15" hidden="false" customHeight="false" outlineLevel="0" collapsed="false">
      <c r="A165" s="21"/>
      <c r="B165" s="29"/>
      <c r="C165" s="28" t="s">
        <v>62</v>
      </c>
      <c r="D165" s="28"/>
      <c r="E165" s="30"/>
      <c r="F165" s="31" t="n">
        <v>6</v>
      </c>
      <c r="G165" s="32" t="n">
        <v>6</v>
      </c>
    </row>
    <row r="166" customFormat="false" ht="15" hidden="false" customHeight="false" outlineLevel="0" collapsed="false">
      <c r="A166" s="21"/>
      <c r="B166" s="29"/>
      <c r="C166" s="29"/>
      <c r="D166" s="29" t="s">
        <v>25</v>
      </c>
      <c r="E166" s="33"/>
      <c r="F166" s="34" t="n">
        <v>1</v>
      </c>
      <c r="G166" s="35" t="n">
        <v>1</v>
      </c>
    </row>
    <row r="167" customFormat="false" ht="15" hidden="false" customHeight="false" outlineLevel="0" collapsed="false">
      <c r="A167" s="21"/>
      <c r="B167" s="29"/>
      <c r="C167" s="29"/>
      <c r="D167" s="29" t="s">
        <v>34</v>
      </c>
      <c r="E167" s="33"/>
      <c r="F167" s="34" t="n">
        <v>1</v>
      </c>
      <c r="G167" s="35" t="n">
        <v>1</v>
      </c>
    </row>
    <row r="168" customFormat="false" ht="15" hidden="false" customHeight="false" outlineLevel="0" collapsed="false">
      <c r="A168" s="21"/>
      <c r="B168" s="29"/>
      <c r="C168" s="29"/>
      <c r="D168" s="29" t="s">
        <v>26</v>
      </c>
      <c r="E168" s="33"/>
      <c r="F168" s="34" t="n">
        <v>2</v>
      </c>
      <c r="G168" s="35" t="n">
        <v>2</v>
      </c>
    </row>
    <row r="169" customFormat="false" ht="15" hidden="false" customHeight="false" outlineLevel="0" collapsed="false">
      <c r="A169" s="21"/>
      <c r="B169" s="29"/>
      <c r="C169" s="29"/>
      <c r="D169" s="29" t="s">
        <v>27</v>
      </c>
      <c r="E169" s="33"/>
      <c r="F169" s="34" t="n">
        <v>1</v>
      </c>
      <c r="G169" s="35" t="n">
        <v>1</v>
      </c>
    </row>
    <row r="170" customFormat="false" ht="15" hidden="false" customHeight="false" outlineLevel="0" collapsed="false">
      <c r="A170" s="21"/>
      <c r="B170" s="29"/>
      <c r="C170" s="36"/>
      <c r="D170" s="36" t="s">
        <v>30</v>
      </c>
      <c r="E170" s="37"/>
      <c r="F170" s="38" t="n">
        <v>1</v>
      </c>
      <c r="G170" s="39" t="n">
        <v>1</v>
      </c>
    </row>
    <row r="171" customFormat="false" ht="15" hidden="false" customHeight="false" outlineLevel="0" collapsed="false">
      <c r="A171" s="21"/>
      <c r="B171" s="29"/>
      <c r="C171" s="28" t="s">
        <v>63</v>
      </c>
      <c r="D171" s="28"/>
      <c r="E171" s="27"/>
      <c r="F171" s="27" t="n">
        <v>6</v>
      </c>
      <c r="G171" s="32" t="n">
        <v>6</v>
      </c>
    </row>
    <row r="172" customFormat="false" ht="15" hidden="false" customHeight="false" outlineLevel="0" collapsed="false">
      <c r="A172" s="21"/>
      <c r="B172" s="29"/>
      <c r="C172" s="29"/>
      <c r="D172" s="29" t="s">
        <v>25</v>
      </c>
      <c r="E172" s="40"/>
      <c r="F172" s="40" t="n">
        <v>1</v>
      </c>
      <c r="G172" s="35" t="n">
        <v>1</v>
      </c>
    </row>
    <row r="173" customFormat="false" ht="15" hidden="false" customHeight="false" outlineLevel="0" collapsed="false">
      <c r="A173" s="21"/>
      <c r="B173" s="29"/>
      <c r="C173" s="29"/>
      <c r="D173" s="29" t="s">
        <v>34</v>
      </c>
      <c r="E173" s="40"/>
      <c r="F173" s="40" t="n">
        <v>1</v>
      </c>
      <c r="G173" s="35" t="n">
        <v>1</v>
      </c>
    </row>
    <row r="174" customFormat="false" ht="15" hidden="false" customHeight="false" outlineLevel="0" collapsed="false">
      <c r="A174" s="21"/>
      <c r="B174" s="29"/>
      <c r="C174" s="29"/>
      <c r="D174" s="29" t="s">
        <v>50</v>
      </c>
      <c r="E174" s="40"/>
      <c r="F174" s="40" t="n">
        <v>1</v>
      </c>
      <c r="G174" s="35" t="n">
        <v>1</v>
      </c>
    </row>
    <row r="175" customFormat="false" ht="15" hidden="false" customHeight="false" outlineLevel="0" collapsed="false">
      <c r="A175" s="21"/>
      <c r="B175" s="29"/>
      <c r="C175" s="29"/>
      <c r="D175" s="29" t="s">
        <v>26</v>
      </c>
      <c r="E175" s="40"/>
      <c r="F175" s="40" t="n">
        <v>1</v>
      </c>
      <c r="G175" s="35" t="n">
        <v>1</v>
      </c>
    </row>
    <row r="176" customFormat="false" ht="15" hidden="false" customHeight="false" outlineLevel="0" collapsed="false">
      <c r="A176" s="21"/>
      <c r="B176" s="29"/>
      <c r="C176" s="29"/>
      <c r="D176" s="29" t="s">
        <v>27</v>
      </c>
      <c r="E176" s="40"/>
      <c r="F176" s="40" t="n">
        <v>1</v>
      </c>
      <c r="G176" s="35" t="n">
        <v>1</v>
      </c>
    </row>
    <row r="177" customFormat="false" ht="15" hidden="false" customHeight="false" outlineLevel="0" collapsed="false">
      <c r="A177" s="21"/>
      <c r="B177" s="29"/>
      <c r="C177" s="36"/>
      <c r="D177" s="36" t="s">
        <v>30</v>
      </c>
      <c r="E177" s="41"/>
      <c r="F177" s="41" t="n">
        <v>1</v>
      </c>
      <c r="G177" s="39" t="n">
        <v>1</v>
      </c>
    </row>
    <row r="178" customFormat="false" ht="15" hidden="false" customHeight="false" outlineLevel="0" collapsed="false">
      <c r="A178" s="21"/>
      <c r="B178" s="29"/>
      <c r="C178" s="28" t="s">
        <v>64</v>
      </c>
      <c r="D178" s="28"/>
      <c r="E178" s="30"/>
      <c r="F178" s="31" t="n">
        <v>4</v>
      </c>
      <c r="G178" s="32" t="n">
        <v>4</v>
      </c>
    </row>
    <row r="179" customFormat="false" ht="15" hidden="false" customHeight="false" outlineLevel="0" collapsed="false">
      <c r="A179" s="21"/>
      <c r="B179" s="29"/>
      <c r="C179" s="29"/>
      <c r="D179" s="29" t="s">
        <v>25</v>
      </c>
      <c r="E179" s="33"/>
      <c r="F179" s="34" t="n">
        <v>1</v>
      </c>
      <c r="G179" s="35" t="n">
        <v>1</v>
      </c>
    </row>
    <row r="180" customFormat="false" ht="15" hidden="false" customHeight="false" outlineLevel="0" collapsed="false">
      <c r="A180" s="21"/>
      <c r="B180" s="29"/>
      <c r="C180" s="29"/>
      <c r="D180" s="29" t="s">
        <v>34</v>
      </c>
      <c r="E180" s="33"/>
      <c r="F180" s="34" t="n">
        <v>1</v>
      </c>
      <c r="G180" s="35" t="n">
        <v>1</v>
      </c>
    </row>
    <row r="181" customFormat="false" ht="15" hidden="false" customHeight="false" outlineLevel="0" collapsed="false">
      <c r="A181" s="21"/>
      <c r="B181" s="29"/>
      <c r="C181" s="29"/>
      <c r="D181" s="29" t="s">
        <v>27</v>
      </c>
      <c r="E181" s="33"/>
      <c r="F181" s="34" t="n">
        <v>1</v>
      </c>
      <c r="G181" s="35" t="n">
        <v>1</v>
      </c>
    </row>
    <row r="182" customFormat="false" ht="15" hidden="false" customHeight="false" outlineLevel="0" collapsed="false">
      <c r="A182" s="21"/>
      <c r="B182" s="29"/>
      <c r="C182" s="36"/>
      <c r="D182" s="36" t="s">
        <v>30</v>
      </c>
      <c r="E182" s="37"/>
      <c r="F182" s="38" t="n">
        <v>1</v>
      </c>
      <c r="G182" s="39" t="n">
        <v>1</v>
      </c>
    </row>
    <row r="183" customFormat="false" ht="15" hidden="false" customHeight="false" outlineLevel="0" collapsed="false">
      <c r="A183" s="21"/>
      <c r="B183" s="29"/>
      <c r="C183" s="28" t="s">
        <v>65</v>
      </c>
      <c r="D183" s="28"/>
      <c r="E183" s="27"/>
      <c r="F183" s="27" t="n">
        <v>8</v>
      </c>
      <c r="G183" s="32" t="n">
        <v>8</v>
      </c>
    </row>
    <row r="184" customFormat="false" ht="15" hidden="false" customHeight="false" outlineLevel="0" collapsed="false">
      <c r="A184" s="21"/>
      <c r="B184" s="29"/>
      <c r="C184" s="29"/>
      <c r="D184" s="29" t="s">
        <v>25</v>
      </c>
      <c r="E184" s="40"/>
      <c r="F184" s="40" t="n">
        <v>1</v>
      </c>
      <c r="G184" s="35" t="n">
        <v>1</v>
      </c>
    </row>
    <row r="185" customFormat="false" ht="15" hidden="false" customHeight="false" outlineLevel="0" collapsed="false">
      <c r="A185" s="21"/>
      <c r="B185" s="29"/>
      <c r="C185" s="29"/>
      <c r="D185" s="29" t="s">
        <v>34</v>
      </c>
      <c r="E185" s="40"/>
      <c r="F185" s="40" t="n">
        <v>1</v>
      </c>
      <c r="G185" s="35" t="n">
        <v>1</v>
      </c>
    </row>
    <row r="186" customFormat="false" ht="15" hidden="false" customHeight="false" outlineLevel="0" collapsed="false">
      <c r="A186" s="21"/>
      <c r="B186" s="29"/>
      <c r="C186" s="29"/>
      <c r="D186" s="29" t="s">
        <v>50</v>
      </c>
      <c r="E186" s="40"/>
      <c r="F186" s="40" t="n">
        <v>1</v>
      </c>
      <c r="G186" s="35" t="n">
        <v>1</v>
      </c>
    </row>
    <row r="187" customFormat="false" ht="15" hidden="false" customHeight="false" outlineLevel="0" collapsed="false">
      <c r="A187" s="21"/>
      <c r="B187" s="29"/>
      <c r="C187" s="29"/>
      <c r="D187" s="29" t="s">
        <v>26</v>
      </c>
      <c r="E187" s="40"/>
      <c r="F187" s="40" t="n">
        <v>1</v>
      </c>
      <c r="G187" s="35" t="n">
        <v>1</v>
      </c>
    </row>
    <row r="188" customFormat="false" ht="15" hidden="false" customHeight="false" outlineLevel="0" collapsed="false">
      <c r="A188" s="21"/>
      <c r="B188" s="29"/>
      <c r="C188" s="29"/>
      <c r="D188" s="29" t="s">
        <v>27</v>
      </c>
      <c r="E188" s="40"/>
      <c r="F188" s="40" t="n">
        <v>1</v>
      </c>
      <c r="G188" s="35" t="n">
        <v>1</v>
      </c>
    </row>
    <row r="189" customFormat="false" ht="15" hidden="false" customHeight="false" outlineLevel="0" collapsed="false">
      <c r="A189" s="21"/>
      <c r="B189" s="29"/>
      <c r="C189" s="29"/>
      <c r="D189" s="29" t="s">
        <v>30</v>
      </c>
      <c r="E189" s="40"/>
      <c r="F189" s="40" t="n">
        <v>1</v>
      </c>
      <c r="G189" s="35" t="n">
        <v>1</v>
      </c>
    </row>
    <row r="190" customFormat="false" ht="15" hidden="false" customHeight="false" outlineLevel="0" collapsed="false">
      <c r="A190" s="21"/>
      <c r="B190" s="29"/>
      <c r="C190" s="36"/>
      <c r="D190" s="36" t="s">
        <v>32</v>
      </c>
      <c r="E190" s="41"/>
      <c r="F190" s="41" t="n">
        <v>2</v>
      </c>
      <c r="G190" s="39" t="n">
        <v>2</v>
      </c>
    </row>
    <row r="191" customFormat="false" ht="15" hidden="false" customHeight="false" outlineLevel="0" collapsed="false">
      <c r="A191" s="21"/>
      <c r="B191" s="29"/>
      <c r="C191" s="28" t="s">
        <v>66</v>
      </c>
      <c r="D191" s="28"/>
      <c r="E191" s="30"/>
      <c r="F191" s="31" t="n">
        <v>9</v>
      </c>
      <c r="G191" s="32" t="n">
        <v>9</v>
      </c>
    </row>
    <row r="192" customFormat="false" ht="15" hidden="false" customHeight="false" outlineLevel="0" collapsed="false">
      <c r="A192" s="21"/>
      <c r="B192" s="29"/>
      <c r="C192" s="29"/>
      <c r="D192" s="29" t="s">
        <v>25</v>
      </c>
      <c r="E192" s="33"/>
      <c r="F192" s="34" t="n">
        <v>1</v>
      </c>
      <c r="G192" s="35" t="n">
        <v>1</v>
      </c>
    </row>
    <row r="193" customFormat="false" ht="15" hidden="false" customHeight="false" outlineLevel="0" collapsed="false">
      <c r="A193" s="21"/>
      <c r="B193" s="29"/>
      <c r="C193" s="29"/>
      <c r="D193" s="29" t="s">
        <v>50</v>
      </c>
      <c r="E193" s="33"/>
      <c r="F193" s="34" t="n">
        <v>1</v>
      </c>
      <c r="G193" s="35" t="n">
        <v>1</v>
      </c>
    </row>
    <row r="194" customFormat="false" ht="15" hidden="false" customHeight="false" outlineLevel="0" collapsed="false">
      <c r="A194" s="21"/>
      <c r="B194" s="29"/>
      <c r="C194" s="29"/>
      <c r="D194" s="29" t="s">
        <v>27</v>
      </c>
      <c r="E194" s="33"/>
      <c r="F194" s="34" t="n">
        <v>1</v>
      </c>
      <c r="G194" s="35" t="n">
        <v>1</v>
      </c>
    </row>
    <row r="195" customFormat="false" ht="15" hidden="false" customHeight="false" outlineLevel="0" collapsed="false">
      <c r="A195" s="21"/>
      <c r="B195" s="29"/>
      <c r="C195" s="29"/>
      <c r="D195" s="29" t="s">
        <v>30</v>
      </c>
      <c r="E195" s="33"/>
      <c r="F195" s="34" t="n">
        <v>1</v>
      </c>
      <c r="G195" s="35" t="n">
        <v>1</v>
      </c>
    </row>
    <row r="196" customFormat="false" ht="15" hidden="false" customHeight="false" outlineLevel="0" collapsed="false">
      <c r="A196" s="21"/>
      <c r="B196" s="29"/>
      <c r="C196" s="29"/>
      <c r="D196" s="29" t="s">
        <v>32</v>
      </c>
      <c r="E196" s="33"/>
      <c r="F196" s="34" t="n">
        <v>2</v>
      </c>
      <c r="G196" s="35" t="n">
        <v>2</v>
      </c>
    </row>
    <row r="197" customFormat="false" ht="15" hidden="false" customHeight="false" outlineLevel="0" collapsed="false">
      <c r="A197" s="21"/>
      <c r="B197" s="36"/>
      <c r="C197" s="36"/>
      <c r="D197" s="36" t="s">
        <v>28</v>
      </c>
      <c r="E197" s="37"/>
      <c r="F197" s="38" t="n">
        <v>3</v>
      </c>
      <c r="G197" s="39" t="n">
        <v>3</v>
      </c>
    </row>
    <row r="198" customFormat="false" ht="15" hidden="false" customHeight="false" outlineLevel="0" collapsed="false">
      <c r="A198" s="21"/>
      <c r="B198" s="28" t="s">
        <v>67</v>
      </c>
      <c r="C198" s="16"/>
      <c r="D198" s="17"/>
      <c r="E198" s="27"/>
      <c r="F198" s="27" t="n">
        <v>31</v>
      </c>
      <c r="G198" s="20" t="n">
        <v>31</v>
      </c>
    </row>
    <row r="199" customFormat="false" ht="15" hidden="false" customHeight="false" outlineLevel="0" collapsed="false">
      <c r="A199" s="21"/>
      <c r="B199" s="29"/>
      <c r="C199" s="28" t="s">
        <v>68</v>
      </c>
      <c r="D199" s="28"/>
      <c r="E199" s="30"/>
      <c r="F199" s="31" t="n">
        <v>4</v>
      </c>
      <c r="G199" s="32" t="n">
        <v>4</v>
      </c>
    </row>
    <row r="200" customFormat="false" ht="15" hidden="false" customHeight="false" outlineLevel="0" collapsed="false">
      <c r="A200" s="21"/>
      <c r="B200" s="29"/>
      <c r="C200" s="29"/>
      <c r="D200" s="29" t="s">
        <v>25</v>
      </c>
      <c r="E200" s="33"/>
      <c r="F200" s="34" t="n">
        <v>1</v>
      </c>
      <c r="G200" s="35" t="n">
        <v>1</v>
      </c>
    </row>
    <row r="201" customFormat="false" ht="15" hidden="false" customHeight="false" outlineLevel="0" collapsed="false">
      <c r="A201" s="21"/>
      <c r="B201" s="29"/>
      <c r="C201" s="29"/>
      <c r="D201" s="29" t="s">
        <v>27</v>
      </c>
      <c r="E201" s="33"/>
      <c r="F201" s="34" t="n">
        <v>1</v>
      </c>
      <c r="G201" s="35" t="n">
        <v>1</v>
      </c>
    </row>
    <row r="202" customFormat="false" ht="15" hidden="false" customHeight="false" outlineLevel="0" collapsed="false">
      <c r="A202" s="21"/>
      <c r="B202" s="29"/>
      <c r="C202" s="29"/>
      <c r="D202" s="29" t="s">
        <v>30</v>
      </c>
      <c r="E202" s="33"/>
      <c r="F202" s="34" t="n">
        <v>1</v>
      </c>
      <c r="G202" s="35" t="n">
        <v>1</v>
      </c>
    </row>
    <row r="203" customFormat="false" ht="15" hidden="false" customHeight="false" outlineLevel="0" collapsed="false">
      <c r="A203" s="21"/>
      <c r="B203" s="29"/>
      <c r="C203" s="36"/>
      <c r="D203" s="36" t="s">
        <v>28</v>
      </c>
      <c r="E203" s="37"/>
      <c r="F203" s="38" t="n">
        <v>1</v>
      </c>
      <c r="G203" s="39" t="n">
        <v>1</v>
      </c>
    </row>
    <row r="204" customFormat="false" ht="15" hidden="false" customHeight="false" outlineLevel="0" collapsed="false">
      <c r="A204" s="21"/>
      <c r="B204" s="29"/>
      <c r="C204" s="28" t="s">
        <v>69</v>
      </c>
      <c r="D204" s="28"/>
      <c r="E204" s="27"/>
      <c r="F204" s="27" t="n">
        <v>3</v>
      </c>
      <c r="G204" s="32" t="n">
        <v>3</v>
      </c>
    </row>
    <row r="205" customFormat="false" ht="15" hidden="false" customHeight="false" outlineLevel="0" collapsed="false">
      <c r="A205" s="21"/>
      <c r="B205" s="29"/>
      <c r="C205" s="29"/>
      <c r="D205" s="29" t="s">
        <v>25</v>
      </c>
      <c r="E205" s="40"/>
      <c r="F205" s="40" t="n">
        <v>1</v>
      </c>
      <c r="G205" s="35" t="n">
        <v>1</v>
      </c>
    </row>
    <row r="206" customFormat="false" ht="15" hidden="false" customHeight="false" outlineLevel="0" collapsed="false">
      <c r="A206" s="21"/>
      <c r="B206" s="29"/>
      <c r="C206" s="29"/>
      <c r="D206" s="29" t="s">
        <v>27</v>
      </c>
      <c r="E206" s="40"/>
      <c r="F206" s="40" t="n">
        <v>1</v>
      </c>
      <c r="G206" s="35" t="n">
        <v>1</v>
      </c>
    </row>
    <row r="207" customFormat="false" ht="15" hidden="false" customHeight="false" outlineLevel="0" collapsed="false">
      <c r="A207" s="21"/>
      <c r="B207" s="29"/>
      <c r="C207" s="36"/>
      <c r="D207" s="36" t="s">
        <v>30</v>
      </c>
      <c r="E207" s="41"/>
      <c r="F207" s="41" t="n">
        <v>1</v>
      </c>
      <c r="G207" s="39" t="n">
        <v>1</v>
      </c>
    </row>
    <row r="208" customFormat="false" ht="15" hidden="false" customHeight="false" outlineLevel="0" collapsed="false">
      <c r="A208" s="21"/>
      <c r="B208" s="29"/>
      <c r="C208" s="28" t="s">
        <v>70</v>
      </c>
      <c r="D208" s="28"/>
      <c r="E208" s="30"/>
      <c r="F208" s="31" t="n">
        <v>3</v>
      </c>
      <c r="G208" s="32" t="n">
        <v>3</v>
      </c>
    </row>
    <row r="209" customFormat="false" ht="15" hidden="false" customHeight="false" outlineLevel="0" collapsed="false">
      <c r="A209" s="21"/>
      <c r="B209" s="29"/>
      <c r="C209" s="29"/>
      <c r="D209" s="29" t="s">
        <v>71</v>
      </c>
      <c r="E209" s="33"/>
      <c r="F209" s="34" t="n">
        <v>1</v>
      </c>
      <c r="G209" s="35" t="n">
        <v>1</v>
      </c>
    </row>
    <row r="210" customFormat="false" ht="15" hidden="false" customHeight="false" outlineLevel="0" collapsed="false">
      <c r="A210" s="21"/>
      <c r="B210" s="29"/>
      <c r="C210" s="29"/>
      <c r="D210" s="29" t="s">
        <v>72</v>
      </c>
      <c r="E210" s="33"/>
      <c r="F210" s="34" t="n">
        <v>1</v>
      </c>
      <c r="G210" s="35" t="n">
        <v>1</v>
      </c>
    </row>
    <row r="211" customFormat="false" ht="15" hidden="false" customHeight="false" outlineLevel="0" collapsed="false">
      <c r="A211" s="21"/>
      <c r="B211" s="29"/>
      <c r="C211" s="36"/>
      <c r="D211" s="36" t="s">
        <v>73</v>
      </c>
      <c r="E211" s="37"/>
      <c r="F211" s="38" t="n">
        <v>1</v>
      </c>
      <c r="G211" s="39" t="n">
        <v>1</v>
      </c>
    </row>
    <row r="212" customFormat="false" ht="15" hidden="false" customHeight="false" outlineLevel="0" collapsed="false">
      <c r="A212" s="21"/>
      <c r="B212" s="29"/>
      <c r="C212" s="28" t="s">
        <v>74</v>
      </c>
      <c r="D212" s="28"/>
      <c r="E212" s="27"/>
      <c r="F212" s="27" t="n">
        <v>4</v>
      </c>
      <c r="G212" s="32" t="n">
        <v>4</v>
      </c>
    </row>
    <row r="213" customFormat="false" ht="15" hidden="false" customHeight="false" outlineLevel="0" collapsed="false">
      <c r="A213" s="21"/>
      <c r="B213" s="29"/>
      <c r="C213" s="29"/>
      <c r="D213" s="29" t="s">
        <v>25</v>
      </c>
      <c r="E213" s="40"/>
      <c r="F213" s="40" t="n">
        <v>1</v>
      </c>
      <c r="G213" s="35" t="n">
        <v>1</v>
      </c>
    </row>
    <row r="214" customFormat="false" ht="15" hidden="false" customHeight="false" outlineLevel="0" collapsed="false">
      <c r="A214" s="21"/>
      <c r="B214" s="29"/>
      <c r="C214" s="29"/>
      <c r="D214" s="29" t="s">
        <v>27</v>
      </c>
      <c r="E214" s="40"/>
      <c r="F214" s="40" t="n">
        <v>1</v>
      </c>
      <c r="G214" s="35" t="n">
        <v>1</v>
      </c>
    </row>
    <row r="215" customFormat="false" ht="15" hidden="false" customHeight="false" outlineLevel="0" collapsed="false">
      <c r="A215" s="21"/>
      <c r="B215" s="29"/>
      <c r="C215" s="29"/>
      <c r="D215" s="29" t="s">
        <v>30</v>
      </c>
      <c r="E215" s="40"/>
      <c r="F215" s="40" t="n">
        <v>1</v>
      </c>
      <c r="G215" s="35" t="n">
        <v>1</v>
      </c>
    </row>
    <row r="216" customFormat="false" ht="15" hidden="false" customHeight="false" outlineLevel="0" collapsed="false">
      <c r="A216" s="21"/>
      <c r="B216" s="29"/>
      <c r="C216" s="36"/>
      <c r="D216" s="36" t="s">
        <v>28</v>
      </c>
      <c r="E216" s="41"/>
      <c r="F216" s="41" t="n">
        <v>1</v>
      </c>
      <c r="G216" s="39" t="n">
        <v>1</v>
      </c>
    </row>
    <row r="217" customFormat="false" ht="15" hidden="false" customHeight="false" outlineLevel="0" collapsed="false">
      <c r="A217" s="21"/>
      <c r="B217" s="29"/>
      <c r="C217" s="28" t="s">
        <v>75</v>
      </c>
      <c r="D217" s="28"/>
      <c r="E217" s="30"/>
      <c r="F217" s="31" t="n">
        <v>4</v>
      </c>
      <c r="G217" s="32" t="n">
        <v>4</v>
      </c>
    </row>
    <row r="218" customFormat="false" ht="15" hidden="false" customHeight="false" outlineLevel="0" collapsed="false">
      <c r="A218" s="21"/>
      <c r="B218" s="29"/>
      <c r="C218" s="29"/>
      <c r="D218" s="29" t="s">
        <v>25</v>
      </c>
      <c r="E218" s="33"/>
      <c r="F218" s="34" t="n">
        <v>1</v>
      </c>
      <c r="G218" s="35" t="n">
        <v>1</v>
      </c>
    </row>
    <row r="219" customFormat="false" ht="15" hidden="false" customHeight="false" outlineLevel="0" collapsed="false">
      <c r="A219" s="21"/>
      <c r="B219" s="29"/>
      <c r="C219" s="29"/>
      <c r="D219" s="29" t="s">
        <v>27</v>
      </c>
      <c r="E219" s="33"/>
      <c r="F219" s="34" t="n">
        <v>1</v>
      </c>
      <c r="G219" s="35" t="n">
        <v>1</v>
      </c>
    </row>
    <row r="220" customFormat="false" ht="15" hidden="false" customHeight="false" outlineLevel="0" collapsed="false">
      <c r="A220" s="21"/>
      <c r="B220" s="29"/>
      <c r="C220" s="29"/>
      <c r="D220" s="29" t="s">
        <v>30</v>
      </c>
      <c r="E220" s="33"/>
      <c r="F220" s="34" t="n">
        <v>1</v>
      </c>
      <c r="G220" s="35" t="n">
        <v>1</v>
      </c>
    </row>
    <row r="221" customFormat="false" ht="15" hidden="false" customHeight="false" outlineLevel="0" collapsed="false">
      <c r="A221" s="21"/>
      <c r="B221" s="29"/>
      <c r="C221" s="36"/>
      <c r="D221" s="36" t="s">
        <v>28</v>
      </c>
      <c r="E221" s="37"/>
      <c r="F221" s="38" t="n">
        <v>1</v>
      </c>
      <c r="G221" s="39" t="n">
        <v>1</v>
      </c>
    </row>
    <row r="222" customFormat="false" ht="15" hidden="false" customHeight="false" outlineLevel="0" collapsed="false">
      <c r="A222" s="21"/>
      <c r="B222" s="29"/>
      <c r="C222" s="28" t="s">
        <v>76</v>
      </c>
      <c r="D222" s="28"/>
      <c r="E222" s="27"/>
      <c r="F222" s="27" t="n">
        <v>6</v>
      </c>
      <c r="G222" s="32" t="n">
        <v>6</v>
      </c>
    </row>
    <row r="223" customFormat="false" ht="15" hidden="false" customHeight="false" outlineLevel="0" collapsed="false">
      <c r="A223" s="21"/>
      <c r="B223" s="29"/>
      <c r="C223" s="29"/>
      <c r="D223" s="29" t="s">
        <v>71</v>
      </c>
      <c r="E223" s="40"/>
      <c r="F223" s="40" t="n">
        <v>1</v>
      </c>
      <c r="G223" s="35" t="n">
        <v>1</v>
      </c>
    </row>
    <row r="224" customFormat="false" ht="15" hidden="false" customHeight="false" outlineLevel="0" collapsed="false">
      <c r="A224" s="21"/>
      <c r="B224" s="29"/>
      <c r="C224" s="29"/>
      <c r="D224" s="29" t="s">
        <v>50</v>
      </c>
      <c r="E224" s="40"/>
      <c r="F224" s="40" t="n">
        <v>2</v>
      </c>
      <c r="G224" s="35" t="n">
        <v>2</v>
      </c>
    </row>
    <row r="225" customFormat="false" ht="15" hidden="false" customHeight="false" outlineLevel="0" collapsed="false">
      <c r="A225" s="21"/>
      <c r="B225" s="29"/>
      <c r="C225" s="29"/>
      <c r="D225" s="29" t="s">
        <v>72</v>
      </c>
      <c r="E225" s="40"/>
      <c r="F225" s="40" t="n">
        <v>1</v>
      </c>
      <c r="G225" s="35" t="n">
        <v>1</v>
      </c>
    </row>
    <row r="226" customFormat="false" ht="15" hidden="false" customHeight="false" outlineLevel="0" collapsed="false">
      <c r="A226" s="21"/>
      <c r="B226" s="29"/>
      <c r="C226" s="29"/>
      <c r="D226" s="29" t="s">
        <v>73</v>
      </c>
      <c r="E226" s="40"/>
      <c r="F226" s="40" t="n">
        <v>1</v>
      </c>
      <c r="G226" s="35" t="n">
        <v>1</v>
      </c>
    </row>
    <row r="227" customFormat="false" ht="15" hidden="false" customHeight="false" outlineLevel="0" collapsed="false">
      <c r="A227" s="21"/>
      <c r="B227" s="29"/>
      <c r="C227" s="36"/>
      <c r="D227" s="36" t="s">
        <v>28</v>
      </c>
      <c r="E227" s="41"/>
      <c r="F227" s="41" t="n">
        <v>1</v>
      </c>
      <c r="G227" s="39" t="n">
        <v>1</v>
      </c>
    </row>
    <row r="228" customFormat="false" ht="15" hidden="false" customHeight="false" outlineLevel="0" collapsed="false">
      <c r="A228" s="21"/>
      <c r="B228" s="29"/>
      <c r="C228" s="28" t="s">
        <v>77</v>
      </c>
      <c r="D228" s="28"/>
      <c r="E228" s="30"/>
      <c r="F228" s="31" t="n">
        <v>4</v>
      </c>
      <c r="G228" s="32" t="n">
        <v>4</v>
      </c>
    </row>
    <row r="229" customFormat="false" ht="15" hidden="false" customHeight="false" outlineLevel="0" collapsed="false">
      <c r="A229" s="21"/>
      <c r="B229" s="29"/>
      <c r="C229" s="29"/>
      <c r="D229" s="29" t="s">
        <v>25</v>
      </c>
      <c r="E229" s="33"/>
      <c r="F229" s="34" t="n">
        <v>1</v>
      </c>
      <c r="G229" s="35" t="n">
        <v>1</v>
      </c>
    </row>
    <row r="230" customFormat="false" ht="15" hidden="false" customHeight="false" outlineLevel="0" collapsed="false">
      <c r="A230" s="21"/>
      <c r="B230" s="29"/>
      <c r="C230" s="29"/>
      <c r="D230" s="29" t="s">
        <v>27</v>
      </c>
      <c r="E230" s="33"/>
      <c r="F230" s="34" t="n">
        <v>1</v>
      </c>
      <c r="G230" s="35" t="n">
        <v>1</v>
      </c>
    </row>
    <row r="231" customFormat="false" ht="15" hidden="false" customHeight="false" outlineLevel="0" collapsed="false">
      <c r="A231" s="21"/>
      <c r="B231" s="29"/>
      <c r="C231" s="29"/>
      <c r="D231" s="29" t="s">
        <v>30</v>
      </c>
      <c r="E231" s="33"/>
      <c r="F231" s="34" t="n">
        <v>1</v>
      </c>
      <c r="G231" s="35" t="n">
        <v>1</v>
      </c>
    </row>
    <row r="232" customFormat="false" ht="15" hidden="false" customHeight="false" outlineLevel="0" collapsed="false">
      <c r="A232" s="21"/>
      <c r="B232" s="29"/>
      <c r="C232" s="36"/>
      <c r="D232" s="36" t="s">
        <v>28</v>
      </c>
      <c r="E232" s="37"/>
      <c r="F232" s="38" t="n">
        <v>1</v>
      </c>
      <c r="G232" s="39" t="n">
        <v>1</v>
      </c>
    </row>
    <row r="233" customFormat="false" ht="15" hidden="false" customHeight="false" outlineLevel="0" collapsed="false">
      <c r="A233" s="21"/>
      <c r="B233" s="29"/>
      <c r="C233" s="28" t="s">
        <v>78</v>
      </c>
      <c r="D233" s="28"/>
      <c r="E233" s="27"/>
      <c r="F233" s="27" t="n">
        <v>3</v>
      </c>
      <c r="G233" s="32" t="n">
        <v>3</v>
      </c>
    </row>
    <row r="234" customFormat="false" ht="15" hidden="false" customHeight="false" outlineLevel="0" collapsed="false">
      <c r="A234" s="21"/>
      <c r="B234" s="29"/>
      <c r="C234" s="29"/>
      <c r="D234" s="29" t="s">
        <v>71</v>
      </c>
      <c r="E234" s="40"/>
      <c r="F234" s="40" t="n">
        <v>1</v>
      </c>
      <c r="G234" s="35" t="n">
        <v>1</v>
      </c>
    </row>
    <row r="235" customFormat="false" ht="15" hidden="false" customHeight="false" outlineLevel="0" collapsed="false">
      <c r="A235" s="21"/>
      <c r="B235" s="29"/>
      <c r="C235" s="29"/>
      <c r="D235" s="29" t="s">
        <v>72</v>
      </c>
      <c r="E235" s="40"/>
      <c r="F235" s="40" t="n">
        <v>1</v>
      </c>
      <c r="G235" s="35" t="n">
        <v>1</v>
      </c>
    </row>
    <row r="236" customFormat="false" ht="15" hidden="false" customHeight="false" outlineLevel="0" collapsed="false">
      <c r="A236" s="21"/>
      <c r="B236" s="36"/>
      <c r="C236" s="36"/>
      <c r="D236" s="36" t="s">
        <v>73</v>
      </c>
      <c r="E236" s="41"/>
      <c r="F236" s="41" t="n">
        <v>1</v>
      </c>
      <c r="G236" s="39" t="n">
        <v>1</v>
      </c>
    </row>
    <row r="237" customFormat="false" ht="15" hidden="false" customHeight="false" outlineLevel="0" collapsed="false">
      <c r="A237" s="21"/>
      <c r="B237" s="28" t="s">
        <v>79</v>
      </c>
      <c r="C237" s="16"/>
      <c r="D237" s="17"/>
      <c r="E237" s="18"/>
      <c r="F237" s="19" t="n">
        <v>61</v>
      </c>
      <c r="G237" s="20" t="n">
        <v>61</v>
      </c>
    </row>
    <row r="238" customFormat="false" ht="15" hidden="false" customHeight="false" outlineLevel="0" collapsed="false">
      <c r="A238" s="21"/>
      <c r="B238" s="29"/>
      <c r="C238" s="28" t="s">
        <v>80</v>
      </c>
      <c r="D238" s="28"/>
      <c r="E238" s="27"/>
      <c r="F238" s="27" t="n">
        <v>8</v>
      </c>
      <c r="G238" s="32" t="n">
        <v>8</v>
      </c>
    </row>
    <row r="239" customFormat="false" ht="15" hidden="false" customHeight="false" outlineLevel="0" collapsed="false">
      <c r="A239" s="21"/>
      <c r="B239" s="29"/>
      <c r="C239" s="29"/>
      <c r="D239" s="29" t="s">
        <v>71</v>
      </c>
      <c r="E239" s="40"/>
      <c r="F239" s="40" t="n">
        <v>1</v>
      </c>
      <c r="G239" s="35" t="n">
        <v>1</v>
      </c>
    </row>
    <row r="240" customFormat="false" ht="15" hidden="false" customHeight="false" outlineLevel="0" collapsed="false">
      <c r="A240" s="21"/>
      <c r="B240" s="29"/>
      <c r="C240" s="29"/>
      <c r="D240" s="29" t="s">
        <v>81</v>
      </c>
      <c r="E240" s="40"/>
      <c r="F240" s="40" t="n">
        <v>1</v>
      </c>
      <c r="G240" s="35" t="n">
        <v>1</v>
      </c>
    </row>
    <row r="241" customFormat="false" ht="15" hidden="false" customHeight="false" outlineLevel="0" collapsed="false">
      <c r="A241" s="21"/>
      <c r="B241" s="29"/>
      <c r="C241" s="29"/>
      <c r="D241" s="29" t="s">
        <v>82</v>
      </c>
      <c r="E241" s="40"/>
      <c r="F241" s="40" t="n">
        <v>1</v>
      </c>
      <c r="G241" s="35" t="n">
        <v>1</v>
      </c>
    </row>
    <row r="242" customFormat="false" ht="15" hidden="false" customHeight="false" outlineLevel="0" collapsed="false">
      <c r="A242" s="21"/>
      <c r="B242" s="29"/>
      <c r="C242" s="29"/>
      <c r="D242" s="29" t="s">
        <v>83</v>
      </c>
      <c r="E242" s="40"/>
      <c r="F242" s="40" t="n">
        <v>1</v>
      </c>
      <c r="G242" s="35" t="n">
        <v>1</v>
      </c>
    </row>
    <row r="243" customFormat="false" ht="15" hidden="false" customHeight="false" outlineLevel="0" collapsed="false">
      <c r="A243" s="21"/>
      <c r="B243" s="29"/>
      <c r="C243" s="29"/>
      <c r="D243" s="29" t="s">
        <v>72</v>
      </c>
      <c r="E243" s="40"/>
      <c r="F243" s="40" t="n">
        <v>1</v>
      </c>
      <c r="G243" s="35" t="n">
        <v>1</v>
      </c>
    </row>
    <row r="244" customFormat="false" ht="15" hidden="false" customHeight="false" outlineLevel="0" collapsed="false">
      <c r="A244" s="21"/>
      <c r="B244" s="29"/>
      <c r="C244" s="29"/>
      <c r="D244" s="29" t="s">
        <v>84</v>
      </c>
      <c r="E244" s="40"/>
      <c r="F244" s="40" t="n">
        <v>1</v>
      </c>
      <c r="G244" s="35" t="n">
        <v>1</v>
      </c>
    </row>
    <row r="245" customFormat="false" ht="15" hidden="false" customHeight="false" outlineLevel="0" collapsed="false">
      <c r="A245" s="21"/>
      <c r="B245" s="29"/>
      <c r="C245" s="29"/>
      <c r="D245" s="29" t="s">
        <v>73</v>
      </c>
      <c r="E245" s="40"/>
      <c r="F245" s="40" t="n">
        <v>1</v>
      </c>
      <c r="G245" s="35" t="n">
        <v>1</v>
      </c>
    </row>
    <row r="246" customFormat="false" ht="15" hidden="false" customHeight="false" outlineLevel="0" collapsed="false">
      <c r="A246" s="21"/>
      <c r="B246" s="29"/>
      <c r="C246" s="36"/>
      <c r="D246" s="36" t="s">
        <v>85</v>
      </c>
      <c r="E246" s="41"/>
      <c r="F246" s="41" t="n">
        <v>1</v>
      </c>
      <c r="G246" s="39" t="n">
        <v>1</v>
      </c>
    </row>
    <row r="247" customFormat="false" ht="15" hidden="false" customHeight="false" outlineLevel="0" collapsed="false">
      <c r="A247" s="21"/>
      <c r="B247" s="29"/>
      <c r="C247" s="28" t="s">
        <v>86</v>
      </c>
      <c r="D247" s="28"/>
      <c r="E247" s="30"/>
      <c r="F247" s="31" t="n">
        <v>7</v>
      </c>
      <c r="G247" s="32" t="n">
        <v>7</v>
      </c>
    </row>
    <row r="248" customFormat="false" ht="15" hidden="false" customHeight="false" outlineLevel="0" collapsed="false">
      <c r="A248" s="21"/>
      <c r="B248" s="29"/>
      <c r="C248" s="29"/>
      <c r="D248" s="29" t="s">
        <v>71</v>
      </c>
      <c r="E248" s="33"/>
      <c r="F248" s="34" t="n">
        <v>1</v>
      </c>
      <c r="G248" s="35" t="n">
        <v>1</v>
      </c>
    </row>
    <row r="249" customFormat="false" ht="15" hidden="false" customHeight="false" outlineLevel="0" collapsed="false">
      <c r="A249" s="21"/>
      <c r="B249" s="29"/>
      <c r="C249" s="29"/>
      <c r="D249" s="29" t="s">
        <v>82</v>
      </c>
      <c r="E249" s="33"/>
      <c r="F249" s="34" t="n">
        <v>1</v>
      </c>
      <c r="G249" s="35" t="n">
        <v>1</v>
      </c>
    </row>
    <row r="250" customFormat="false" ht="15" hidden="false" customHeight="false" outlineLevel="0" collapsed="false">
      <c r="A250" s="21"/>
      <c r="B250" s="29"/>
      <c r="C250" s="29"/>
      <c r="D250" s="29" t="s">
        <v>83</v>
      </c>
      <c r="E250" s="33"/>
      <c r="F250" s="34" t="n">
        <v>1</v>
      </c>
      <c r="G250" s="35" t="n">
        <v>1</v>
      </c>
    </row>
    <row r="251" customFormat="false" ht="15" hidden="false" customHeight="false" outlineLevel="0" collapsed="false">
      <c r="A251" s="21"/>
      <c r="B251" s="29"/>
      <c r="C251" s="29"/>
      <c r="D251" s="29" t="s">
        <v>72</v>
      </c>
      <c r="E251" s="33"/>
      <c r="F251" s="34" t="n">
        <v>1</v>
      </c>
      <c r="G251" s="35" t="n">
        <v>1</v>
      </c>
    </row>
    <row r="252" customFormat="false" ht="15" hidden="false" customHeight="false" outlineLevel="0" collapsed="false">
      <c r="A252" s="21"/>
      <c r="B252" s="29"/>
      <c r="C252" s="29"/>
      <c r="D252" s="29" t="s">
        <v>84</v>
      </c>
      <c r="E252" s="33"/>
      <c r="F252" s="34" t="n">
        <v>1</v>
      </c>
      <c r="G252" s="35" t="n">
        <v>1</v>
      </c>
    </row>
    <row r="253" customFormat="false" ht="15" hidden="false" customHeight="false" outlineLevel="0" collapsed="false">
      <c r="A253" s="21"/>
      <c r="B253" s="29"/>
      <c r="C253" s="29"/>
      <c r="D253" s="29" t="s">
        <v>73</v>
      </c>
      <c r="E253" s="33"/>
      <c r="F253" s="34" t="n">
        <v>1</v>
      </c>
      <c r="G253" s="35" t="n">
        <v>1</v>
      </c>
    </row>
    <row r="254" customFormat="false" ht="15" hidden="false" customHeight="false" outlineLevel="0" collapsed="false">
      <c r="A254" s="21"/>
      <c r="B254" s="29"/>
      <c r="C254" s="36"/>
      <c r="D254" s="36" t="s">
        <v>85</v>
      </c>
      <c r="E254" s="37"/>
      <c r="F254" s="38" t="n">
        <v>1</v>
      </c>
      <c r="G254" s="39" t="n">
        <v>1</v>
      </c>
    </row>
    <row r="255" customFormat="false" ht="15" hidden="false" customHeight="false" outlineLevel="0" collapsed="false">
      <c r="A255" s="21"/>
      <c r="B255" s="29"/>
      <c r="C255" s="28" t="s">
        <v>87</v>
      </c>
      <c r="D255" s="28"/>
      <c r="E255" s="27"/>
      <c r="F255" s="27" t="n">
        <v>6</v>
      </c>
      <c r="G255" s="32" t="n">
        <v>6</v>
      </c>
    </row>
    <row r="256" customFormat="false" ht="15" hidden="false" customHeight="false" outlineLevel="0" collapsed="false">
      <c r="A256" s="21"/>
      <c r="B256" s="29"/>
      <c r="C256" s="29"/>
      <c r="D256" s="29" t="s">
        <v>71</v>
      </c>
      <c r="E256" s="40"/>
      <c r="F256" s="40" t="n">
        <v>1</v>
      </c>
      <c r="G256" s="35" t="n">
        <v>1</v>
      </c>
    </row>
    <row r="257" customFormat="false" ht="15" hidden="false" customHeight="false" outlineLevel="0" collapsed="false">
      <c r="A257" s="21"/>
      <c r="B257" s="29"/>
      <c r="C257" s="29"/>
      <c r="D257" s="29" t="s">
        <v>82</v>
      </c>
      <c r="E257" s="40"/>
      <c r="F257" s="40" t="n">
        <v>1</v>
      </c>
      <c r="G257" s="35" t="n">
        <v>1</v>
      </c>
    </row>
    <row r="258" customFormat="false" ht="15" hidden="false" customHeight="false" outlineLevel="0" collapsed="false">
      <c r="A258" s="21"/>
      <c r="B258" s="29"/>
      <c r="C258" s="29"/>
      <c r="D258" s="29" t="s">
        <v>72</v>
      </c>
      <c r="E258" s="40"/>
      <c r="F258" s="40" t="n">
        <v>1</v>
      </c>
      <c r="G258" s="35" t="n">
        <v>1</v>
      </c>
    </row>
    <row r="259" customFormat="false" ht="15" hidden="false" customHeight="false" outlineLevel="0" collapsed="false">
      <c r="A259" s="21"/>
      <c r="B259" s="29"/>
      <c r="C259" s="29"/>
      <c r="D259" s="29" t="s">
        <v>84</v>
      </c>
      <c r="E259" s="40"/>
      <c r="F259" s="40" t="n">
        <v>1</v>
      </c>
      <c r="G259" s="35" t="n">
        <v>1</v>
      </c>
    </row>
    <row r="260" customFormat="false" ht="15" hidden="false" customHeight="false" outlineLevel="0" collapsed="false">
      <c r="A260" s="21"/>
      <c r="B260" s="29"/>
      <c r="C260" s="29"/>
      <c r="D260" s="29" t="s">
        <v>73</v>
      </c>
      <c r="E260" s="40"/>
      <c r="F260" s="40" t="n">
        <v>1</v>
      </c>
      <c r="G260" s="35" t="n">
        <v>1</v>
      </c>
    </row>
    <row r="261" customFormat="false" ht="15" hidden="false" customHeight="false" outlineLevel="0" collapsed="false">
      <c r="A261" s="21"/>
      <c r="B261" s="29"/>
      <c r="C261" s="36"/>
      <c r="D261" s="36" t="s">
        <v>85</v>
      </c>
      <c r="E261" s="41"/>
      <c r="F261" s="41" t="n">
        <v>1</v>
      </c>
      <c r="G261" s="39" t="n">
        <v>1</v>
      </c>
    </row>
    <row r="262" customFormat="false" ht="15" hidden="false" customHeight="false" outlineLevel="0" collapsed="false">
      <c r="A262" s="21"/>
      <c r="B262" s="29"/>
      <c r="C262" s="28" t="s">
        <v>88</v>
      </c>
      <c r="D262" s="28"/>
      <c r="E262" s="30"/>
      <c r="F262" s="31" t="n">
        <v>7</v>
      </c>
      <c r="G262" s="32" t="n">
        <v>7</v>
      </c>
    </row>
    <row r="263" customFormat="false" ht="15" hidden="false" customHeight="false" outlineLevel="0" collapsed="false">
      <c r="A263" s="21"/>
      <c r="B263" s="29"/>
      <c r="C263" s="29"/>
      <c r="D263" s="29" t="s">
        <v>71</v>
      </c>
      <c r="E263" s="33"/>
      <c r="F263" s="34" t="n">
        <v>1</v>
      </c>
      <c r="G263" s="35" t="n">
        <v>1</v>
      </c>
    </row>
    <row r="264" customFormat="false" ht="15" hidden="false" customHeight="false" outlineLevel="0" collapsed="false">
      <c r="A264" s="21"/>
      <c r="B264" s="29"/>
      <c r="C264" s="29"/>
      <c r="D264" s="29" t="s">
        <v>82</v>
      </c>
      <c r="E264" s="33"/>
      <c r="F264" s="34" t="n">
        <v>1</v>
      </c>
      <c r="G264" s="35" t="n">
        <v>1</v>
      </c>
    </row>
    <row r="265" customFormat="false" ht="15" hidden="false" customHeight="false" outlineLevel="0" collapsed="false">
      <c r="A265" s="21"/>
      <c r="B265" s="29"/>
      <c r="C265" s="29"/>
      <c r="D265" s="29" t="s">
        <v>83</v>
      </c>
      <c r="E265" s="33"/>
      <c r="F265" s="34" t="n">
        <v>1</v>
      </c>
      <c r="G265" s="35" t="n">
        <v>1</v>
      </c>
    </row>
    <row r="266" customFormat="false" ht="15" hidden="false" customHeight="false" outlineLevel="0" collapsed="false">
      <c r="A266" s="21"/>
      <c r="B266" s="29"/>
      <c r="C266" s="29"/>
      <c r="D266" s="29" t="s">
        <v>72</v>
      </c>
      <c r="E266" s="33"/>
      <c r="F266" s="34" t="n">
        <v>1</v>
      </c>
      <c r="G266" s="35" t="n">
        <v>1</v>
      </c>
    </row>
    <row r="267" customFormat="false" ht="15" hidden="false" customHeight="false" outlineLevel="0" collapsed="false">
      <c r="A267" s="21"/>
      <c r="B267" s="29"/>
      <c r="C267" s="29"/>
      <c r="D267" s="29" t="s">
        <v>84</v>
      </c>
      <c r="E267" s="33"/>
      <c r="F267" s="34" t="n">
        <v>1</v>
      </c>
      <c r="G267" s="35" t="n">
        <v>1</v>
      </c>
    </row>
    <row r="268" customFormat="false" ht="15" hidden="false" customHeight="false" outlineLevel="0" collapsed="false">
      <c r="A268" s="21"/>
      <c r="B268" s="29"/>
      <c r="C268" s="29"/>
      <c r="D268" s="29" t="s">
        <v>73</v>
      </c>
      <c r="E268" s="33"/>
      <c r="F268" s="34" t="n">
        <v>1</v>
      </c>
      <c r="G268" s="35" t="n">
        <v>1</v>
      </c>
    </row>
    <row r="269" customFormat="false" ht="15" hidden="false" customHeight="false" outlineLevel="0" collapsed="false">
      <c r="A269" s="21"/>
      <c r="B269" s="29"/>
      <c r="C269" s="36"/>
      <c r="D269" s="36" t="s">
        <v>85</v>
      </c>
      <c r="E269" s="37"/>
      <c r="F269" s="38" t="n">
        <v>1</v>
      </c>
      <c r="G269" s="39" t="n">
        <v>1</v>
      </c>
    </row>
    <row r="270" customFormat="false" ht="15" hidden="false" customHeight="false" outlineLevel="0" collapsed="false">
      <c r="A270" s="21"/>
      <c r="B270" s="29"/>
      <c r="C270" s="28" t="s">
        <v>89</v>
      </c>
      <c r="D270" s="28"/>
      <c r="E270" s="27"/>
      <c r="F270" s="27" t="n">
        <v>7</v>
      </c>
      <c r="G270" s="32" t="n">
        <v>7</v>
      </c>
    </row>
    <row r="271" customFormat="false" ht="15" hidden="false" customHeight="false" outlineLevel="0" collapsed="false">
      <c r="A271" s="21"/>
      <c r="B271" s="29"/>
      <c r="C271" s="29"/>
      <c r="D271" s="29" t="s">
        <v>71</v>
      </c>
      <c r="E271" s="40"/>
      <c r="F271" s="40" t="n">
        <v>1</v>
      </c>
      <c r="G271" s="35" t="n">
        <v>1</v>
      </c>
    </row>
    <row r="272" customFormat="false" ht="15" hidden="false" customHeight="false" outlineLevel="0" collapsed="false">
      <c r="A272" s="21"/>
      <c r="B272" s="29"/>
      <c r="C272" s="29"/>
      <c r="D272" s="29" t="s">
        <v>82</v>
      </c>
      <c r="E272" s="40"/>
      <c r="F272" s="40" t="n">
        <v>1</v>
      </c>
      <c r="G272" s="35" t="n">
        <v>1</v>
      </c>
    </row>
    <row r="273" customFormat="false" ht="15" hidden="false" customHeight="false" outlineLevel="0" collapsed="false">
      <c r="A273" s="21"/>
      <c r="B273" s="29"/>
      <c r="C273" s="29"/>
      <c r="D273" s="29" t="s">
        <v>83</v>
      </c>
      <c r="E273" s="40"/>
      <c r="F273" s="40" t="n">
        <v>1</v>
      </c>
      <c r="G273" s="35" t="n">
        <v>1</v>
      </c>
    </row>
    <row r="274" customFormat="false" ht="15" hidden="false" customHeight="false" outlineLevel="0" collapsed="false">
      <c r="A274" s="21"/>
      <c r="B274" s="29"/>
      <c r="C274" s="29"/>
      <c r="D274" s="29" t="s">
        <v>72</v>
      </c>
      <c r="E274" s="40"/>
      <c r="F274" s="40" t="n">
        <v>1</v>
      </c>
      <c r="G274" s="35" t="n">
        <v>1</v>
      </c>
    </row>
    <row r="275" customFormat="false" ht="15" hidden="false" customHeight="false" outlineLevel="0" collapsed="false">
      <c r="A275" s="21"/>
      <c r="B275" s="29"/>
      <c r="C275" s="29"/>
      <c r="D275" s="29" t="s">
        <v>84</v>
      </c>
      <c r="E275" s="40"/>
      <c r="F275" s="40" t="n">
        <v>1</v>
      </c>
      <c r="G275" s="35" t="n">
        <v>1</v>
      </c>
    </row>
    <row r="276" customFormat="false" ht="15" hidden="false" customHeight="false" outlineLevel="0" collapsed="false">
      <c r="A276" s="21"/>
      <c r="B276" s="29"/>
      <c r="C276" s="29"/>
      <c r="D276" s="29" t="s">
        <v>73</v>
      </c>
      <c r="E276" s="40"/>
      <c r="F276" s="40" t="n">
        <v>1</v>
      </c>
      <c r="G276" s="35" t="n">
        <v>1</v>
      </c>
    </row>
    <row r="277" customFormat="false" ht="15" hidden="false" customHeight="false" outlineLevel="0" collapsed="false">
      <c r="A277" s="21"/>
      <c r="B277" s="29"/>
      <c r="C277" s="36"/>
      <c r="D277" s="36" t="s">
        <v>85</v>
      </c>
      <c r="E277" s="41"/>
      <c r="F277" s="41" t="n">
        <v>1</v>
      </c>
      <c r="G277" s="39" t="n">
        <v>1</v>
      </c>
    </row>
    <row r="278" customFormat="false" ht="15" hidden="false" customHeight="false" outlineLevel="0" collapsed="false">
      <c r="A278" s="21"/>
      <c r="B278" s="29"/>
      <c r="C278" s="28" t="s">
        <v>90</v>
      </c>
      <c r="D278" s="28"/>
      <c r="E278" s="30"/>
      <c r="F278" s="31" t="n">
        <v>4</v>
      </c>
      <c r="G278" s="32" t="n">
        <v>4</v>
      </c>
    </row>
    <row r="279" customFormat="false" ht="15" hidden="false" customHeight="false" outlineLevel="0" collapsed="false">
      <c r="A279" s="21"/>
      <c r="B279" s="29"/>
      <c r="C279" s="29"/>
      <c r="D279" s="29" t="s">
        <v>71</v>
      </c>
      <c r="E279" s="33"/>
      <c r="F279" s="34" t="n">
        <v>1</v>
      </c>
      <c r="G279" s="35" t="n">
        <v>1</v>
      </c>
    </row>
    <row r="280" customFormat="false" ht="15" hidden="false" customHeight="false" outlineLevel="0" collapsed="false">
      <c r="A280" s="21"/>
      <c r="B280" s="29"/>
      <c r="C280" s="29"/>
      <c r="D280" s="29" t="s">
        <v>72</v>
      </c>
      <c r="E280" s="33"/>
      <c r="F280" s="34" t="n">
        <v>1</v>
      </c>
      <c r="G280" s="35" t="n">
        <v>1</v>
      </c>
    </row>
    <row r="281" customFormat="false" ht="15" hidden="false" customHeight="false" outlineLevel="0" collapsed="false">
      <c r="A281" s="21"/>
      <c r="B281" s="29"/>
      <c r="C281" s="29"/>
      <c r="D281" s="29" t="s">
        <v>73</v>
      </c>
      <c r="E281" s="33"/>
      <c r="F281" s="34" t="n">
        <v>1</v>
      </c>
      <c r="G281" s="35" t="n">
        <v>1</v>
      </c>
    </row>
    <row r="282" customFormat="false" ht="15" hidden="false" customHeight="false" outlineLevel="0" collapsed="false">
      <c r="A282" s="21"/>
      <c r="B282" s="29"/>
      <c r="C282" s="36"/>
      <c r="D282" s="36" t="s">
        <v>85</v>
      </c>
      <c r="E282" s="37"/>
      <c r="F282" s="38" t="n">
        <v>1</v>
      </c>
      <c r="G282" s="39" t="n">
        <v>1</v>
      </c>
    </row>
    <row r="283" customFormat="false" ht="15" hidden="false" customHeight="false" outlineLevel="0" collapsed="false">
      <c r="A283" s="21"/>
      <c r="B283" s="29"/>
      <c r="C283" s="28" t="s">
        <v>91</v>
      </c>
      <c r="D283" s="28"/>
      <c r="E283" s="27"/>
      <c r="F283" s="27" t="n">
        <v>2</v>
      </c>
      <c r="G283" s="32" t="n">
        <v>2</v>
      </c>
    </row>
    <row r="284" customFormat="false" ht="15" hidden="false" customHeight="false" outlineLevel="0" collapsed="false">
      <c r="A284" s="21"/>
      <c r="B284" s="29"/>
      <c r="C284" s="29"/>
      <c r="D284" s="29" t="s">
        <v>27</v>
      </c>
      <c r="E284" s="40"/>
      <c r="F284" s="40" t="n">
        <v>1</v>
      </c>
      <c r="G284" s="35" t="n">
        <v>1</v>
      </c>
    </row>
    <row r="285" customFormat="false" ht="15" hidden="false" customHeight="false" outlineLevel="0" collapsed="false">
      <c r="A285" s="21"/>
      <c r="B285" s="29"/>
      <c r="C285" s="36"/>
      <c r="D285" s="36" t="s">
        <v>28</v>
      </c>
      <c r="E285" s="41"/>
      <c r="F285" s="41" t="n">
        <v>1</v>
      </c>
      <c r="G285" s="39" t="n">
        <v>1</v>
      </c>
    </row>
    <row r="286" customFormat="false" ht="15" hidden="false" customHeight="false" outlineLevel="0" collapsed="false">
      <c r="A286" s="21"/>
      <c r="B286" s="29"/>
      <c r="C286" s="28" t="s">
        <v>92</v>
      </c>
      <c r="D286" s="28"/>
      <c r="E286" s="30"/>
      <c r="F286" s="31" t="n">
        <v>8</v>
      </c>
      <c r="G286" s="32" t="n">
        <v>8</v>
      </c>
    </row>
    <row r="287" customFormat="false" ht="15" hidden="false" customHeight="false" outlineLevel="0" collapsed="false">
      <c r="A287" s="21"/>
      <c r="B287" s="29"/>
      <c r="C287" s="29"/>
      <c r="D287" s="29" t="s">
        <v>71</v>
      </c>
      <c r="E287" s="33"/>
      <c r="F287" s="34" t="n">
        <v>1</v>
      </c>
      <c r="G287" s="35" t="n">
        <v>1</v>
      </c>
    </row>
    <row r="288" customFormat="false" ht="15" hidden="false" customHeight="false" outlineLevel="0" collapsed="false">
      <c r="A288" s="21"/>
      <c r="B288" s="29"/>
      <c r="C288" s="29"/>
      <c r="D288" s="29" t="s">
        <v>50</v>
      </c>
      <c r="E288" s="33"/>
      <c r="F288" s="34" t="n">
        <v>1</v>
      </c>
      <c r="G288" s="35" t="n">
        <v>1</v>
      </c>
    </row>
    <row r="289" customFormat="false" ht="15" hidden="false" customHeight="false" outlineLevel="0" collapsed="false">
      <c r="A289" s="21"/>
      <c r="B289" s="29"/>
      <c r="C289" s="29"/>
      <c r="D289" s="29" t="s">
        <v>81</v>
      </c>
      <c r="E289" s="33"/>
      <c r="F289" s="34" t="n">
        <v>1</v>
      </c>
      <c r="G289" s="35" t="n">
        <v>1</v>
      </c>
    </row>
    <row r="290" customFormat="false" ht="15" hidden="false" customHeight="false" outlineLevel="0" collapsed="false">
      <c r="A290" s="21"/>
      <c r="B290" s="29"/>
      <c r="C290" s="29"/>
      <c r="D290" s="29" t="s">
        <v>82</v>
      </c>
      <c r="E290" s="33"/>
      <c r="F290" s="34" t="n">
        <v>1</v>
      </c>
      <c r="G290" s="35" t="n">
        <v>1</v>
      </c>
    </row>
    <row r="291" customFormat="false" ht="15" hidden="false" customHeight="false" outlineLevel="0" collapsed="false">
      <c r="A291" s="21"/>
      <c r="B291" s="29"/>
      <c r="C291" s="29"/>
      <c r="D291" s="29" t="s">
        <v>83</v>
      </c>
      <c r="E291" s="33"/>
      <c r="F291" s="34" t="n">
        <v>1</v>
      </c>
      <c r="G291" s="35" t="n">
        <v>1</v>
      </c>
    </row>
    <row r="292" customFormat="false" ht="15" hidden="false" customHeight="false" outlineLevel="0" collapsed="false">
      <c r="A292" s="21"/>
      <c r="B292" s="29"/>
      <c r="C292" s="29"/>
      <c r="D292" s="29" t="s">
        <v>72</v>
      </c>
      <c r="E292" s="33"/>
      <c r="F292" s="34" t="n">
        <v>1</v>
      </c>
      <c r="G292" s="35" t="n">
        <v>1</v>
      </c>
    </row>
    <row r="293" customFormat="false" ht="15" hidden="false" customHeight="false" outlineLevel="0" collapsed="false">
      <c r="A293" s="21"/>
      <c r="B293" s="29"/>
      <c r="C293" s="29"/>
      <c r="D293" s="29" t="s">
        <v>84</v>
      </c>
      <c r="E293" s="33"/>
      <c r="F293" s="34" t="n">
        <v>1</v>
      </c>
      <c r="G293" s="35" t="n">
        <v>1</v>
      </c>
    </row>
    <row r="294" customFormat="false" ht="15" hidden="false" customHeight="false" outlineLevel="0" collapsed="false">
      <c r="A294" s="21"/>
      <c r="B294" s="29"/>
      <c r="C294" s="36"/>
      <c r="D294" s="36" t="s">
        <v>73</v>
      </c>
      <c r="E294" s="37"/>
      <c r="F294" s="38" t="n">
        <v>1</v>
      </c>
      <c r="G294" s="39" t="n">
        <v>1</v>
      </c>
    </row>
    <row r="295" customFormat="false" ht="15" hidden="false" customHeight="false" outlineLevel="0" collapsed="false">
      <c r="A295" s="21"/>
      <c r="B295" s="29"/>
      <c r="C295" s="28" t="s">
        <v>93</v>
      </c>
      <c r="D295" s="28"/>
      <c r="E295" s="27"/>
      <c r="F295" s="27" t="n">
        <v>6</v>
      </c>
      <c r="G295" s="32" t="n">
        <v>6</v>
      </c>
    </row>
    <row r="296" customFormat="false" ht="15" hidden="false" customHeight="false" outlineLevel="0" collapsed="false">
      <c r="A296" s="21"/>
      <c r="B296" s="29"/>
      <c r="C296" s="29"/>
      <c r="D296" s="29" t="s">
        <v>25</v>
      </c>
      <c r="E296" s="40"/>
      <c r="F296" s="40" t="n">
        <v>1</v>
      </c>
      <c r="G296" s="35" t="n">
        <v>1</v>
      </c>
    </row>
    <row r="297" customFormat="false" ht="15" hidden="false" customHeight="false" outlineLevel="0" collapsed="false">
      <c r="A297" s="21"/>
      <c r="B297" s="29"/>
      <c r="C297" s="29"/>
      <c r="D297" s="29" t="s">
        <v>27</v>
      </c>
      <c r="E297" s="40"/>
      <c r="F297" s="40" t="n">
        <v>1</v>
      </c>
      <c r="G297" s="35" t="n">
        <v>1</v>
      </c>
    </row>
    <row r="298" customFormat="false" ht="15" hidden="false" customHeight="false" outlineLevel="0" collapsed="false">
      <c r="A298" s="21"/>
      <c r="B298" s="29"/>
      <c r="C298" s="29"/>
      <c r="D298" s="29" t="s">
        <v>30</v>
      </c>
      <c r="E298" s="40"/>
      <c r="F298" s="40" t="n">
        <v>1</v>
      </c>
      <c r="G298" s="35" t="n">
        <v>1</v>
      </c>
    </row>
    <row r="299" customFormat="false" ht="15" hidden="false" customHeight="false" outlineLevel="0" collapsed="false">
      <c r="A299" s="21"/>
      <c r="B299" s="29"/>
      <c r="C299" s="29"/>
      <c r="D299" s="29" t="s">
        <v>32</v>
      </c>
      <c r="E299" s="40"/>
      <c r="F299" s="40" t="n">
        <v>2</v>
      </c>
      <c r="G299" s="35" t="n">
        <v>2</v>
      </c>
    </row>
    <row r="300" customFormat="false" ht="15" hidden="false" customHeight="false" outlineLevel="0" collapsed="false">
      <c r="A300" s="21"/>
      <c r="B300" s="29"/>
      <c r="C300" s="36"/>
      <c r="D300" s="36" t="s">
        <v>28</v>
      </c>
      <c r="E300" s="41"/>
      <c r="F300" s="41" t="n">
        <v>1</v>
      </c>
      <c r="G300" s="39" t="n">
        <v>1</v>
      </c>
    </row>
    <row r="301" customFormat="false" ht="15" hidden="false" customHeight="false" outlineLevel="0" collapsed="false">
      <c r="A301" s="21"/>
      <c r="B301" s="29"/>
      <c r="C301" s="28" t="s">
        <v>94</v>
      </c>
      <c r="D301" s="28"/>
      <c r="E301" s="30"/>
      <c r="F301" s="31" t="n">
        <v>6</v>
      </c>
      <c r="G301" s="32" t="n">
        <v>6</v>
      </c>
    </row>
    <row r="302" customFormat="false" ht="15" hidden="false" customHeight="false" outlineLevel="0" collapsed="false">
      <c r="A302" s="21"/>
      <c r="B302" s="29"/>
      <c r="C302" s="29"/>
      <c r="D302" s="29" t="s">
        <v>25</v>
      </c>
      <c r="E302" s="33"/>
      <c r="F302" s="34" t="n">
        <v>1</v>
      </c>
      <c r="G302" s="35" t="n">
        <v>1</v>
      </c>
    </row>
    <row r="303" customFormat="false" ht="15" hidden="false" customHeight="false" outlineLevel="0" collapsed="false">
      <c r="A303" s="21"/>
      <c r="B303" s="29"/>
      <c r="C303" s="29"/>
      <c r="D303" s="29" t="s">
        <v>34</v>
      </c>
      <c r="E303" s="33"/>
      <c r="F303" s="34" t="n">
        <v>1</v>
      </c>
      <c r="G303" s="35" t="n">
        <v>1</v>
      </c>
    </row>
    <row r="304" customFormat="false" ht="15" hidden="false" customHeight="false" outlineLevel="0" collapsed="false">
      <c r="A304" s="21"/>
      <c r="B304" s="29"/>
      <c r="C304" s="29"/>
      <c r="D304" s="29" t="s">
        <v>27</v>
      </c>
      <c r="E304" s="33"/>
      <c r="F304" s="34" t="n">
        <v>1</v>
      </c>
      <c r="G304" s="35" t="n">
        <v>1</v>
      </c>
    </row>
    <row r="305" customFormat="false" ht="15" hidden="false" customHeight="false" outlineLevel="0" collapsed="false">
      <c r="A305" s="21"/>
      <c r="B305" s="29"/>
      <c r="C305" s="29"/>
      <c r="D305" s="29" t="s">
        <v>30</v>
      </c>
      <c r="E305" s="33"/>
      <c r="F305" s="34" t="n">
        <v>1</v>
      </c>
      <c r="G305" s="35" t="n">
        <v>1</v>
      </c>
    </row>
    <row r="306" customFormat="false" ht="15" hidden="false" customHeight="false" outlineLevel="0" collapsed="false">
      <c r="A306" s="21"/>
      <c r="B306" s="29"/>
      <c r="C306" s="29"/>
      <c r="D306" s="29" t="s">
        <v>32</v>
      </c>
      <c r="E306" s="33"/>
      <c r="F306" s="34" t="n">
        <v>1</v>
      </c>
      <c r="G306" s="35" t="n">
        <v>1</v>
      </c>
    </row>
    <row r="307" customFormat="false" ht="15" hidden="false" customHeight="false" outlineLevel="0" collapsed="false">
      <c r="A307" s="21"/>
      <c r="B307" s="36"/>
      <c r="C307" s="36"/>
      <c r="D307" s="36" t="s">
        <v>28</v>
      </c>
      <c r="E307" s="37"/>
      <c r="F307" s="38" t="n">
        <v>1</v>
      </c>
      <c r="G307" s="39" t="n">
        <v>1</v>
      </c>
    </row>
    <row r="308" customFormat="false" ht="15" hidden="false" customHeight="false" outlineLevel="0" collapsed="false">
      <c r="A308" s="21"/>
      <c r="B308" s="28" t="s">
        <v>95</v>
      </c>
      <c r="C308" s="16"/>
      <c r="D308" s="17"/>
      <c r="E308" s="27"/>
      <c r="F308" s="27" t="n">
        <v>19</v>
      </c>
      <c r="G308" s="20" t="n">
        <v>19</v>
      </c>
    </row>
    <row r="309" customFormat="false" ht="15" hidden="false" customHeight="false" outlineLevel="0" collapsed="false">
      <c r="A309" s="21"/>
      <c r="B309" s="29"/>
      <c r="C309" s="28" t="s">
        <v>91</v>
      </c>
      <c r="D309" s="28"/>
      <c r="E309" s="30"/>
      <c r="F309" s="31" t="n">
        <v>2</v>
      </c>
      <c r="G309" s="32" t="n">
        <v>2</v>
      </c>
    </row>
    <row r="310" customFormat="false" ht="15" hidden="false" customHeight="false" outlineLevel="0" collapsed="false">
      <c r="A310" s="21"/>
      <c r="B310" s="29"/>
      <c r="C310" s="29"/>
      <c r="D310" s="29" t="s">
        <v>27</v>
      </c>
      <c r="E310" s="33"/>
      <c r="F310" s="34" t="n">
        <v>1</v>
      </c>
      <c r="G310" s="35" t="n">
        <v>1</v>
      </c>
    </row>
    <row r="311" customFormat="false" ht="15" hidden="false" customHeight="false" outlineLevel="0" collapsed="false">
      <c r="A311" s="21"/>
      <c r="B311" s="29"/>
      <c r="C311" s="36"/>
      <c r="D311" s="36" t="s">
        <v>28</v>
      </c>
      <c r="E311" s="37"/>
      <c r="F311" s="38" t="n">
        <v>1</v>
      </c>
      <c r="G311" s="39" t="n">
        <v>1</v>
      </c>
    </row>
    <row r="312" customFormat="false" ht="15" hidden="false" customHeight="false" outlineLevel="0" collapsed="false">
      <c r="A312" s="21"/>
      <c r="B312" s="29"/>
      <c r="C312" s="28" t="s">
        <v>93</v>
      </c>
      <c r="D312" s="28"/>
      <c r="E312" s="27"/>
      <c r="F312" s="27" t="n">
        <v>6</v>
      </c>
      <c r="G312" s="32" t="n">
        <v>6</v>
      </c>
    </row>
    <row r="313" customFormat="false" ht="15" hidden="false" customHeight="false" outlineLevel="0" collapsed="false">
      <c r="A313" s="21"/>
      <c r="B313" s="29"/>
      <c r="C313" s="29"/>
      <c r="D313" s="29" t="s">
        <v>25</v>
      </c>
      <c r="E313" s="40"/>
      <c r="F313" s="40" t="n">
        <v>1</v>
      </c>
      <c r="G313" s="35" t="n">
        <v>1</v>
      </c>
    </row>
    <row r="314" customFormat="false" ht="15" hidden="false" customHeight="false" outlineLevel="0" collapsed="false">
      <c r="A314" s="21"/>
      <c r="B314" s="29"/>
      <c r="C314" s="29"/>
      <c r="D314" s="29" t="s">
        <v>27</v>
      </c>
      <c r="E314" s="40"/>
      <c r="F314" s="40" t="n">
        <v>1</v>
      </c>
      <c r="G314" s="35" t="n">
        <v>1</v>
      </c>
    </row>
    <row r="315" customFormat="false" ht="15" hidden="false" customHeight="false" outlineLevel="0" collapsed="false">
      <c r="A315" s="21"/>
      <c r="B315" s="29"/>
      <c r="C315" s="29"/>
      <c r="D315" s="29" t="s">
        <v>30</v>
      </c>
      <c r="E315" s="40"/>
      <c r="F315" s="40" t="n">
        <v>1</v>
      </c>
      <c r="G315" s="35" t="n">
        <v>1</v>
      </c>
    </row>
    <row r="316" customFormat="false" ht="15" hidden="false" customHeight="false" outlineLevel="0" collapsed="false">
      <c r="A316" s="21"/>
      <c r="B316" s="29"/>
      <c r="C316" s="29"/>
      <c r="D316" s="29" t="s">
        <v>32</v>
      </c>
      <c r="E316" s="40"/>
      <c r="F316" s="40" t="n">
        <v>2</v>
      </c>
      <c r="G316" s="35" t="n">
        <v>2</v>
      </c>
    </row>
    <row r="317" customFormat="false" ht="15" hidden="false" customHeight="false" outlineLevel="0" collapsed="false">
      <c r="A317" s="21"/>
      <c r="B317" s="29"/>
      <c r="C317" s="36"/>
      <c r="D317" s="36" t="s">
        <v>28</v>
      </c>
      <c r="E317" s="41"/>
      <c r="F317" s="41" t="n">
        <v>1</v>
      </c>
      <c r="G317" s="39" t="n">
        <v>1</v>
      </c>
    </row>
    <row r="318" customFormat="false" ht="15" hidden="false" customHeight="false" outlineLevel="0" collapsed="false">
      <c r="A318" s="21"/>
      <c r="B318" s="29"/>
      <c r="C318" s="28" t="s">
        <v>96</v>
      </c>
      <c r="D318" s="28"/>
      <c r="E318" s="30"/>
      <c r="F318" s="31" t="n">
        <v>11</v>
      </c>
      <c r="G318" s="32" t="n">
        <v>11</v>
      </c>
    </row>
    <row r="319" customFormat="false" ht="15" hidden="false" customHeight="false" outlineLevel="0" collapsed="false">
      <c r="A319" s="21"/>
      <c r="B319" s="29"/>
      <c r="C319" s="29"/>
      <c r="D319" s="29" t="s">
        <v>25</v>
      </c>
      <c r="E319" s="33"/>
      <c r="F319" s="34" t="n">
        <v>1</v>
      </c>
      <c r="G319" s="35" t="n">
        <v>1</v>
      </c>
    </row>
    <row r="320" customFormat="false" ht="15" hidden="false" customHeight="false" outlineLevel="0" collapsed="false">
      <c r="A320" s="21"/>
      <c r="B320" s="29"/>
      <c r="C320" s="29"/>
      <c r="D320" s="29" t="s">
        <v>34</v>
      </c>
      <c r="E320" s="33"/>
      <c r="F320" s="34" t="n">
        <v>1</v>
      </c>
      <c r="G320" s="35" t="n">
        <v>1</v>
      </c>
    </row>
    <row r="321" customFormat="false" ht="15" hidden="false" customHeight="false" outlineLevel="0" collapsed="false">
      <c r="A321" s="21"/>
      <c r="B321" s="29"/>
      <c r="C321" s="29"/>
      <c r="D321" s="29" t="s">
        <v>26</v>
      </c>
      <c r="E321" s="33"/>
      <c r="F321" s="34" t="n">
        <v>1</v>
      </c>
      <c r="G321" s="35" t="n">
        <v>1</v>
      </c>
    </row>
    <row r="322" customFormat="false" ht="15" hidden="false" customHeight="false" outlineLevel="0" collapsed="false">
      <c r="A322" s="21"/>
      <c r="B322" s="29"/>
      <c r="C322" s="29"/>
      <c r="D322" s="29" t="s">
        <v>27</v>
      </c>
      <c r="E322" s="33"/>
      <c r="F322" s="34" t="n">
        <v>1</v>
      </c>
      <c r="G322" s="35" t="n">
        <v>1</v>
      </c>
    </row>
    <row r="323" customFormat="false" ht="15" hidden="false" customHeight="false" outlineLevel="0" collapsed="false">
      <c r="A323" s="21"/>
      <c r="B323" s="29"/>
      <c r="C323" s="29"/>
      <c r="D323" s="29" t="s">
        <v>30</v>
      </c>
      <c r="E323" s="33"/>
      <c r="F323" s="34" t="n">
        <v>1</v>
      </c>
      <c r="G323" s="35" t="n">
        <v>1</v>
      </c>
    </row>
    <row r="324" customFormat="false" ht="15" hidden="false" customHeight="false" outlineLevel="0" collapsed="false">
      <c r="A324" s="21"/>
      <c r="B324" s="29"/>
      <c r="C324" s="29"/>
      <c r="D324" s="29" t="s">
        <v>32</v>
      </c>
      <c r="E324" s="33"/>
      <c r="F324" s="34" t="n">
        <v>2</v>
      </c>
      <c r="G324" s="35" t="n">
        <v>2</v>
      </c>
    </row>
    <row r="325" customFormat="false" ht="15" hidden="false" customHeight="false" outlineLevel="0" collapsed="false">
      <c r="A325" s="21"/>
      <c r="B325" s="29"/>
      <c r="C325" s="29"/>
      <c r="D325" s="29" t="s">
        <v>35</v>
      </c>
      <c r="E325" s="33"/>
      <c r="F325" s="34" t="n">
        <v>1</v>
      </c>
      <c r="G325" s="35" t="n">
        <v>1</v>
      </c>
    </row>
    <row r="326" customFormat="false" ht="15" hidden="false" customHeight="false" outlineLevel="0" collapsed="false">
      <c r="A326" s="21"/>
      <c r="B326" s="36"/>
      <c r="C326" s="36"/>
      <c r="D326" s="36" t="s">
        <v>28</v>
      </c>
      <c r="E326" s="37"/>
      <c r="F326" s="38" t="n">
        <v>3</v>
      </c>
      <c r="G326" s="39" t="n">
        <v>3</v>
      </c>
    </row>
    <row r="327" customFormat="false" ht="15" hidden="false" customHeight="false" outlineLevel="0" collapsed="false">
      <c r="A327" s="21"/>
      <c r="B327" s="28" t="s">
        <v>97</v>
      </c>
      <c r="C327" s="16"/>
      <c r="D327" s="17"/>
      <c r="E327" s="27"/>
      <c r="F327" s="27" t="n">
        <v>16</v>
      </c>
      <c r="G327" s="20" t="n">
        <v>16</v>
      </c>
    </row>
    <row r="328" customFormat="false" ht="15" hidden="false" customHeight="false" outlineLevel="0" collapsed="false">
      <c r="A328" s="21"/>
      <c r="B328" s="29"/>
      <c r="C328" s="28" t="s">
        <v>98</v>
      </c>
      <c r="D328" s="28"/>
      <c r="E328" s="30"/>
      <c r="F328" s="31" t="n">
        <v>12</v>
      </c>
      <c r="G328" s="32" t="n">
        <v>12</v>
      </c>
    </row>
    <row r="329" customFormat="false" ht="15" hidden="false" customHeight="false" outlineLevel="0" collapsed="false">
      <c r="A329" s="21"/>
      <c r="B329" s="29"/>
      <c r="C329" s="29"/>
      <c r="D329" s="29" t="s">
        <v>25</v>
      </c>
      <c r="E329" s="33"/>
      <c r="F329" s="34" t="n">
        <v>1</v>
      </c>
      <c r="G329" s="35" t="n">
        <v>1</v>
      </c>
    </row>
    <row r="330" customFormat="false" ht="15" hidden="false" customHeight="false" outlineLevel="0" collapsed="false">
      <c r="A330" s="21"/>
      <c r="B330" s="29"/>
      <c r="C330" s="29"/>
      <c r="D330" s="29" t="s">
        <v>34</v>
      </c>
      <c r="E330" s="33"/>
      <c r="F330" s="34" t="n">
        <v>4</v>
      </c>
      <c r="G330" s="35" t="n">
        <v>4</v>
      </c>
    </row>
    <row r="331" customFormat="false" ht="15" hidden="false" customHeight="false" outlineLevel="0" collapsed="false">
      <c r="A331" s="21"/>
      <c r="B331" s="29"/>
      <c r="C331" s="29"/>
      <c r="D331" s="29" t="s">
        <v>27</v>
      </c>
      <c r="E331" s="33"/>
      <c r="F331" s="34" t="n">
        <v>1</v>
      </c>
      <c r="G331" s="35" t="n">
        <v>1</v>
      </c>
    </row>
    <row r="332" customFormat="false" ht="15" hidden="false" customHeight="false" outlineLevel="0" collapsed="false">
      <c r="A332" s="21"/>
      <c r="B332" s="29"/>
      <c r="C332" s="29"/>
      <c r="D332" s="29" t="s">
        <v>30</v>
      </c>
      <c r="E332" s="33"/>
      <c r="F332" s="34" t="n">
        <v>1</v>
      </c>
      <c r="G332" s="35" t="n">
        <v>1</v>
      </c>
    </row>
    <row r="333" customFormat="false" ht="15" hidden="false" customHeight="false" outlineLevel="0" collapsed="false">
      <c r="A333" s="21"/>
      <c r="B333" s="29"/>
      <c r="C333" s="29"/>
      <c r="D333" s="29" t="s">
        <v>32</v>
      </c>
      <c r="E333" s="33"/>
      <c r="F333" s="34" t="n">
        <v>3</v>
      </c>
      <c r="G333" s="35" t="n">
        <v>3</v>
      </c>
    </row>
    <row r="334" customFormat="false" ht="15" hidden="false" customHeight="false" outlineLevel="0" collapsed="false">
      <c r="A334" s="21"/>
      <c r="B334" s="29"/>
      <c r="C334" s="36"/>
      <c r="D334" s="36" t="s">
        <v>28</v>
      </c>
      <c r="E334" s="37"/>
      <c r="F334" s="38" t="n">
        <v>2</v>
      </c>
      <c r="G334" s="39" t="n">
        <v>2</v>
      </c>
    </row>
    <row r="335" customFormat="false" ht="15" hidden="false" customHeight="false" outlineLevel="0" collapsed="false">
      <c r="A335" s="21"/>
      <c r="B335" s="29"/>
      <c r="C335" s="28" t="s">
        <v>99</v>
      </c>
      <c r="D335" s="28"/>
      <c r="E335" s="27"/>
      <c r="F335" s="27" t="n">
        <v>4</v>
      </c>
      <c r="G335" s="32" t="n">
        <v>4</v>
      </c>
    </row>
    <row r="336" customFormat="false" ht="15" hidden="false" customHeight="false" outlineLevel="0" collapsed="false">
      <c r="A336" s="21"/>
      <c r="B336" s="29"/>
      <c r="C336" s="29"/>
      <c r="D336" s="29" t="s">
        <v>25</v>
      </c>
      <c r="E336" s="40"/>
      <c r="F336" s="40" t="n">
        <v>1</v>
      </c>
      <c r="G336" s="35" t="n">
        <v>1</v>
      </c>
    </row>
    <row r="337" customFormat="false" ht="15" hidden="false" customHeight="false" outlineLevel="0" collapsed="false">
      <c r="A337" s="21"/>
      <c r="B337" s="29"/>
      <c r="C337" s="29"/>
      <c r="D337" s="29" t="s">
        <v>34</v>
      </c>
      <c r="E337" s="40"/>
      <c r="F337" s="40" t="n">
        <v>1</v>
      </c>
      <c r="G337" s="35" t="n">
        <v>1</v>
      </c>
    </row>
    <row r="338" customFormat="false" ht="15" hidden="false" customHeight="false" outlineLevel="0" collapsed="false">
      <c r="A338" s="21"/>
      <c r="B338" s="29"/>
      <c r="C338" s="29"/>
      <c r="D338" s="29" t="s">
        <v>27</v>
      </c>
      <c r="E338" s="40"/>
      <c r="F338" s="40" t="n">
        <v>1</v>
      </c>
      <c r="G338" s="35" t="n">
        <v>1</v>
      </c>
    </row>
    <row r="339" customFormat="false" ht="15" hidden="false" customHeight="false" outlineLevel="0" collapsed="false">
      <c r="A339" s="21"/>
      <c r="B339" s="36"/>
      <c r="C339" s="36"/>
      <c r="D339" s="36" t="s">
        <v>30</v>
      </c>
      <c r="E339" s="41"/>
      <c r="F339" s="41" t="n">
        <v>1</v>
      </c>
      <c r="G339" s="39" t="n">
        <v>1</v>
      </c>
    </row>
    <row r="340" customFormat="false" ht="15" hidden="false" customHeight="false" outlineLevel="0" collapsed="false">
      <c r="A340" s="21"/>
      <c r="B340" s="28" t="s">
        <v>100</v>
      </c>
      <c r="C340" s="16"/>
      <c r="D340" s="17"/>
      <c r="E340" s="18"/>
      <c r="F340" s="19" t="n">
        <v>30</v>
      </c>
      <c r="G340" s="20" t="n">
        <v>30</v>
      </c>
    </row>
    <row r="341" customFormat="false" ht="15" hidden="false" customHeight="false" outlineLevel="0" collapsed="false">
      <c r="A341" s="21"/>
      <c r="B341" s="29"/>
      <c r="C341" s="28" t="s">
        <v>101</v>
      </c>
      <c r="D341" s="28"/>
      <c r="E341" s="27"/>
      <c r="F341" s="27" t="n">
        <v>15</v>
      </c>
      <c r="G341" s="32" t="n">
        <v>15</v>
      </c>
    </row>
    <row r="342" customFormat="false" ht="15" hidden="false" customHeight="false" outlineLevel="0" collapsed="false">
      <c r="A342" s="21"/>
      <c r="B342" s="29"/>
      <c r="C342" s="29"/>
      <c r="D342" s="29" t="s">
        <v>50</v>
      </c>
      <c r="E342" s="40"/>
      <c r="F342" s="40" t="n">
        <v>5</v>
      </c>
      <c r="G342" s="35" t="n">
        <v>5</v>
      </c>
    </row>
    <row r="343" customFormat="false" ht="15" hidden="false" customHeight="false" outlineLevel="0" collapsed="false">
      <c r="A343" s="21"/>
      <c r="B343" s="29"/>
      <c r="C343" s="29"/>
      <c r="D343" s="29" t="s">
        <v>26</v>
      </c>
      <c r="E343" s="40"/>
      <c r="F343" s="40" t="n">
        <v>1</v>
      </c>
      <c r="G343" s="35" t="n">
        <v>1</v>
      </c>
    </row>
    <row r="344" customFormat="false" ht="15" hidden="false" customHeight="false" outlineLevel="0" collapsed="false">
      <c r="A344" s="21"/>
      <c r="B344" s="29"/>
      <c r="C344" s="29"/>
      <c r="D344" s="29" t="s">
        <v>32</v>
      </c>
      <c r="E344" s="40"/>
      <c r="F344" s="40" t="n">
        <v>2</v>
      </c>
      <c r="G344" s="35" t="n">
        <v>2</v>
      </c>
    </row>
    <row r="345" customFormat="false" ht="15" hidden="false" customHeight="false" outlineLevel="0" collapsed="false">
      <c r="A345" s="21"/>
      <c r="B345" s="29"/>
      <c r="C345" s="36"/>
      <c r="D345" s="36" t="s">
        <v>28</v>
      </c>
      <c r="E345" s="41"/>
      <c r="F345" s="41" t="n">
        <v>7</v>
      </c>
      <c r="G345" s="39" t="n">
        <v>7</v>
      </c>
    </row>
    <row r="346" customFormat="false" ht="15" hidden="false" customHeight="false" outlineLevel="0" collapsed="false">
      <c r="A346" s="21"/>
      <c r="B346" s="29"/>
      <c r="C346" s="28" t="s">
        <v>102</v>
      </c>
      <c r="D346" s="28"/>
      <c r="E346" s="30"/>
      <c r="F346" s="31" t="n">
        <v>9</v>
      </c>
      <c r="G346" s="32" t="n">
        <v>9</v>
      </c>
    </row>
    <row r="347" customFormat="false" ht="15" hidden="false" customHeight="false" outlineLevel="0" collapsed="false">
      <c r="A347" s="21"/>
      <c r="B347" s="29"/>
      <c r="C347" s="29"/>
      <c r="D347" s="29" t="s">
        <v>50</v>
      </c>
      <c r="E347" s="33"/>
      <c r="F347" s="34" t="n">
        <v>2</v>
      </c>
      <c r="G347" s="35" t="n">
        <v>2</v>
      </c>
    </row>
    <row r="348" customFormat="false" ht="15" hidden="false" customHeight="false" outlineLevel="0" collapsed="false">
      <c r="A348" s="21"/>
      <c r="B348" s="29"/>
      <c r="C348" s="29"/>
      <c r="D348" s="29" t="s">
        <v>26</v>
      </c>
      <c r="E348" s="33"/>
      <c r="F348" s="34" t="n">
        <v>1</v>
      </c>
      <c r="G348" s="35" t="n">
        <v>1</v>
      </c>
    </row>
    <row r="349" customFormat="false" ht="15" hidden="false" customHeight="false" outlineLevel="0" collapsed="false">
      <c r="A349" s="21"/>
      <c r="B349" s="29"/>
      <c r="C349" s="29"/>
      <c r="D349" s="29" t="s">
        <v>27</v>
      </c>
      <c r="E349" s="33"/>
      <c r="F349" s="34" t="n">
        <v>1</v>
      </c>
      <c r="G349" s="35" t="n">
        <v>1</v>
      </c>
    </row>
    <row r="350" customFormat="false" ht="15" hidden="false" customHeight="false" outlineLevel="0" collapsed="false">
      <c r="A350" s="21"/>
      <c r="B350" s="29"/>
      <c r="C350" s="36"/>
      <c r="D350" s="36" t="s">
        <v>28</v>
      </c>
      <c r="E350" s="37"/>
      <c r="F350" s="38" t="n">
        <v>5</v>
      </c>
      <c r="G350" s="39" t="n">
        <v>5</v>
      </c>
    </row>
    <row r="351" customFormat="false" ht="15" hidden="false" customHeight="false" outlineLevel="0" collapsed="false">
      <c r="A351" s="21"/>
      <c r="B351" s="29"/>
      <c r="C351" s="28" t="s">
        <v>103</v>
      </c>
      <c r="D351" s="28"/>
      <c r="E351" s="27"/>
      <c r="F351" s="27" t="n">
        <v>4</v>
      </c>
      <c r="G351" s="32" t="n">
        <v>4</v>
      </c>
    </row>
    <row r="352" customFormat="false" ht="15" hidden="false" customHeight="false" outlineLevel="0" collapsed="false">
      <c r="A352" s="21"/>
      <c r="B352" s="29"/>
      <c r="C352" s="29"/>
      <c r="D352" s="29" t="s">
        <v>25</v>
      </c>
      <c r="E352" s="40"/>
      <c r="F352" s="40" t="n">
        <v>1</v>
      </c>
      <c r="G352" s="35" t="n">
        <v>1</v>
      </c>
    </row>
    <row r="353" customFormat="false" ht="15" hidden="false" customHeight="false" outlineLevel="0" collapsed="false">
      <c r="A353" s="21"/>
      <c r="B353" s="29"/>
      <c r="C353" s="29"/>
      <c r="D353" s="29" t="s">
        <v>27</v>
      </c>
      <c r="E353" s="40"/>
      <c r="F353" s="40" t="n">
        <v>1</v>
      </c>
      <c r="G353" s="35" t="n">
        <v>1</v>
      </c>
    </row>
    <row r="354" customFormat="false" ht="15" hidden="false" customHeight="false" outlineLevel="0" collapsed="false">
      <c r="A354" s="21"/>
      <c r="B354" s="29"/>
      <c r="C354" s="29"/>
      <c r="D354" s="29" t="s">
        <v>30</v>
      </c>
      <c r="E354" s="40"/>
      <c r="F354" s="40" t="n">
        <v>1</v>
      </c>
      <c r="G354" s="35" t="n">
        <v>1</v>
      </c>
    </row>
    <row r="355" customFormat="false" ht="15" hidden="false" customHeight="false" outlineLevel="0" collapsed="false">
      <c r="A355" s="21"/>
      <c r="B355" s="29"/>
      <c r="C355" s="36"/>
      <c r="D355" s="36" t="s">
        <v>28</v>
      </c>
      <c r="E355" s="41"/>
      <c r="F355" s="41" t="n">
        <v>1</v>
      </c>
      <c r="G355" s="39" t="n">
        <v>1</v>
      </c>
    </row>
    <row r="356" customFormat="false" ht="15" hidden="false" customHeight="false" outlineLevel="0" collapsed="false">
      <c r="A356" s="21"/>
      <c r="B356" s="29"/>
      <c r="C356" s="28" t="s">
        <v>104</v>
      </c>
      <c r="D356" s="28"/>
      <c r="E356" s="30"/>
      <c r="F356" s="31" t="n">
        <v>2</v>
      </c>
      <c r="G356" s="32" t="n">
        <v>2</v>
      </c>
    </row>
    <row r="357" customFormat="false" ht="15" hidden="false" customHeight="false" outlineLevel="0" collapsed="false">
      <c r="A357" s="21"/>
      <c r="B357" s="29"/>
      <c r="C357" s="29"/>
      <c r="D357" s="29" t="s">
        <v>27</v>
      </c>
      <c r="E357" s="33"/>
      <c r="F357" s="34" t="n">
        <v>1</v>
      </c>
      <c r="G357" s="35" t="n">
        <v>1</v>
      </c>
    </row>
    <row r="358" customFormat="false" ht="15" hidden="false" customHeight="false" outlineLevel="0" collapsed="false">
      <c r="A358" s="21"/>
      <c r="B358" s="36"/>
      <c r="C358" s="36"/>
      <c r="D358" s="36" t="s">
        <v>28</v>
      </c>
      <c r="E358" s="37"/>
      <c r="F358" s="38" t="n">
        <v>1</v>
      </c>
      <c r="G358" s="39" t="n">
        <v>1</v>
      </c>
    </row>
    <row r="359" customFormat="false" ht="15" hidden="false" customHeight="false" outlineLevel="0" collapsed="false">
      <c r="A359" s="21"/>
      <c r="B359" s="28" t="s">
        <v>105</v>
      </c>
      <c r="C359" s="16"/>
      <c r="D359" s="17"/>
      <c r="E359" s="27"/>
      <c r="F359" s="27" t="n">
        <v>8</v>
      </c>
      <c r="G359" s="20" t="n">
        <v>8</v>
      </c>
    </row>
    <row r="360" customFormat="false" ht="15" hidden="false" customHeight="false" outlineLevel="0" collapsed="false">
      <c r="A360" s="21"/>
      <c r="B360" s="29"/>
      <c r="C360" s="28" t="s">
        <v>91</v>
      </c>
      <c r="D360" s="28"/>
      <c r="E360" s="30"/>
      <c r="F360" s="31" t="n">
        <v>2</v>
      </c>
      <c r="G360" s="32" t="n">
        <v>2</v>
      </c>
    </row>
    <row r="361" customFormat="false" ht="15" hidden="false" customHeight="false" outlineLevel="0" collapsed="false">
      <c r="A361" s="21"/>
      <c r="B361" s="29"/>
      <c r="C361" s="29"/>
      <c r="D361" s="29" t="s">
        <v>27</v>
      </c>
      <c r="E361" s="33"/>
      <c r="F361" s="34" t="n">
        <v>1</v>
      </c>
      <c r="G361" s="35" t="n">
        <v>1</v>
      </c>
    </row>
    <row r="362" customFormat="false" ht="15" hidden="false" customHeight="false" outlineLevel="0" collapsed="false">
      <c r="A362" s="21"/>
      <c r="B362" s="29"/>
      <c r="C362" s="36"/>
      <c r="D362" s="36" t="s">
        <v>28</v>
      </c>
      <c r="E362" s="37"/>
      <c r="F362" s="38" t="n">
        <v>1</v>
      </c>
      <c r="G362" s="39" t="n">
        <v>1</v>
      </c>
    </row>
    <row r="363" customFormat="false" ht="15" hidden="false" customHeight="false" outlineLevel="0" collapsed="false">
      <c r="A363" s="21"/>
      <c r="B363" s="29"/>
      <c r="C363" s="28" t="s">
        <v>94</v>
      </c>
      <c r="D363" s="28"/>
      <c r="E363" s="27"/>
      <c r="F363" s="27" t="n">
        <v>6</v>
      </c>
      <c r="G363" s="32" t="n">
        <v>6</v>
      </c>
    </row>
    <row r="364" customFormat="false" ht="15" hidden="false" customHeight="false" outlineLevel="0" collapsed="false">
      <c r="A364" s="21"/>
      <c r="B364" s="29"/>
      <c r="C364" s="29"/>
      <c r="D364" s="29" t="s">
        <v>25</v>
      </c>
      <c r="E364" s="40"/>
      <c r="F364" s="40" t="n">
        <v>1</v>
      </c>
      <c r="G364" s="35" t="n">
        <v>1</v>
      </c>
    </row>
    <row r="365" customFormat="false" ht="15" hidden="false" customHeight="false" outlineLevel="0" collapsed="false">
      <c r="A365" s="21"/>
      <c r="B365" s="29"/>
      <c r="C365" s="29"/>
      <c r="D365" s="29" t="s">
        <v>34</v>
      </c>
      <c r="E365" s="40"/>
      <c r="F365" s="40" t="n">
        <v>1</v>
      </c>
      <c r="G365" s="35" t="n">
        <v>1</v>
      </c>
    </row>
    <row r="366" customFormat="false" ht="15" hidden="false" customHeight="false" outlineLevel="0" collapsed="false">
      <c r="A366" s="21"/>
      <c r="B366" s="29"/>
      <c r="C366" s="29"/>
      <c r="D366" s="29" t="s">
        <v>27</v>
      </c>
      <c r="E366" s="40"/>
      <c r="F366" s="40" t="n">
        <v>1</v>
      </c>
      <c r="G366" s="35" t="n">
        <v>1</v>
      </c>
    </row>
    <row r="367" customFormat="false" ht="15" hidden="false" customHeight="false" outlineLevel="0" collapsed="false">
      <c r="A367" s="21"/>
      <c r="B367" s="29"/>
      <c r="C367" s="29"/>
      <c r="D367" s="29" t="s">
        <v>30</v>
      </c>
      <c r="E367" s="40"/>
      <c r="F367" s="40" t="n">
        <v>1</v>
      </c>
      <c r="G367" s="35" t="n">
        <v>1</v>
      </c>
    </row>
    <row r="368" customFormat="false" ht="15" hidden="false" customHeight="false" outlineLevel="0" collapsed="false">
      <c r="A368" s="21"/>
      <c r="B368" s="29"/>
      <c r="C368" s="29"/>
      <c r="D368" s="29" t="s">
        <v>32</v>
      </c>
      <c r="E368" s="40"/>
      <c r="F368" s="40" t="n">
        <v>1</v>
      </c>
      <c r="G368" s="35" t="n">
        <v>1</v>
      </c>
    </row>
    <row r="369" customFormat="false" ht="15" hidden="false" customHeight="false" outlineLevel="0" collapsed="false">
      <c r="A369" s="21"/>
      <c r="B369" s="36"/>
      <c r="C369" s="36"/>
      <c r="D369" s="36" t="s">
        <v>28</v>
      </c>
      <c r="E369" s="41"/>
      <c r="F369" s="41" t="n">
        <v>1</v>
      </c>
      <c r="G369" s="39" t="n">
        <v>1</v>
      </c>
    </row>
    <row r="370" customFormat="false" ht="15" hidden="false" customHeight="false" outlineLevel="0" collapsed="false">
      <c r="A370" s="21"/>
      <c r="B370" s="28" t="s">
        <v>106</v>
      </c>
      <c r="C370" s="16"/>
      <c r="D370" s="17"/>
      <c r="E370" s="18"/>
      <c r="F370" s="19" t="n">
        <v>35</v>
      </c>
      <c r="G370" s="20" t="n">
        <v>35</v>
      </c>
    </row>
    <row r="371" customFormat="false" ht="15" hidden="false" customHeight="false" outlineLevel="0" collapsed="false">
      <c r="A371" s="21"/>
      <c r="B371" s="29"/>
      <c r="C371" s="28" t="s">
        <v>107</v>
      </c>
      <c r="D371" s="28"/>
      <c r="E371" s="27"/>
      <c r="F371" s="27" t="n">
        <v>6</v>
      </c>
      <c r="G371" s="32" t="n">
        <v>6</v>
      </c>
    </row>
    <row r="372" customFormat="false" ht="15" hidden="false" customHeight="false" outlineLevel="0" collapsed="false">
      <c r="A372" s="21"/>
      <c r="B372" s="29"/>
      <c r="C372" s="29"/>
      <c r="D372" s="29" t="s">
        <v>25</v>
      </c>
      <c r="E372" s="40"/>
      <c r="F372" s="40" t="n">
        <v>1</v>
      </c>
      <c r="G372" s="35" t="n">
        <v>1</v>
      </c>
    </row>
    <row r="373" customFormat="false" ht="15" hidden="false" customHeight="false" outlineLevel="0" collapsed="false">
      <c r="A373" s="21"/>
      <c r="B373" s="29"/>
      <c r="C373" s="29"/>
      <c r="D373" s="29" t="s">
        <v>50</v>
      </c>
      <c r="E373" s="40"/>
      <c r="F373" s="40" t="n">
        <v>1</v>
      </c>
      <c r="G373" s="35" t="n">
        <v>1</v>
      </c>
    </row>
    <row r="374" customFormat="false" ht="15" hidden="false" customHeight="false" outlineLevel="0" collapsed="false">
      <c r="A374" s="21"/>
      <c r="B374" s="29"/>
      <c r="C374" s="29"/>
      <c r="D374" s="29" t="s">
        <v>30</v>
      </c>
      <c r="E374" s="40"/>
      <c r="F374" s="40" t="n">
        <v>1</v>
      </c>
      <c r="G374" s="35" t="n">
        <v>1</v>
      </c>
    </row>
    <row r="375" customFormat="false" ht="15" hidden="false" customHeight="false" outlineLevel="0" collapsed="false">
      <c r="A375" s="21"/>
      <c r="B375" s="29"/>
      <c r="C375" s="29"/>
      <c r="D375" s="29" t="s">
        <v>32</v>
      </c>
      <c r="E375" s="40"/>
      <c r="F375" s="40" t="n">
        <v>2</v>
      </c>
      <c r="G375" s="35" t="n">
        <v>2</v>
      </c>
    </row>
    <row r="376" customFormat="false" ht="15" hidden="false" customHeight="false" outlineLevel="0" collapsed="false">
      <c r="A376" s="21"/>
      <c r="B376" s="29"/>
      <c r="C376" s="36"/>
      <c r="D376" s="36" t="s">
        <v>28</v>
      </c>
      <c r="E376" s="41"/>
      <c r="F376" s="41" t="n">
        <v>1</v>
      </c>
      <c r="G376" s="39" t="n">
        <v>1</v>
      </c>
    </row>
    <row r="377" customFormat="false" ht="15" hidden="false" customHeight="false" outlineLevel="0" collapsed="false">
      <c r="A377" s="21"/>
      <c r="B377" s="29"/>
      <c r="C377" s="28" t="s">
        <v>108</v>
      </c>
      <c r="D377" s="28"/>
      <c r="E377" s="30"/>
      <c r="F377" s="31" t="n">
        <v>4</v>
      </c>
      <c r="G377" s="32" t="n">
        <v>4</v>
      </c>
    </row>
    <row r="378" customFormat="false" ht="15" hidden="false" customHeight="false" outlineLevel="0" collapsed="false">
      <c r="A378" s="21"/>
      <c r="B378" s="29"/>
      <c r="C378" s="29"/>
      <c r="D378" s="29" t="s">
        <v>71</v>
      </c>
      <c r="E378" s="33"/>
      <c r="F378" s="34" t="n">
        <v>1</v>
      </c>
      <c r="G378" s="35" t="n">
        <v>1</v>
      </c>
    </row>
    <row r="379" customFormat="false" ht="15" hidden="false" customHeight="false" outlineLevel="0" collapsed="false">
      <c r="A379" s="21"/>
      <c r="B379" s="29"/>
      <c r="C379" s="29"/>
      <c r="D379" s="29" t="s">
        <v>50</v>
      </c>
      <c r="E379" s="33"/>
      <c r="F379" s="34" t="n">
        <v>1</v>
      </c>
      <c r="G379" s="35" t="n">
        <v>1</v>
      </c>
    </row>
    <row r="380" customFormat="false" ht="15" hidden="false" customHeight="false" outlineLevel="0" collapsed="false">
      <c r="A380" s="21"/>
      <c r="B380" s="29"/>
      <c r="C380" s="29"/>
      <c r="D380" s="29" t="s">
        <v>72</v>
      </c>
      <c r="E380" s="33"/>
      <c r="F380" s="34" t="n">
        <v>1</v>
      </c>
      <c r="G380" s="35" t="n">
        <v>1</v>
      </c>
    </row>
    <row r="381" customFormat="false" ht="15" hidden="false" customHeight="false" outlineLevel="0" collapsed="false">
      <c r="A381" s="21"/>
      <c r="B381" s="29"/>
      <c r="C381" s="36"/>
      <c r="D381" s="36" t="s">
        <v>73</v>
      </c>
      <c r="E381" s="37"/>
      <c r="F381" s="38" t="n">
        <v>1</v>
      </c>
      <c r="G381" s="39" t="n">
        <v>1</v>
      </c>
    </row>
    <row r="382" customFormat="false" ht="15" hidden="false" customHeight="false" outlineLevel="0" collapsed="false">
      <c r="A382" s="21"/>
      <c r="B382" s="29"/>
      <c r="C382" s="28" t="s">
        <v>109</v>
      </c>
      <c r="D382" s="28"/>
      <c r="E382" s="27"/>
      <c r="F382" s="27" t="n">
        <v>1</v>
      </c>
      <c r="G382" s="32" t="n">
        <v>1</v>
      </c>
    </row>
    <row r="383" customFormat="false" ht="15" hidden="false" customHeight="false" outlineLevel="0" collapsed="false">
      <c r="A383" s="21"/>
      <c r="B383" s="29"/>
      <c r="C383" s="36"/>
      <c r="D383" s="36" t="s">
        <v>27</v>
      </c>
      <c r="E383" s="41"/>
      <c r="F383" s="41" t="n">
        <v>1</v>
      </c>
      <c r="G383" s="39" t="n">
        <v>1</v>
      </c>
    </row>
    <row r="384" customFormat="false" ht="15" hidden="false" customHeight="false" outlineLevel="0" collapsed="false">
      <c r="A384" s="21"/>
      <c r="B384" s="29"/>
      <c r="C384" s="28" t="s">
        <v>110</v>
      </c>
      <c r="D384" s="28"/>
      <c r="E384" s="30"/>
      <c r="F384" s="31" t="n">
        <v>5</v>
      </c>
      <c r="G384" s="32" t="n">
        <v>5</v>
      </c>
    </row>
    <row r="385" customFormat="false" ht="15" hidden="false" customHeight="false" outlineLevel="0" collapsed="false">
      <c r="A385" s="21"/>
      <c r="B385" s="29"/>
      <c r="C385" s="29"/>
      <c r="D385" s="29" t="s">
        <v>25</v>
      </c>
      <c r="E385" s="33"/>
      <c r="F385" s="34" t="n">
        <v>1</v>
      </c>
      <c r="G385" s="35" t="n">
        <v>1</v>
      </c>
    </row>
    <row r="386" customFormat="false" ht="15" hidden="false" customHeight="false" outlineLevel="0" collapsed="false">
      <c r="A386" s="21"/>
      <c r="B386" s="29"/>
      <c r="C386" s="29"/>
      <c r="D386" s="29" t="s">
        <v>34</v>
      </c>
      <c r="E386" s="33"/>
      <c r="F386" s="34" t="n">
        <v>1</v>
      </c>
      <c r="G386" s="35" t="n">
        <v>1</v>
      </c>
    </row>
    <row r="387" customFormat="false" ht="15" hidden="false" customHeight="false" outlineLevel="0" collapsed="false">
      <c r="A387" s="21"/>
      <c r="B387" s="29"/>
      <c r="C387" s="29"/>
      <c r="D387" s="29" t="s">
        <v>27</v>
      </c>
      <c r="E387" s="33"/>
      <c r="F387" s="34" t="n">
        <v>1</v>
      </c>
      <c r="G387" s="35" t="n">
        <v>1</v>
      </c>
    </row>
    <row r="388" customFormat="false" ht="15" hidden="false" customHeight="false" outlineLevel="0" collapsed="false">
      <c r="A388" s="21"/>
      <c r="B388" s="29"/>
      <c r="C388" s="29"/>
      <c r="D388" s="29" t="s">
        <v>30</v>
      </c>
      <c r="E388" s="33"/>
      <c r="F388" s="34" t="n">
        <v>1</v>
      </c>
      <c r="G388" s="35" t="n">
        <v>1</v>
      </c>
    </row>
    <row r="389" customFormat="false" ht="15" hidden="false" customHeight="false" outlineLevel="0" collapsed="false">
      <c r="A389" s="21"/>
      <c r="B389" s="29"/>
      <c r="C389" s="36"/>
      <c r="D389" s="36" t="s">
        <v>28</v>
      </c>
      <c r="E389" s="37"/>
      <c r="F389" s="38" t="n">
        <v>1</v>
      </c>
      <c r="G389" s="39" t="n">
        <v>1</v>
      </c>
    </row>
    <row r="390" customFormat="false" ht="15" hidden="false" customHeight="false" outlineLevel="0" collapsed="false">
      <c r="A390" s="21"/>
      <c r="B390" s="29"/>
      <c r="C390" s="28" t="s">
        <v>111</v>
      </c>
      <c r="D390" s="28"/>
      <c r="E390" s="27"/>
      <c r="F390" s="27" t="n">
        <v>1</v>
      </c>
      <c r="G390" s="32" t="n">
        <v>1</v>
      </c>
    </row>
    <row r="391" customFormat="false" ht="15" hidden="false" customHeight="false" outlineLevel="0" collapsed="false">
      <c r="A391" s="21"/>
      <c r="B391" s="29"/>
      <c r="C391" s="36"/>
      <c r="D391" s="36" t="s">
        <v>27</v>
      </c>
      <c r="E391" s="41"/>
      <c r="F391" s="41" t="n">
        <v>1</v>
      </c>
      <c r="G391" s="39" t="n">
        <v>1</v>
      </c>
    </row>
    <row r="392" customFormat="false" ht="15" hidden="false" customHeight="false" outlineLevel="0" collapsed="false">
      <c r="A392" s="21"/>
      <c r="B392" s="29"/>
      <c r="C392" s="28" t="s">
        <v>112</v>
      </c>
      <c r="D392" s="28"/>
      <c r="E392" s="30"/>
      <c r="F392" s="31" t="n">
        <v>3</v>
      </c>
      <c r="G392" s="32" t="n">
        <v>3</v>
      </c>
    </row>
    <row r="393" customFormat="false" ht="15" hidden="false" customHeight="false" outlineLevel="0" collapsed="false">
      <c r="A393" s="21"/>
      <c r="B393" s="29"/>
      <c r="C393" s="29"/>
      <c r="D393" s="29" t="s">
        <v>25</v>
      </c>
      <c r="E393" s="33"/>
      <c r="F393" s="34" t="n">
        <v>1</v>
      </c>
      <c r="G393" s="35" t="n">
        <v>1</v>
      </c>
    </row>
    <row r="394" customFormat="false" ht="15" hidden="false" customHeight="false" outlineLevel="0" collapsed="false">
      <c r="A394" s="21"/>
      <c r="B394" s="29"/>
      <c r="C394" s="29"/>
      <c r="D394" s="29" t="s">
        <v>27</v>
      </c>
      <c r="E394" s="33"/>
      <c r="F394" s="34" t="n">
        <v>1</v>
      </c>
      <c r="G394" s="35" t="n">
        <v>1</v>
      </c>
    </row>
    <row r="395" customFormat="false" ht="15" hidden="false" customHeight="false" outlineLevel="0" collapsed="false">
      <c r="A395" s="21"/>
      <c r="B395" s="29"/>
      <c r="C395" s="36"/>
      <c r="D395" s="36" t="s">
        <v>30</v>
      </c>
      <c r="E395" s="37"/>
      <c r="F395" s="38" t="n">
        <v>1</v>
      </c>
      <c r="G395" s="39" t="n">
        <v>1</v>
      </c>
    </row>
    <row r="396" customFormat="false" ht="15" hidden="false" customHeight="false" outlineLevel="0" collapsed="false">
      <c r="A396" s="21"/>
      <c r="B396" s="29"/>
      <c r="C396" s="28" t="s">
        <v>113</v>
      </c>
      <c r="D396" s="28"/>
      <c r="E396" s="27"/>
      <c r="F396" s="27" t="n">
        <v>4</v>
      </c>
      <c r="G396" s="32" t="n">
        <v>4</v>
      </c>
    </row>
    <row r="397" customFormat="false" ht="15" hidden="false" customHeight="false" outlineLevel="0" collapsed="false">
      <c r="A397" s="21"/>
      <c r="B397" s="29"/>
      <c r="C397" s="29"/>
      <c r="D397" s="29" t="s">
        <v>25</v>
      </c>
      <c r="E397" s="40"/>
      <c r="F397" s="40" t="n">
        <v>1</v>
      </c>
      <c r="G397" s="35" t="n">
        <v>1</v>
      </c>
    </row>
    <row r="398" customFormat="false" ht="15" hidden="false" customHeight="false" outlineLevel="0" collapsed="false">
      <c r="A398" s="21"/>
      <c r="B398" s="29"/>
      <c r="C398" s="29"/>
      <c r="D398" s="29" t="s">
        <v>27</v>
      </c>
      <c r="E398" s="40"/>
      <c r="F398" s="40" t="n">
        <v>1</v>
      </c>
      <c r="G398" s="35" t="n">
        <v>1</v>
      </c>
    </row>
    <row r="399" customFormat="false" ht="15" hidden="false" customHeight="false" outlineLevel="0" collapsed="false">
      <c r="A399" s="21"/>
      <c r="B399" s="29"/>
      <c r="C399" s="29"/>
      <c r="D399" s="29" t="s">
        <v>30</v>
      </c>
      <c r="E399" s="40"/>
      <c r="F399" s="40" t="n">
        <v>1</v>
      </c>
      <c r="G399" s="35" t="n">
        <v>1</v>
      </c>
    </row>
    <row r="400" customFormat="false" ht="15" hidden="false" customHeight="false" outlineLevel="0" collapsed="false">
      <c r="A400" s="21"/>
      <c r="B400" s="29"/>
      <c r="C400" s="36"/>
      <c r="D400" s="36" t="s">
        <v>28</v>
      </c>
      <c r="E400" s="41"/>
      <c r="F400" s="41" t="n">
        <v>1</v>
      </c>
      <c r="G400" s="39" t="n">
        <v>1</v>
      </c>
    </row>
    <row r="401" customFormat="false" ht="15" hidden="false" customHeight="false" outlineLevel="0" collapsed="false">
      <c r="A401" s="21"/>
      <c r="B401" s="29"/>
      <c r="C401" s="28" t="s">
        <v>114</v>
      </c>
      <c r="D401" s="28"/>
      <c r="E401" s="30"/>
      <c r="F401" s="31" t="n">
        <v>7</v>
      </c>
      <c r="G401" s="32" t="n">
        <v>7</v>
      </c>
    </row>
    <row r="402" customFormat="false" ht="15" hidden="false" customHeight="false" outlineLevel="0" collapsed="false">
      <c r="A402" s="21"/>
      <c r="B402" s="29"/>
      <c r="C402" s="29"/>
      <c r="D402" s="29" t="s">
        <v>25</v>
      </c>
      <c r="E402" s="33"/>
      <c r="F402" s="34" t="n">
        <v>1</v>
      </c>
      <c r="G402" s="35" t="n">
        <v>1</v>
      </c>
    </row>
    <row r="403" customFormat="false" ht="15" hidden="false" customHeight="false" outlineLevel="0" collapsed="false">
      <c r="A403" s="21"/>
      <c r="B403" s="29"/>
      <c r="C403" s="29"/>
      <c r="D403" s="29" t="s">
        <v>34</v>
      </c>
      <c r="E403" s="33"/>
      <c r="F403" s="34" t="n">
        <v>3</v>
      </c>
      <c r="G403" s="35" t="n">
        <v>3</v>
      </c>
    </row>
    <row r="404" customFormat="false" ht="15" hidden="false" customHeight="false" outlineLevel="0" collapsed="false">
      <c r="A404" s="21"/>
      <c r="B404" s="29"/>
      <c r="C404" s="29"/>
      <c r="D404" s="29" t="s">
        <v>27</v>
      </c>
      <c r="E404" s="33"/>
      <c r="F404" s="34" t="n">
        <v>1</v>
      </c>
      <c r="G404" s="35" t="n">
        <v>1</v>
      </c>
    </row>
    <row r="405" customFormat="false" ht="15" hidden="false" customHeight="false" outlineLevel="0" collapsed="false">
      <c r="A405" s="21"/>
      <c r="B405" s="29"/>
      <c r="C405" s="29"/>
      <c r="D405" s="29" t="s">
        <v>30</v>
      </c>
      <c r="E405" s="33"/>
      <c r="F405" s="34" t="n">
        <v>1</v>
      </c>
      <c r="G405" s="35" t="n">
        <v>1</v>
      </c>
    </row>
    <row r="406" customFormat="false" ht="15" hidden="false" customHeight="false" outlineLevel="0" collapsed="false">
      <c r="A406" s="21"/>
      <c r="B406" s="29"/>
      <c r="C406" s="36"/>
      <c r="D406" s="36" t="s">
        <v>32</v>
      </c>
      <c r="E406" s="37"/>
      <c r="F406" s="38" t="n">
        <v>1</v>
      </c>
      <c r="G406" s="39" t="n">
        <v>1</v>
      </c>
    </row>
    <row r="407" customFormat="false" ht="15" hidden="false" customHeight="false" outlineLevel="0" collapsed="false">
      <c r="A407" s="21"/>
      <c r="B407" s="29"/>
      <c r="C407" s="28" t="s">
        <v>115</v>
      </c>
      <c r="D407" s="28"/>
      <c r="E407" s="27"/>
      <c r="F407" s="27" t="n">
        <v>4</v>
      </c>
      <c r="G407" s="32" t="n">
        <v>4</v>
      </c>
    </row>
    <row r="408" customFormat="false" ht="15" hidden="false" customHeight="false" outlineLevel="0" collapsed="false">
      <c r="A408" s="21"/>
      <c r="B408" s="29"/>
      <c r="C408" s="29"/>
      <c r="D408" s="29" t="s">
        <v>25</v>
      </c>
      <c r="E408" s="40"/>
      <c r="F408" s="40" t="n">
        <v>1</v>
      </c>
      <c r="G408" s="35" t="n">
        <v>1</v>
      </c>
    </row>
    <row r="409" customFormat="false" ht="15" hidden="false" customHeight="false" outlineLevel="0" collapsed="false">
      <c r="A409" s="21"/>
      <c r="B409" s="29"/>
      <c r="C409" s="29"/>
      <c r="D409" s="29" t="s">
        <v>27</v>
      </c>
      <c r="E409" s="40"/>
      <c r="F409" s="40" t="n">
        <v>1</v>
      </c>
      <c r="G409" s="35" t="n">
        <v>1</v>
      </c>
    </row>
    <row r="410" customFormat="false" ht="15" hidden="false" customHeight="false" outlineLevel="0" collapsed="false">
      <c r="A410" s="21"/>
      <c r="B410" s="29"/>
      <c r="C410" s="29"/>
      <c r="D410" s="29" t="s">
        <v>30</v>
      </c>
      <c r="E410" s="40"/>
      <c r="F410" s="40" t="n">
        <v>1</v>
      </c>
      <c r="G410" s="35" t="n">
        <v>1</v>
      </c>
    </row>
    <row r="411" customFormat="false" ht="15" hidden="false" customHeight="false" outlineLevel="0" collapsed="false">
      <c r="A411" s="21"/>
      <c r="B411" s="36"/>
      <c r="C411" s="36"/>
      <c r="D411" s="36" t="s">
        <v>32</v>
      </c>
      <c r="E411" s="41"/>
      <c r="F411" s="41" t="n">
        <v>1</v>
      </c>
      <c r="G411" s="39" t="n">
        <v>1</v>
      </c>
    </row>
    <row r="412" customFormat="false" ht="15" hidden="false" customHeight="false" outlineLevel="0" collapsed="false">
      <c r="A412" s="21"/>
      <c r="B412" s="28" t="s">
        <v>116</v>
      </c>
      <c r="C412" s="16"/>
      <c r="D412" s="17"/>
      <c r="E412" s="18"/>
      <c r="F412" s="19" t="n">
        <v>24</v>
      </c>
      <c r="G412" s="20" t="n">
        <v>24</v>
      </c>
    </row>
    <row r="413" customFormat="false" ht="15" hidden="false" customHeight="false" outlineLevel="0" collapsed="false">
      <c r="A413" s="21"/>
      <c r="B413" s="29"/>
      <c r="C413" s="28" t="s">
        <v>117</v>
      </c>
      <c r="D413" s="28"/>
      <c r="E413" s="27"/>
      <c r="F413" s="27" t="n">
        <v>5</v>
      </c>
      <c r="G413" s="32" t="n">
        <v>5</v>
      </c>
    </row>
    <row r="414" customFormat="false" ht="15" hidden="false" customHeight="false" outlineLevel="0" collapsed="false">
      <c r="A414" s="21"/>
      <c r="B414" s="29"/>
      <c r="C414" s="29"/>
      <c r="D414" s="29" t="s">
        <v>25</v>
      </c>
      <c r="E414" s="40"/>
      <c r="F414" s="40" t="n">
        <v>1</v>
      </c>
      <c r="G414" s="35" t="n">
        <v>1</v>
      </c>
    </row>
    <row r="415" customFormat="false" ht="15" hidden="false" customHeight="false" outlineLevel="0" collapsed="false">
      <c r="A415" s="21"/>
      <c r="B415" s="29"/>
      <c r="C415" s="29"/>
      <c r="D415" s="29" t="s">
        <v>34</v>
      </c>
      <c r="E415" s="40"/>
      <c r="F415" s="40" t="n">
        <v>2</v>
      </c>
      <c r="G415" s="35" t="n">
        <v>2</v>
      </c>
    </row>
    <row r="416" customFormat="false" ht="15" hidden="false" customHeight="false" outlineLevel="0" collapsed="false">
      <c r="A416" s="21"/>
      <c r="B416" s="29"/>
      <c r="C416" s="29"/>
      <c r="D416" s="29" t="s">
        <v>27</v>
      </c>
      <c r="E416" s="40"/>
      <c r="F416" s="40" t="n">
        <v>1</v>
      </c>
      <c r="G416" s="35" t="n">
        <v>1</v>
      </c>
    </row>
    <row r="417" customFormat="false" ht="15" hidden="false" customHeight="false" outlineLevel="0" collapsed="false">
      <c r="A417" s="21"/>
      <c r="B417" s="29"/>
      <c r="C417" s="36"/>
      <c r="D417" s="36" t="s">
        <v>30</v>
      </c>
      <c r="E417" s="41"/>
      <c r="F417" s="41" t="n">
        <v>1</v>
      </c>
      <c r="G417" s="39" t="n">
        <v>1</v>
      </c>
    </row>
    <row r="418" customFormat="false" ht="15" hidden="false" customHeight="false" outlineLevel="0" collapsed="false">
      <c r="A418" s="21"/>
      <c r="B418" s="29"/>
      <c r="C418" s="28" t="s">
        <v>118</v>
      </c>
      <c r="D418" s="28"/>
      <c r="E418" s="30"/>
      <c r="F418" s="31" t="n">
        <v>4</v>
      </c>
      <c r="G418" s="32" t="n">
        <v>4</v>
      </c>
    </row>
    <row r="419" customFormat="false" ht="15" hidden="false" customHeight="false" outlineLevel="0" collapsed="false">
      <c r="A419" s="21"/>
      <c r="B419" s="29"/>
      <c r="C419" s="29"/>
      <c r="D419" s="29" t="s">
        <v>25</v>
      </c>
      <c r="E419" s="33"/>
      <c r="F419" s="34" t="n">
        <v>1</v>
      </c>
      <c r="G419" s="35" t="n">
        <v>1</v>
      </c>
    </row>
    <row r="420" customFormat="false" ht="15" hidden="false" customHeight="false" outlineLevel="0" collapsed="false">
      <c r="A420" s="21"/>
      <c r="B420" s="29"/>
      <c r="C420" s="29"/>
      <c r="D420" s="29" t="s">
        <v>27</v>
      </c>
      <c r="E420" s="33"/>
      <c r="F420" s="34" t="n">
        <v>1</v>
      </c>
      <c r="G420" s="35" t="n">
        <v>1</v>
      </c>
    </row>
    <row r="421" customFormat="false" ht="15" hidden="false" customHeight="false" outlineLevel="0" collapsed="false">
      <c r="A421" s="21"/>
      <c r="B421" s="29"/>
      <c r="C421" s="29"/>
      <c r="D421" s="29" t="s">
        <v>30</v>
      </c>
      <c r="E421" s="33"/>
      <c r="F421" s="34" t="n">
        <v>1</v>
      </c>
      <c r="G421" s="35" t="n">
        <v>1</v>
      </c>
    </row>
    <row r="422" customFormat="false" ht="15" hidden="false" customHeight="false" outlineLevel="0" collapsed="false">
      <c r="A422" s="21"/>
      <c r="B422" s="29"/>
      <c r="C422" s="36"/>
      <c r="D422" s="36" t="s">
        <v>28</v>
      </c>
      <c r="E422" s="37"/>
      <c r="F422" s="38" t="n">
        <v>1</v>
      </c>
      <c r="G422" s="39" t="n">
        <v>1</v>
      </c>
    </row>
    <row r="423" customFormat="false" ht="15" hidden="false" customHeight="false" outlineLevel="0" collapsed="false">
      <c r="A423" s="21"/>
      <c r="B423" s="29"/>
      <c r="C423" s="28" t="s">
        <v>119</v>
      </c>
      <c r="D423" s="28"/>
      <c r="E423" s="27"/>
      <c r="F423" s="27" t="n">
        <v>4</v>
      </c>
      <c r="G423" s="32" t="n">
        <v>4</v>
      </c>
    </row>
    <row r="424" customFormat="false" ht="15" hidden="false" customHeight="false" outlineLevel="0" collapsed="false">
      <c r="A424" s="21"/>
      <c r="B424" s="29"/>
      <c r="C424" s="29"/>
      <c r="D424" s="29" t="s">
        <v>25</v>
      </c>
      <c r="E424" s="40"/>
      <c r="F424" s="40" t="n">
        <v>1</v>
      </c>
      <c r="G424" s="35" t="n">
        <v>1</v>
      </c>
    </row>
    <row r="425" customFormat="false" ht="15" hidden="false" customHeight="false" outlineLevel="0" collapsed="false">
      <c r="A425" s="21"/>
      <c r="B425" s="29"/>
      <c r="C425" s="29"/>
      <c r="D425" s="29" t="s">
        <v>50</v>
      </c>
      <c r="E425" s="40"/>
      <c r="F425" s="40" t="n">
        <v>1</v>
      </c>
      <c r="G425" s="35" t="n">
        <v>1</v>
      </c>
    </row>
    <row r="426" customFormat="false" ht="15" hidden="false" customHeight="false" outlineLevel="0" collapsed="false">
      <c r="A426" s="21"/>
      <c r="B426" s="29"/>
      <c r="C426" s="29"/>
      <c r="D426" s="29" t="s">
        <v>27</v>
      </c>
      <c r="E426" s="40"/>
      <c r="F426" s="40" t="n">
        <v>1</v>
      </c>
      <c r="G426" s="35" t="n">
        <v>1</v>
      </c>
    </row>
    <row r="427" customFormat="false" ht="15" hidden="false" customHeight="false" outlineLevel="0" collapsed="false">
      <c r="A427" s="21"/>
      <c r="B427" s="29"/>
      <c r="C427" s="36"/>
      <c r="D427" s="36" t="s">
        <v>30</v>
      </c>
      <c r="E427" s="41"/>
      <c r="F427" s="41" t="n">
        <v>1</v>
      </c>
      <c r="G427" s="39" t="n">
        <v>1</v>
      </c>
    </row>
    <row r="428" customFormat="false" ht="15" hidden="false" customHeight="false" outlineLevel="0" collapsed="false">
      <c r="A428" s="21"/>
      <c r="B428" s="29"/>
      <c r="C428" s="28" t="s">
        <v>120</v>
      </c>
      <c r="D428" s="28"/>
      <c r="E428" s="30"/>
      <c r="F428" s="31" t="n">
        <v>5</v>
      </c>
      <c r="G428" s="32" t="n">
        <v>5</v>
      </c>
    </row>
    <row r="429" customFormat="false" ht="15" hidden="false" customHeight="false" outlineLevel="0" collapsed="false">
      <c r="A429" s="21"/>
      <c r="B429" s="29"/>
      <c r="C429" s="29"/>
      <c r="D429" s="29" t="s">
        <v>25</v>
      </c>
      <c r="E429" s="33"/>
      <c r="F429" s="34" t="n">
        <v>1</v>
      </c>
      <c r="G429" s="35" t="n">
        <v>1</v>
      </c>
    </row>
    <row r="430" customFormat="false" ht="15" hidden="false" customHeight="false" outlineLevel="0" collapsed="false">
      <c r="A430" s="21"/>
      <c r="B430" s="29"/>
      <c r="C430" s="29"/>
      <c r="D430" s="29" t="s">
        <v>34</v>
      </c>
      <c r="E430" s="33"/>
      <c r="F430" s="34" t="n">
        <v>1</v>
      </c>
      <c r="G430" s="35" t="n">
        <v>1</v>
      </c>
    </row>
    <row r="431" customFormat="false" ht="15" hidden="false" customHeight="false" outlineLevel="0" collapsed="false">
      <c r="A431" s="21"/>
      <c r="B431" s="29"/>
      <c r="C431" s="29"/>
      <c r="D431" s="29" t="s">
        <v>26</v>
      </c>
      <c r="E431" s="33"/>
      <c r="F431" s="34" t="n">
        <v>1</v>
      </c>
      <c r="G431" s="35" t="n">
        <v>1</v>
      </c>
    </row>
    <row r="432" customFormat="false" ht="15" hidden="false" customHeight="false" outlineLevel="0" collapsed="false">
      <c r="A432" s="21"/>
      <c r="B432" s="29"/>
      <c r="C432" s="29"/>
      <c r="D432" s="29" t="s">
        <v>27</v>
      </c>
      <c r="E432" s="33"/>
      <c r="F432" s="34" t="n">
        <v>1</v>
      </c>
      <c r="G432" s="35" t="n">
        <v>1</v>
      </c>
    </row>
    <row r="433" customFormat="false" ht="15" hidden="false" customHeight="false" outlineLevel="0" collapsed="false">
      <c r="A433" s="21"/>
      <c r="B433" s="29"/>
      <c r="C433" s="36"/>
      <c r="D433" s="36" t="s">
        <v>30</v>
      </c>
      <c r="E433" s="37"/>
      <c r="F433" s="38" t="n">
        <v>1</v>
      </c>
      <c r="G433" s="39" t="n">
        <v>1</v>
      </c>
    </row>
    <row r="434" customFormat="false" ht="15" hidden="false" customHeight="false" outlineLevel="0" collapsed="false">
      <c r="A434" s="21"/>
      <c r="B434" s="29"/>
      <c r="C434" s="28" t="s">
        <v>121</v>
      </c>
      <c r="D434" s="28"/>
      <c r="E434" s="27"/>
      <c r="F434" s="27" t="n">
        <v>3</v>
      </c>
      <c r="G434" s="32" t="n">
        <v>3</v>
      </c>
    </row>
    <row r="435" customFormat="false" ht="15" hidden="false" customHeight="false" outlineLevel="0" collapsed="false">
      <c r="A435" s="21"/>
      <c r="B435" s="29"/>
      <c r="C435" s="29"/>
      <c r="D435" s="29" t="s">
        <v>71</v>
      </c>
      <c r="E435" s="40"/>
      <c r="F435" s="40" t="n">
        <v>1</v>
      </c>
      <c r="G435" s="35" t="n">
        <v>1</v>
      </c>
    </row>
    <row r="436" customFormat="false" ht="15" hidden="false" customHeight="false" outlineLevel="0" collapsed="false">
      <c r="A436" s="21"/>
      <c r="B436" s="29"/>
      <c r="C436" s="29"/>
      <c r="D436" s="29" t="s">
        <v>72</v>
      </c>
      <c r="E436" s="40"/>
      <c r="F436" s="40" t="n">
        <v>1</v>
      </c>
      <c r="G436" s="35" t="n">
        <v>1</v>
      </c>
    </row>
    <row r="437" customFormat="false" ht="15" hidden="false" customHeight="false" outlineLevel="0" collapsed="false">
      <c r="A437" s="21"/>
      <c r="B437" s="29"/>
      <c r="C437" s="36"/>
      <c r="D437" s="36" t="s">
        <v>73</v>
      </c>
      <c r="E437" s="41"/>
      <c r="F437" s="41" t="n">
        <v>1</v>
      </c>
      <c r="G437" s="39" t="n">
        <v>1</v>
      </c>
    </row>
    <row r="438" customFormat="false" ht="15" hidden="false" customHeight="false" outlineLevel="0" collapsed="false">
      <c r="A438" s="21"/>
      <c r="B438" s="29"/>
      <c r="C438" s="28" t="s">
        <v>122</v>
      </c>
      <c r="D438" s="28"/>
      <c r="E438" s="30"/>
      <c r="F438" s="31" t="n">
        <v>3</v>
      </c>
      <c r="G438" s="32" t="n">
        <v>3</v>
      </c>
    </row>
    <row r="439" customFormat="false" ht="15" hidden="false" customHeight="false" outlineLevel="0" collapsed="false">
      <c r="A439" s="21"/>
      <c r="B439" s="29"/>
      <c r="C439" s="29"/>
      <c r="D439" s="29" t="s">
        <v>71</v>
      </c>
      <c r="E439" s="33"/>
      <c r="F439" s="34" t="n">
        <v>1</v>
      </c>
      <c r="G439" s="35" t="n">
        <v>1</v>
      </c>
    </row>
    <row r="440" customFormat="false" ht="15" hidden="false" customHeight="false" outlineLevel="0" collapsed="false">
      <c r="A440" s="21"/>
      <c r="B440" s="29"/>
      <c r="C440" s="29"/>
      <c r="D440" s="29" t="s">
        <v>72</v>
      </c>
      <c r="E440" s="33"/>
      <c r="F440" s="34" t="n">
        <v>1</v>
      </c>
      <c r="G440" s="35" t="n">
        <v>1</v>
      </c>
    </row>
    <row r="441" customFormat="false" ht="15" hidden="false" customHeight="false" outlineLevel="0" collapsed="false">
      <c r="A441" s="21"/>
      <c r="B441" s="36"/>
      <c r="C441" s="36"/>
      <c r="D441" s="36" t="s">
        <v>73</v>
      </c>
      <c r="E441" s="37"/>
      <c r="F441" s="38" t="n">
        <v>1</v>
      </c>
      <c r="G441" s="39" t="n">
        <v>1</v>
      </c>
    </row>
    <row r="442" customFormat="false" ht="15" hidden="false" customHeight="false" outlineLevel="0" collapsed="false">
      <c r="A442" s="21"/>
      <c r="B442" s="28" t="s">
        <v>123</v>
      </c>
      <c r="C442" s="16"/>
      <c r="D442" s="17"/>
      <c r="E442" s="27"/>
      <c r="F442" s="27" t="n">
        <v>56</v>
      </c>
      <c r="G442" s="20" t="n">
        <v>56</v>
      </c>
    </row>
    <row r="443" customFormat="false" ht="15" hidden="false" customHeight="false" outlineLevel="0" collapsed="false">
      <c r="A443" s="21"/>
      <c r="B443" s="29"/>
      <c r="C443" s="28" t="s">
        <v>124</v>
      </c>
      <c r="D443" s="28"/>
      <c r="E443" s="30"/>
      <c r="F443" s="31" t="n">
        <v>1</v>
      </c>
      <c r="G443" s="32" t="n">
        <v>1</v>
      </c>
    </row>
    <row r="444" customFormat="false" ht="15" hidden="false" customHeight="false" outlineLevel="0" collapsed="false">
      <c r="A444" s="21"/>
      <c r="B444" s="29"/>
      <c r="C444" s="36"/>
      <c r="D444" s="36" t="s">
        <v>27</v>
      </c>
      <c r="E444" s="37"/>
      <c r="F444" s="38" t="n">
        <v>1</v>
      </c>
      <c r="G444" s="39" t="n">
        <v>1</v>
      </c>
    </row>
    <row r="445" customFormat="false" ht="15" hidden="false" customHeight="false" outlineLevel="0" collapsed="false">
      <c r="A445" s="21"/>
      <c r="B445" s="29"/>
      <c r="C445" s="28" t="s">
        <v>125</v>
      </c>
      <c r="D445" s="28"/>
      <c r="E445" s="27"/>
      <c r="F445" s="27" t="n">
        <v>8</v>
      </c>
      <c r="G445" s="32" t="n">
        <v>8</v>
      </c>
    </row>
    <row r="446" customFormat="false" ht="15" hidden="false" customHeight="false" outlineLevel="0" collapsed="false">
      <c r="A446" s="21"/>
      <c r="B446" s="29"/>
      <c r="C446" s="29"/>
      <c r="D446" s="29" t="s">
        <v>50</v>
      </c>
      <c r="E446" s="40"/>
      <c r="F446" s="40" t="n">
        <v>7</v>
      </c>
      <c r="G446" s="35" t="n">
        <v>7</v>
      </c>
    </row>
    <row r="447" customFormat="false" ht="15" hidden="false" customHeight="false" outlineLevel="0" collapsed="false">
      <c r="A447" s="21"/>
      <c r="B447" s="29"/>
      <c r="C447" s="36"/>
      <c r="D447" s="36" t="s">
        <v>32</v>
      </c>
      <c r="E447" s="41"/>
      <c r="F447" s="41" t="n">
        <v>1</v>
      </c>
      <c r="G447" s="39" t="n">
        <v>1</v>
      </c>
    </row>
    <row r="448" customFormat="false" ht="15" hidden="false" customHeight="false" outlineLevel="0" collapsed="false">
      <c r="A448" s="21"/>
      <c r="B448" s="29"/>
      <c r="C448" s="28" t="s">
        <v>126</v>
      </c>
      <c r="D448" s="28"/>
      <c r="E448" s="30"/>
      <c r="F448" s="31" t="n">
        <v>17</v>
      </c>
      <c r="G448" s="32" t="n">
        <v>17</v>
      </c>
    </row>
    <row r="449" customFormat="false" ht="15" hidden="false" customHeight="false" outlineLevel="0" collapsed="false">
      <c r="A449" s="21"/>
      <c r="B449" s="29"/>
      <c r="C449" s="29"/>
      <c r="D449" s="29" t="s">
        <v>25</v>
      </c>
      <c r="E449" s="33"/>
      <c r="F449" s="34" t="n">
        <v>1</v>
      </c>
      <c r="G449" s="35" t="n">
        <v>1</v>
      </c>
    </row>
    <row r="450" customFormat="false" ht="15" hidden="false" customHeight="false" outlineLevel="0" collapsed="false">
      <c r="A450" s="21"/>
      <c r="B450" s="29"/>
      <c r="C450" s="29"/>
      <c r="D450" s="29" t="s">
        <v>34</v>
      </c>
      <c r="E450" s="33"/>
      <c r="F450" s="34" t="n">
        <v>2</v>
      </c>
      <c r="G450" s="35" t="n">
        <v>2</v>
      </c>
    </row>
    <row r="451" customFormat="false" ht="15" hidden="false" customHeight="false" outlineLevel="0" collapsed="false">
      <c r="A451" s="21"/>
      <c r="B451" s="29"/>
      <c r="C451" s="29"/>
      <c r="D451" s="29" t="s">
        <v>50</v>
      </c>
      <c r="E451" s="33"/>
      <c r="F451" s="34" t="n">
        <v>11</v>
      </c>
      <c r="G451" s="35" t="n">
        <v>11</v>
      </c>
    </row>
    <row r="452" customFormat="false" ht="15" hidden="false" customHeight="false" outlineLevel="0" collapsed="false">
      <c r="A452" s="21"/>
      <c r="B452" s="29"/>
      <c r="C452" s="29"/>
      <c r="D452" s="29" t="s">
        <v>27</v>
      </c>
      <c r="E452" s="33"/>
      <c r="F452" s="34" t="n">
        <v>1</v>
      </c>
      <c r="G452" s="35" t="n">
        <v>1</v>
      </c>
    </row>
    <row r="453" customFormat="false" ht="15" hidden="false" customHeight="false" outlineLevel="0" collapsed="false">
      <c r="A453" s="21"/>
      <c r="B453" s="29"/>
      <c r="C453" s="29"/>
      <c r="D453" s="29" t="s">
        <v>30</v>
      </c>
      <c r="E453" s="33"/>
      <c r="F453" s="34" t="n">
        <v>1</v>
      </c>
      <c r="G453" s="35" t="n">
        <v>1</v>
      </c>
    </row>
    <row r="454" customFormat="false" ht="15" hidden="false" customHeight="false" outlineLevel="0" collapsed="false">
      <c r="A454" s="21"/>
      <c r="B454" s="29"/>
      <c r="C454" s="36"/>
      <c r="D454" s="36" t="s">
        <v>28</v>
      </c>
      <c r="E454" s="37"/>
      <c r="F454" s="38" t="n">
        <v>1</v>
      </c>
      <c r="G454" s="39" t="n">
        <v>1</v>
      </c>
    </row>
    <row r="455" customFormat="false" ht="15" hidden="false" customHeight="false" outlineLevel="0" collapsed="false">
      <c r="A455" s="21"/>
      <c r="B455" s="29"/>
      <c r="C455" s="28" t="s">
        <v>127</v>
      </c>
      <c r="D455" s="28"/>
      <c r="E455" s="27"/>
      <c r="F455" s="27" t="n">
        <v>7</v>
      </c>
      <c r="G455" s="32" t="n">
        <v>7</v>
      </c>
    </row>
    <row r="456" customFormat="false" ht="15" hidden="false" customHeight="false" outlineLevel="0" collapsed="false">
      <c r="A456" s="21"/>
      <c r="B456" s="29"/>
      <c r="C456" s="29"/>
      <c r="D456" s="29" t="s">
        <v>50</v>
      </c>
      <c r="E456" s="40"/>
      <c r="F456" s="40" t="n">
        <v>5</v>
      </c>
      <c r="G456" s="35" t="n">
        <v>5</v>
      </c>
    </row>
    <row r="457" customFormat="false" ht="15" hidden="false" customHeight="false" outlineLevel="0" collapsed="false">
      <c r="A457" s="21"/>
      <c r="B457" s="29"/>
      <c r="C457" s="29"/>
      <c r="D457" s="29" t="s">
        <v>26</v>
      </c>
      <c r="E457" s="40"/>
      <c r="F457" s="40" t="n">
        <v>1</v>
      </c>
      <c r="G457" s="35" t="n">
        <v>1</v>
      </c>
    </row>
    <row r="458" customFormat="false" ht="15" hidden="false" customHeight="false" outlineLevel="0" collapsed="false">
      <c r="A458" s="21"/>
      <c r="B458" s="29"/>
      <c r="C458" s="36"/>
      <c r="D458" s="36" t="s">
        <v>27</v>
      </c>
      <c r="E458" s="41"/>
      <c r="F458" s="41" t="n">
        <v>1</v>
      </c>
      <c r="G458" s="39" t="n">
        <v>1</v>
      </c>
    </row>
    <row r="459" customFormat="false" ht="15" hidden="false" customHeight="false" outlineLevel="0" collapsed="false">
      <c r="A459" s="21"/>
      <c r="B459" s="29"/>
      <c r="C459" s="28" t="s">
        <v>128</v>
      </c>
      <c r="D459" s="28"/>
      <c r="E459" s="30"/>
      <c r="F459" s="31" t="n">
        <v>11</v>
      </c>
      <c r="G459" s="32" t="n">
        <v>11</v>
      </c>
    </row>
    <row r="460" customFormat="false" ht="15" hidden="false" customHeight="false" outlineLevel="0" collapsed="false">
      <c r="A460" s="21"/>
      <c r="B460" s="29"/>
      <c r="C460" s="29"/>
      <c r="D460" s="29" t="s">
        <v>50</v>
      </c>
      <c r="E460" s="33"/>
      <c r="F460" s="34" t="n">
        <v>10</v>
      </c>
      <c r="G460" s="35" t="n">
        <v>10</v>
      </c>
    </row>
    <row r="461" customFormat="false" ht="15" hidden="false" customHeight="false" outlineLevel="0" collapsed="false">
      <c r="A461" s="21"/>
      <c r="B461" s="29"/>
      <c r="C461" s="36"/>
      <c r="D461" s="36" t="s">
        <v>32</v>
      </c>
      <c r="E461" s="37"/>
      <c r="F461" s="38" t="n">
        <v>1</v>
      </c>
      <c r="G461" s="39" t="n">
        <v>1</v>
      </c>
    </row>
    <row r="462" customFormat="false" ht="15" hidden="false" customHeight="false" outlineLevel="0" collapsed="false">
      <c r="A462" s="21"/>
      <c r="B462" s="29"/>
      <c r="C462" s="28" t="s">
        <v>129</v>
      </c>
      <c r="D462" s="28"/>
      <c r="E462" s="27"/>
      <c r="F462" s="27" t="n">
        <v>5</v>
      </c>
      <c r="G462" s="32" t="n">
        <v>5</v>
      </c>
    </row>
    <row r="463" customFormat="false" ht="15" hidden="false" customHeight="false" outlineLevel="0" collapsed="false">
      <c r="A463" s="21"/>
      <c r="B463" s="29"/>
      <c r="C463" s="29"/>
      <c r="D463" s="29" t="s">
        <v>50</v>
      </c>
      <c r="E463" s="40"/>
      <c r="F463" s="40" t="n">
        <v>4</v>
      </c>
      <c r="G463" s="35" t="n">
        <v>4</v>
      </c>
    </row>
    <row r="464" customFormat="false" ht="15" hidden="false" customHeight="false" outlineLevel="0" collapsed="false">
      <c r="A464" s="21"/>
      <c r="B464" s="29"/>
      <c r="C464" s="36"/>
      <c r="D464" s="36" t="s">
        <v>35</v>
      </c>
      <c r="E464" s="41"/>
      <c r="F464" s="41" t="n">
        <v>1</v>
      </c>
      <c r="G464" s="39" t="n">
        <v>1</v>
      </c>
    </row>
    <row r="465" customFormat="false" ht="15" hidden="false" customHeight="false" outlineLevel="0" collapsed="false">
      <c r="A465" s="21"/>
      <c r="B465" s="29"/>
      <c r="C465" s="28" t="s">
        <v>130</v>
      </c>
      <c r="D465" s="28"/>
      <c r="E465" s="30"/>
      <c r="F465" s="31" t="n">
        <v>4</v>
      </c>
      <c r="G465" s="32" t="n">
        <v>4</v>
      </c>
    </row>
    <row r="466" customFormat="false" ht="15" hidden="false" customHeight="false" outlineLevel="0" collapsed="false">
      <c r="A466" s="21"/>
      <c r="B466" s="29"/>
      <c r="C466" s="29"/>
      <c r="D466" s="29" t="s">
        <v>28</v>
      </c>
      <c r="E466" s="33"/>
      <c r="F466" s="34" t="n">
        <v>3</v>
      </c>
      <c r="G466" s="35" t="n">
        <v>3</v>
      </c>
    </row>
    <row r="467" customFormat="false" ht="15" hidden="false" customHeight="false" outlineLevel="0" collapsed="false">
      <c r="A467" s="21"/>
      <c r="B467" s="29"/>
      <c r="C467" s="36"/>
      <c r="D467" s="36" t="s">
        <v>85</v>
      </c>
      <c r="E467" s="37"/>
      <c r="F467" s="38" t="n">
        <v>1</v>
      </c>
      <c r="G467" s="39" t="n">
        <v>1</v>
      </c>
    </row>
    <row r="468" customFormat="false" ht="15" hidden="false" customHeight="false" outlineLevel="0" collapsed="false">
      <c r="A468" s="21"/>
      <c r="B468" s="29"/>
      <c r="C468" s="28" t="s">
        <v>131</v>
      </c>
      <c r="D468" s="28"/>
      <c r="E468" s="27"/>
      <c r="F468" s="27" t="n">
        <v>3</v>
      </c>
      <c r="G468" s="32" t="n">
        <v>3</v>
      </c>
    </row>
    <row r="469" customFormat="false" ht="15" hidden="false" customHeight="false" outlineLevel="0" collapsed="false">
      <c r="A469" s="21"/>
      <c r="B469" s="29"/>
      <c r="C469" s="29"/>
      <c r="D469" s="29" t="s">
        <v>25</v>
      </c>
      <c r="E469" s="40"/>
      <c r="F469" s="40" t="n">
        <v>1</v>
      </c>
      <c r="G469" s="35" t="n">
        <v>1</v>
      </c>
    </row>
    <row r="470" customFormat="false" ht="15" hidden="false" customHeight="false" outlineLevel="0" collapsed="false">
      <c r="A470" s="21"/>
      <c r="B470" s="29"/>
      <c r="C470" s="29"/>
      <c r="D470" s="29" t="s">
        <v>27</v>
      </c>
      <c r="E470" s="40"/>
      <c r="F470" s="40" t="n">
        <v>1</v>
      </c>
      <c r="G470" s="35" t="n">
        <v>1</v>
      </c>
    </row>
    <row r="471" customFormat="false" ht="15" hidden="false" customHeight="false" outlineLevel="0" collapsed="false">
      <c r="A471" s="21"/>
      <c r="B471" s="36"/>
      <c r="C471" s="36"/>
      <c r="D471" s="36" t="s">
        <v>30</v>
      </c>
      <c r="E471" s="41"/>
      <c r="F471" s="41" t="n">
        <v>1</v>
      </c>
      <c r="G471" s="39" t="n">
        <v>1</v>
      </c>
    </row>
    <row r="472" customFormat="false" ht="15" hidden="false" customHeight="false" outlineLevel="0" collapsed="false">
      <c r="A472" s="21"/>
      <c r="B472" s="28" t="s">
        <v>132</v>
      </c>
      <c r="C472" s="16"/>
      <c r="D472" s="17"/>
      <c r="E472" s="18"/>
      <c r="F472" s="19" t="n">
        <v>67</v>
      </c>
      <c r="G472" s="20" t="n">
        <v>67</v>
      </c>
    </row>
    <row r="473" customFormat="false" ht="15" hidden="false" customHeight="false" outlineLevel="0" collapsed="false">
      <c r="A473" s="21"/>
      <c r="B473" s="29"/>
      <c r="C473" s="28" t="s">
        <v>112</v>
      </c>
      <c r="D473" s="28"/>
      <c r="E473" s="27"/>
      <c r="F473" s="27" t="n">
        <v>3</v>
      </c>
      <c r="G473" s="32" t="n">
        <v>3</v>
      </c>
    </row>
    <row r="474" customFormat="false" ht="15" hidden="false" customHeight="false" outlineLevel="0" collapsed="false">
      <c r="A474" s="21"/>
      <c r="B474" s="29"/>
      <c r="C474" s="29"/>
      <c r="D474" s="29" t="s">
        <v>25</v>
      </c>
      <c r="E474" s="40"/>
      <c r="F474" s="40" t="n">
        <v>1</v>
      </c>
      <c r="G474" s="35" t="n">
        <v>1</v>
      </c>
    </row>
    <row r="475" customFormat="false" ht="15" hidden="false" customHeight="false" outlineLevel="0" collapsed="false">
      <c r="A475" s="21"/>
      <c r="B475" s="29"/>
      <c r="C475" s="29"/>
      <c r="D475" s="29" t="s">
        <v>27</v>
      </c>
      <c r="E475" s="40"/>
      <c r="F475" s="40" t="n">
        <v>1</v>
      </c>
      <c r="G475" s="35" t="n">
        <v>1</v>
      </c>
    </row>
    <row r="476" customFormat="false" ht="15" hidden="false" customHeight="false" outlineLevel="0" collapsed="false">
      <c r="A476" s="21"/>
      <c r="B476" s="29"/>
      <c r="C476" s="36"/>
      <c r="D476" s="36" t="s">
        <v>30</v>
      </c>
      <c r="E476" s="41"/>
      <c r="F476" s="41" t="n">
        <v>1</v>
      </c>
      <c r="G476" s="39" t="n">
        <v>1</v>
      </c>
    </row>
    <row r="477" customFormat="false" ht="15" hidden="false" customHeight="false" outlineLevel="0" collapsed="false">
      <c r="A477" s="21"/>
      <c r="B477" s="29"/>
      <c r="C477" s="28" t="s">
        <v>117</v>
      </c>
      <c r="D477" s="28"/>
      <c r="E477" s="30"/>
      <c r="F477" s="31" t="n">
        <v>5</v>
      </c>
      <c r="G477" s="32" t="n">
        <v>5</v>
      </c>
    </row>
    <row r="478" customFormat="false" ht="15" hidden="false" customHeight="false" outlineLevel="0" collapsed="false">
      <c r="A478" s="21"/>
      <c r="B478" s="29"/>
      <c r="C478" s="29"/>
      <c r="D478" s="29" t="s">
        <v>25</v>
      </c>
      <c r="E478" s="33"/>
      <c r="F478" s="34" t="n">
        <v>1</v>
      </c>
      <c r="G478" s="35" t="n">
        <v>1</v>
      </c>
    </row>
    <row r="479" customFormat="false" ht="15" hidden="false" customHeight="false" outlineLevel="0" collapsed="false">
      <c r="A479" s="21"/>
      <c r="B479" s="29"/>
      <c r="C479" s="29"/>
      <c r="D479" s="29" t="s">
        <v>34</v>
      </c>
      <c r="E479" s="33"/>
      <c r="F479" s="34" t="n">
        <v>2</v>
      </c>
      <c r="G479" s="35" t="n">
        <v>2</v>
      </c>
    </row>
    <row r="480" customFormat="false" ht="15" hidden="false" customHeight="false" outlineLevel="0" collapsed="false">
      <c r="A480" s="21"/>
      <c r="B480" s="29"/>
      <c r="C480" s="29"/>
      <c r="D480" s="29" t="s">
        <v>27</v>
      </c>
      <c r="E480" s="33"/>
      <c r="F480" s="34" t="n">
        <v>1</v>
      </c>
      <c r="G480" s="35" t="n">
        <v>1</v>
      </c>
    </row>
    <row r="481" customFormat="false" ht="15" hidden="false" customHeight="false" outlineLevel="0" collapsed="false">
      <c r="A481" s="21"/>
      <c r="B481" s="29"/>
      <c r="C481" s="36"/>
      <c r="D481" s="36" t="s">
        <v>30</v>
      </c>
      <c r="E481" s="37"/>
      <c r="F481" s="38" t="n">
        <v>1</v>
      </c>
      <c r="G481" s="39" t="n">
        <v>1</v>
      </c>
    </row>
    <row r="482" customFormat="false" ht="15" hidden="false" customHeight="false" outlineLevel="0" collapsed="false">
      <c r="A482" s="21"/>
      <c r="B482" s="29"/>
      <c r="C482" s="28" t="s">
        <v>133</v>
      </c>
      <c r="D482" s="28"/>
      <c r="E482" s="27"/>
      <c r="F482" s="27" t="n">
        <v>5</v>
      </c>
      <c r="G482" s="32" t="n">
        <v>5</v>
      </c>
    </row>
    <row r="483" customFormat="false" ht="15" hidden="false" customHeight="false" outlineLevel="0" collapsed="false">
      <c r="A483" s="21"/>
      <c r="B483" s="29"/>
      <c r="C483" s="29"/>
      <c r="D483" s="29" t="s">
        <v>25</v>
      </c>
      <c r="E483" s="40"/>
      <c r="F483" s="40" t="n">
        <v>1</v>
      </c>
      <c r="G483" s="35" t="n">
        <v>1</v>
      </c>
    </row>
    <row r="484" customFormat="false" ht="15" hidden="false" customHeight="false" outlineLevel="0" collapsed="false">
      <c r="A484" s="21"/>
      <c r="B484" s="29"/>
      <c r="C484" s="29"/>
      <c r="D484" s="29" t="s">
        <v>34</v>
      </c>
      <c r="E484" s="40"/>
      <c r="F484" s="40" t="n">
        <v>2</v>
      </c>
      <c r="G484" s="35" t="n">
        <v>2</v>
      </c>
    </row>
    <row r="485" customFormat="false" ht="15" hidden="false" customHeight="false" outlineLevel="0" collapsed="false">
      <c r="A485" s="21"/>
      <c r="B485" s="29"/>
      <c r="C485" s="29"/>
      <c r="D485" s="29" t="s">
        <v>27</v>
      </c>
      <c r="E485" s="40"/>
      <c r="F485" s="40" t="n">
        <v>1</v>
      </c>
      <c r="G485" s="35" t="n">
        <v>1</v>
      </c>
    </row>
    <row r="486" customFormat="false" ht="15" hidden="false" customHeight="false" outlineLevel="0" collapsed="false">
      <c r="A486" s="21"/>
      <c r="B486" s="29"/>
      <c r="C486" s="36"/>
      <c r="D486" s="36" t="s">
        <v>30</v>
      </c>
      <c r="E486" s="41"/>
      <c r="F486" s="41" t="n">
        <v>1</v>
      </c>
      <c r="G486" s="39" t="n">
        <v>1</v>
      </c>
    </row>
    <row r="487" customFormat="false" ht="15" hidden="false" customHeight="false" outlineLevel="0" collapsed="false">
      <c r="A487" s="21"/>
      <c r="B487" s="29"/>
      <c r="C487" s="28" t="s">
        <v>134</v>
      </c>
      <c r="D487" s="28"/>
      <c r="E487" s="30"/>
      <c r="F487" s="31" t="n">
        <v>4</v>
      </c>
      <c r="G487" s="32" t="n">
        <v>4</v>
      </c>
    </row>
    <row r="488" customFormat="false" ht="15" hidden="false" customHeight="false" outlineLevel="0" collapsed="false">
      <c r="A488" s="21"/>
      <c r="B488" s="29"/>
      <c r="C488" s="29"/>
      <c r="D488" s="29" t="s">
        <v>25</v>
      </c>
      <c r="E488" s="33"/>
      <c r="F488" s="34" t="n">
        <v>1</v>
      </c>
      <c r="G488" s="35" t="n">
        <v>1</v>
      </c>
    </row>
    <row r="489" customFormat="false" ht="15" hidden="false" customHeight="false" outlineLevel="0" collapsed="false">
      <c r="A489" s="21"/>
      <c r="B489" s="29"/>
      <c r="C489" s="29"/>
      <c r="D489" s="29" t="s">
        <v>34</v>
      </c>
      <c r="E489" s="33"/>
      <c r="F489" s="34" t="n">
        <v>1</v>
      </c>
      <c r="G489" s="35" t="n">
        <v>1</v>
      </c>
    </row>
    <row r="490" customFormat="false" ht="15" hidden="false" customHeight="false" outlineLevel="0" collapsed="false">
      <c r="A490" s="21"/>
      <c r="B490" s="29"/>
      <c r="C490" s="29"/>
      <c r="D490" s="29" t="s">
        <v>27</v>
      </c>
      <c r="E490" s="33"/>
      <c r="F490" s="34" t="n">
        <v>1</v>
      </c>
      <c r="G490" s="35" t="n">
        <v>1</v>
      </c>
    </row>
    <row r="491" customFormat="false" ht="15" hidden="false" customHeight="false" outlineLevel="0" collapsed="false">
      <c r="A491" s="21"/>
      <c r="B491" s="29"/>
      <c r="C491" s="36"/>
      <c r="D491" s="36" t="s">
        <v>30</v>
      </c>
      <c r="E491" s="37"/>
      <c r="F491" s="38" t="n">
        <v>1</v>
      </c>
      <c r="G491" s="39" t="n">
        <v>1</v>
      </c>
    </row>
    <row r="492" customFormat="false" ht="15" hidden="false" customHeight="false" outlineLevel="0" collapsed="false">
      <c r="A492" s="21"/>
      <c r="B492" s="29"/>
      <c r="C492" s="28" t="s">
        <v>135</v>
      </c>
      <c r="D492" s="28"/>
      <c r="E492" s="27"/>
      <c r="F492" s="27" t="n">
        <v>4</v>
      </c>
      <c r="G492" s="32" t="n">
        <v>4</v>
      </c>
    </row>
    <row r="493" customFormat="false" ht="15" hidden="false" customHeight="false" outlineLevel="0" collapsed="false">
      <c r="A493" s="21"/>
      <c r="B493" s="29"/>
      <c r="C493" s="29"/>
      <c r="D493" s="29" t="s">
        <v>25</v>
      </c>
      <c r="E493" s="40"/>
      <c r="F493" s="40" t="n">
        <v>1</v>
      </c>
      <c r="G493" s="35" t="n">
        <v>1</v>
      </c>
    </row>
    <row r="494" customFormat="false" ht="15" hidden="false" customHeight="false" outlineLevel="0" collapsed="false">
      <c r="A494" s="21"/>
      <c r="B494" s="29"/>
      <c r="C494" s="29"/>
      <c r="D494" s="29" t="s">
        <v>34</v>
      </c>
      <c r="E494" s="40"/>
      <c r="F494" s="40" t="n">
        <v>1</v>
      </c>
      <c r="G494" s="35" t="n">
        <v>1</v>
      </c>
    </row>
    <row r="495" customFormat="false" ht="15" hidden="false" customHeight="false" outlineLevel="0" collapsed="false">
      <c r="A495" s="21"/>
      <c r="B495" s="29"/>
      <c r="C495" s="29"/>
      <c r="D495" s="29" t="s">
        <v>27</v>
      </c>
      <c r="E495" s="40"/>
      <c r="F495" s="40" t="n">
        <v>1</v>
      </c>
      <c r="G495" s="35" t="n">
        <v>1</v>
      </c>
    </row>
    <row r="496" customFormat="false" ht="15" hidden="false" customHeight="false" outlineLevel="0" collapsed="false">
      <c r="A496" s="21"/>
      <c r="B496" s="29"/>
      <c r="C496" s="36"/>
      <c r="D496" s="36" t="s">
        <v>30</v>
      </c>
      <c r="E496" s="41"/>
      <c r="F496" s="41" t="n">
        <v>1</v>
      </c>
      <c r="G496" s="39" t="n">
        <v>1</v>
      </c>
    </row>
    <row r="497" customFormat="false" ht="15" hidden="false" customHeight="false" outlineLevel="0" collapsed="false">
      <c r="A497" s="21"/>
      <c r="B497" s="29"/>
      <c r="C497" s="28" t="s">
        <v>136</v>
      </c>
      <c r="D497" s="28"/>
      <c r="E497" s="30"/>
      <c r="F497" s="31" t="n">
        <v>1</v>
      </c>
      <c r="G497" s="32" t="n">
        <v>1</v>
      </c>
    </row>
    <row r="498" customFormat="false" ht="15" hidden="false" customHeight="false" outlineLevel="0" collapsed="false">
      <c r="A498" s="21"/>
      <c r="B498" s="29"/>
      <c r="C498" s="36"/>
      <c r="D498" s="36" t="s">
        <v>25</v>
      </c>
      <c r="E498" s="37"/>
      <c r="F498" s="38" t="n">
        <v>1</v>
      </c>
      <c r="G498" s="39" t="n">
        <v>1</v>
      </c>
    </row>
    <row r="499" customFormat="false" ht="15" hidden="false" customHeight="false" outlineLevel="0" collapsed="false">
      <c r="A499" s="21"/>
      <c r="B499" s="29"/>
      <c r="C499" s="28" t="s">
        <v>137</v>
      </c>
      <c r="D499" s="28"/>
      <c r="E499" s="27"/>
      <c r="F499" s="27" t="n">
        <v>7</v>
      </c>
      <c r="G499" s="32" t="n">
        <v>7</v>
      </c>
    </row>
    <row r="500" customFormat="false" ht="15" hidden="false" customHeight="false" outlineLevel="0" collapsed="false">
      <c r="A500" s="21"/>
      <c r="B500" s="29"/>
      <c r="C500" s="29"/>
      <c r="D500" s="29" t="s">
        <v>25</v>
      </c>
      <c r="E500" s="40"/>
      <c r="F500" s="40" t="n">
        <v>1</v>
      </c>
      <c r="G500" s="35" t="n">
        <v>1</v>
      </c>
    </row>
    <row r="501" customFormat="false" ht="15" hidden="false" customHeight="false" outlineLevel="0" collapsed="false">
      <c r="A501" s="21"/>
      <c r="B501" s="29"/>
      <c r="C501" s="29"/>
      <c r="D501" s="29" t="s">
        <v>34</v>
      </c>
      <c r="E501" s="40"/>
      <c r="F501" s="40" t="n">
        <v>3</v>
      </c>
      <c r="G501" s="35" t="n">
        <v>3</v>
      </c>
    </row>
    <row r="502" customFormat="false" ht="15" hidden="false" customHeight="false" outlineLevel="0" collapsed="false">
      <c r="A502" s="21"/>
      <c r="B502" s="29"/>
      <c r="C502" s="29"/>
      <c r="D502" s="29" t="s">
        <v>50</v>
      </c>
      <c r="E502" s="40"/>
      <c r="F502" s="40" t="n">
        <v>1</v>
      </c>
      <c r="G502" s="35" t="n">
        <v>1</v>
      </c>
    </row>
    <row r="503" customFormat="false" ht="15" hidden="false" customHeight="false" outlineLevel="0" collapsed="false">
      <c r="A503" s="21"/>
      <c r="B503" s="29"/>
      <c r="C503" s="29"/>
      <c r="D503" s="29" t="s">
        <v>27</v>
      </c>
      <c r="E503" s="40"/>
      <c r="F503" s="40" t="n">
        <v>1</v>
      </c>
      <c r="G503" s="35" t="n">
        <v>1</v>
      </c>
    </row>
    <row r="504" customFormat="false" ht="15" hidden="false" customHeight="false" outlineLevel="0" collapsed="false">
      <c r="A504" s="21"/>
      <c r="B504" s="29"/>
      <c r="C504" s="36"/>
      <c r="D504" s="36" t="s">
        <v>30</v>
      </c>
      <c r="E504" s="41"/>
      <c r="F504" s="41" t="n">
        <v>1</v>
      </c>
      <c r="G504" s="39" t="n">
        <v>1</v>
      </c>
    </row>
    <row r="505" customFormat="false" ht="15" hidden="false" customHeight="false" outlineLevel="0" collapsed="false">
      <c r="A505" s="21"/>
      <c r="B505" s="29"/>
      <c r="C505" s="28" t="s">
        <v>138</v>
      </c>
      <c r="D505" s="28"/>
      <c r="E505" s="30"/>
      <c r="F505" s="31" t="n">
        <v>3</v>
      </c>
      <c r="G505" s="32" t="n">
        <v>3</v>
      </c>
    </row>
    <row r="506" customFormat="false" ht="15" hidden="false" customHeight="false" outlineLevel="0" collapsed="false">
      <c r="A506" s="21"/>
      <c r="B506" s="29"/>
      <c r="C506" s="29"/>
      <c r="D506" s="29" t="s">
        <v>71</v>
      </c>
      <c r="E506" s="33"/>
      <c r="F506" s="34" t="n">
        <v>1</v>
      </c>
      <c r="G506" s="35" t="n">
        <v>1</v>
      </c>
    </row>
    <row r="507" customFormat="false" ht="15" hidden="false" customHeight="false" outlineLevel="0" collapsed="false">
      <c r="A507" s="21"/>
      <c r="B507" s="29"/>
      <c r="C507" s="29"/>
      <c r="D507" s="29" t="s">
        <v>72</v>
      </c>
      <c r="E507" s="33"/>
      <c r="F507" s="34" t="n">
        <v>1</v>
      </c>
      <c r="G507" s="35" t="n">
        <v>1</v>
      </c>
    </row>
    <row r="508" customFormat="false" ht="15" hidden="false" customHeight="false" outlineLevel="0" collapsed="false">
      <c r="A508" s="21"/>
      <c r="B508" s="29"/>
      <c r="C508" s="36"/>
      <c r="D508" s="36" t="s">
        <v>73</v>
      </c>
      <c r="E508" s="37"/>
      <c r="F508" s="38" t="n">
        <v>1</v>
      </c>
      <c r="G508" s="39" t="n">
        <v>1</v>
      </c>
    </row>
    <row r="509" customFormat="false" ht="15" hidden="false" customHeight="false" outlineLevel="0" collapsed="false">
      <c r="A509" s="21"/>
      <c r="B509" s="29"/>
      <c r="C509" s="28" t="s">
        <v>139</v>
      </c>
      <c r="D509" s="28"/>
      <c r="E509" s="27"/>
      <c r="F509" s="27" t="n">
        <v>3</v>
      </c>
      <c r="G509" s="32" t="n">
        <v>3</v>
      </c>
    </row>
    <row r="510" customFormat="false" ht="15" hidden="false" customHeight="false" outlineLevel="0" collapsed="false">
      <c r="A510" s="21"/>
      <c r="B510" s="29"/>
      <c r="C510" s="29"/>
      <c r="D510" s="29" t="s">
        <v>71</v>
      </c>
      <c r="E510" s="40"/>
      <c r="F510" s="40" t="n">
        <v>1</v>
      </c>
      <c r="G510" s="35" t="n">
        <v>1</v>
      </c>
    </row>
    <row r="511" customFormat="false" ht="15" hidden="false" customHeight="false" outlineLevel="0" collapsed="false">
      <c r="A511" s="21"/>
      <c r="B511" s="29"/>
      <c r="C511" s="29"/>
      <c r="D511" s="29" t="s">
        <v>72</v>
      </c>
      <c r="E511" s="40"/>
      <c r="F511" s="40" t="n">
        <v>1</v>
      </c>
      <c r="G511" s="35" t="n">
        <v>1</v>
      </c>
    </row>
    <row r="512" customFormat="false" ht="15" hidden="false" customHeight="false" outlineLevel="0" collapsed="false">
      <c r="A512" s="21"/>
      <c r="B512" s="29"/>
      <c r="C512" s="36"/>
      <c r="D512" s="36" t="s">
        <v>73</v>
      </c>
      <c r="E512" s="41"/>
      <c r="F512" s="41" t="n">
        <v>1</v>
      </c>
      <c r="G512" s="39" t="n">
        <v>1</v>
      </c>
    </row>
    <row r="513" customFormat="false" ht="15" hidden="false" customHeight="false" outlineLevel="0" collapsed="false">
      <c r="A513" s="21"/>
      <c r="B513" s="29"/>
      <c r="C513" s="28" t="s">
        <v>140</v>
      </c>
      <c r="D513" s="28"/>
      <c r="E513" s="30"/>
      <c r="F513" s="31" t="n">
        <v>1</v>
      </c>
      <c r="G513" s="32" t="n">
        <v>1</v>
      </c>
    </row>
    <row r="514" customFormat="false" ht="15" hidden="false" customHeight="false" outlineLevel="0" collapsed="false">
      <c r="A514" s="21"/>
      <c r="B514" s="29"/>
      <c r="C514" s="36"/>
      <c r="D514" s="36" t="s">
        <v>25</v>
      </c>
      <c r="E514" s="37"/>
      <c r="F514" s="38" t="n">
        <v>1</v>
      </c>
      <c r="G514" s="39" t="n">
        <v>1</v>
      </c>
    </row>
    <row r="515" customFormat="false" ht="15" hidden="false" customHeight="false" outlineLevel="0" collapsed="false">
      <c r="A515" s="21"/>
      <c r="B515" s="29"/>
      <c r="C515" s="28" t="s">
        <v>141</v>
      </c>
      <c r="D515" s="28"/>
      <c r="E515" s="27"/>
      <c r="F515" s="27" t="n">
        <v>11</v>
      </c>
      <c r="G515" s="32" t="n">
        <v>11</v>
      </c>
    </row>
    <row r="516" customFormat="false" ht="15" hidden="false" customHeight="false" outlineLevel="0" collapsed="false">
      <c r="A516" s="21"/>
      <c r="B516" s="29"/>
      <c r="C516" s="29"/>
      <c r="D516" s="29" t="s">
        <v>25</v>
      </c>
      <c r="E516" s="40"/>
      <c r="F516" s="40" t="n">
        <v>1</v>
      </c>
      <c r="G516" s="35" t="n">
        <v>1</v>
      </c>
    </row>
    <row r="517" customFormat="false" ht="15" hidden="false" customHeight="false" outlineLevel="0" collapsed="false">
      <c r="A517" s="21"/>
      <c r="B517" s="29"/>
      <c r="C517" s="29"/>
      <c r="D517" s="29" t="s">
        <v>34</v>
      </c>
      <c r="E517" s="40"/>
      <c r="F517" s="40" t="n">
        <v>8</v>
      </c>
      <c r="G517" s="35" t="n">
        <v>8</v>
      </c>
    </row>
    <row r="518" customFormat="false" ht="15" hidden="false" customHeight="false" outlineLevel="0" collapsed="false">
      <c r="A518" s="21"/>
      <c r="B518" s="29"/>
      <c r="C518" s="29"/>
      <c r="D518" s="29" t="s">
        <v>27</v>
      </c>
      <c r="E518" s="40"/>
      <c r="F518" s="40" t="n">
        <v>1</v>
      </c>
      <c r="G518" s="35" t="n">
        <v>1</v>
      </c>
    </row>
    <row r="519" customFormat="false" ht="15" hidden="false" customHeight="false" outlineLevel="0" collapsed="false">
      <c r="A519" s="21"/>
      <c r="B519" s="29"/>
      <c r="C519" s="36"/>
      <c r="D519" s="36" t="s">
        <v>30</v>
      </c>
      <c r="E519" s="41"/>
      <c r="F519" s="41" t="n">
        <v>1</v>
      </c>
      <c r="G519" s="39" t="n">
        <v>1</v>
      </c>
    </row>
    <row r="520" customFormat="false" ht="15" hidden="false" customHeight="false" outlineLevel="0" collapsed="false">
      <c r="A520" s="21"/>
      <c r="B520" s="29"/>
      <c r="C520" s="28" t="s">
        <v>142</v>
      </c>
      <c r="D520" s="28"/>
      <c r="E520" s="30"/>
      <c r="F520" s="31" t="n">
        <v>4</v>
      </c>
      <c r="G520" s="32" t="n">
        <v>4</v>
      </c>
    </row>
    <row r="521" customFormat="false" ht="15" hidden="false" customHeight="false" outlineLevel="0" collapsed="false">
      <c r="A521" s="21"/>
      <c r="B521" s="29"/>
      <c r="C521" s="29"/>
      <c r="D521" s="29" t="s">
        <v>25</v>
      </c>
      <c r="E521" s="33"/>
      <c r="F521" s="34" t="n">
        <v>1</v>
      </c>
      <c r="G521" s="35" t="n">
        <v>1</v>
      </c>
    </row>
    <row r="522" customFormat="false" ht="15" hidden="false" customHeight="false" outlineLevel="0" collapsed="false">
      <c r="A522" s="21"/>
      <c r="B522" s="29"/>
      <c r="C522" s="29"/>
      <c r="D522" s="29" t="s">
        <v>34</v>
      </c>
      <c r="E522" s="33"/>
      <c r="F522" s="34" t="n">
        <v>1</v>
      </c>
      <c r="G522" s="35" t="n">
        <v>1</v>
      </c>
    </row>
    <row r="523" customFormat="false" ht="15" hidden="false" customHeight="false" outlineLevel="0" collapsed="false">
      <c r="A523" s="21"/>
      <c r="B523" s="29"/>
      <c r="C523" s="29"/>
      <c r="D523" s="29" t="s">
        <v>27</v>
      </c>
      <c r="E523" s="33"/>
      <c r="F523" s="34" t="n">
        <v>1</v>
      </c>
      <c r="G523" s="35" t="n">
        <v>1</v>
      </c>
    </row>
    <row r="524" customFormat="false" ht="15" hidden="false" customHeight="false" outlineLevel="0" collapsed="false">
      <c r="A524" s="21"/>
      <c r="B524" s="29"/>
      <c r="C524" s="36"/>
      <c r="D524" s="36" t="s">
        <v>30</v>
      </c>
      <c r="E524" s="37"/>
      <c r="F524" s="38" t="n">
        <v>1</v>
      </c>
      <c r="G524" s="39" t="n">
        <v>1</v>
      </c>
    </row>
    <row r="525" customFormat="false" ht="15" hidden="false" customHeight="false" outlineLevel="0" collapsed="false">
      <c r="A525" s="21"/>
      <c r="B525" s="29"/>
      <c r="C525" s="28" t="s">
        <v>143</v>
      </c>
      <c r="D525" s="28"/>
      <c r="E525" s="27"/>
      <c r="F525" s="27" t="n">
        <v>4</v>
      </c>
      <c r="G525" s="32" t="n">
        <v>4</v>
      </c>
    </row>
    <row r="526" customFormat="false" ht="15" hidden="false" customHeight="false" outlineLevel="0" collapsed="false">
      <c r="A526" s="21"/>
      <c r="B526" s="29"/>
      <c r="C526" s="29"/>
      <c r="D526" s="29" t="s">
        <v>25</v>
      </c>
      <c r="E526" s="40"/>
      <c r="F526" s="40" t="n">
        <v>1</v>
      </c>
      <c r="G526" s="35" t="n">
        <v>1</v>
      </c>
    </row>
    <row r="527" customFormat="false" ht="15" hidden="false" customHeight="false" outlineLevel="0" collapsed="false">
      <c r="A527" s="21"/>
      <c r="B527" s="29"/>
      <c r="C527" s="29"/>
      <c r="D527" s="29" t="s">
        <v>34</v>
      </c>
      <c r="E527" s="40"/>
      <c r="F527" s="40" t="n">
        <v>1</v>
      </c>
      <c r="G527" s="35" t="n">
        <v>1</v>
      </c>
    </row>
    <row r="528" customFormat="false" ht="15" hidden="false" customHeight="false" outlineLevel="0" collapsed="false">
      <c r="A528" s="21"/>
      <c r="B528" s="29"/>
      <c r="C528" s="29"/>
      <c r="D528" s="29" t="s">
        <v>27</v>
      </c>
      <c r="E528" s="40"/>
      <c r="F528" s="40" t="n">
        <v>1</v>
      </c>
      <c r="G528" s="35" t="n">
        <v>1</v>
      </c>
    </row>
    <row r="529" customFormat="false" ht="15" hidden="false" customHeight="false" outlineLevel="0" collapsed="false">
      <c r="A529" s="21"/>
      <c r="B529" s="29"/>
      <c r="C529" s="36"/>
      <c r="D529" s="36" t="s">
        <v>30</v>
      </c>
      <c r="E529" s="41"/>
      <c r="F529" s="41" t="n">
        <v>1</v>
      </c>
      <c r="G529" s="39" t="n">
        <v>1</v>
      </c>
    </row>
    <row r="530" customFormat="false" ht="15" hidden="false" customHeight="false" outlineLevel="0" collapsed="false">
      <c r="A530" s="21"/>
      <c r="B530" s="29"/>
      <c r="C530" s="28" t="s">
        <v>144</v>
      </c>
      <c r="D530" s="28"/>
      <c r="E530" s="30"/>
      <c r="F530" s="31" t="n">
        <v>4</v>
      </c>
      <c r="G530" s="32" t="n">
        <v>4</v>
      </c>
    </row>
    <row r="531" customFormat="false" ht="15" hidden="false" customHeight="false" outlineLevel="0" collapsed="false">
      <c r="A531" s="21"/>
      <c r="B531" s="29"/>
      <c r="C531" s="29"/>
      <c r="D531" s="29" t="s">
        <v>71</v>
      </c>
      <c r="E531" s="33"/>
      <c r="F531" s="34" t="n">
        <v>1</v>
      </c>
      <c r="G531" s="35" t="n">
        <v>1</v>
      </c>
    </row>
    <row r="532" customFormat="false" ht="15" hidden="false" customHeight="false" outlineLevel="0" collapsed="false">
      <c r="A532" s="21"/>
      <c r="B532" s="29"/>
      <c r="C532" s="29"/>
      <c r="D532" s="29" t="s">
        <v>72</v>
      </c>
      <c r="E532" s="33"/>
      <c r="F532" s="34" t="n">
        <v>1</v>
      </c>
      <c r="G532" s="35" t="n">
        <v>1</v>
      </c>
    </row>
    <row r="533" customFormat="false" ht="15" hidden="false" customHeight="false" outlineLevel="0" collapsed="false">
      <c r="A533" s="21"/>
      <c r="B533" s="29"/>
      <c r="C533" s="29"/>
      <c r="D533" s="29" t="s">
        <v>73</v>
      </c>
      <c r="E533" s="33"/>
      <c r="F533" s="34" t="n">
        <v>1</v>
      </c>
      <c r="G533" s="35" t="n">
        <v>1</v>
      </c>
    </row>
    <row r="534" customFormat="false" ht="15" hidden="false" customHeight="false" outlineLevel="0" collapsed="false">
      <c r="A534" s="21"/>
      <c r="B534" s="29"/>
      <c r="C534" s="36"/>
      <c r="D534" s="36" t="s">
        <v>85</v>
      </c>
      <c r="E534" s="37"/>
      <c r="F534" s="38" t="n">
        <v>1</v>
      </c>
      <c r="G534" s="39" t="n">
        <v>1</v>
      </c>
    </row>
    <row r="535" customFormat="false" ht="15" hidden="false" customHeight="false" outlineLevel="0" collapsed="false">
      <c r="A535" s="21"/>
      <c r="B535" s="29"/>
      <c r="C535" s="28" t="s">
        <v>145</v>
      </c>
      <c r="D535" s="28"/>
      <c r="E535" s="27"/>
      <c r="F535" s="27" t="n">
        <v>3</v>
      </c>
      <c r="G535" s="32" t="n">
        <v>3</v>
      </c>
    </row>
    <row r="536" customFormat="false" ht="15" hidden="false" customHeight="false" outlineLevel="0" collapsed="false">
      <c r="A536" s="21"/>
      <c r="B536" s="29"/>
      <c r="C536" s="29"/>
      <c r="D536" s="29" t="s">
        <v>25</v>
      </c>
      <c r="E536" s="40"/>
      <c r="F536" s="40" t="n">
        <v>1</v>
      </c>
      <c r="G536" s="35" t="n">
        <v>1</v>
      </c>
    </row>
    <row r="537" customFormat="false" ht="15" hidden="false" customHeight="false" outlineLevel="0" collapsed="false">
      <c r="A537" s="21"/>
      <c r="B537" s="29"/>
      <c r="C537" s="36"/>
      <c r="D537" s="36" t="s">
        <v>34</v>
      </c>
      <c r="E537" s="41"/>
      <c r="F537" s="41" t="n">
        <v>2</v>
      </c>
      <c r="G537" s="39" t="n">
        <v>2</v>
      </c>
    </row>
    <row r="538" customFormat="false" ht="15" hidden="false" customHeight="false" outlineLevel="0" collapsed="false">
      <c r="A538" s="21"/>
      <c r="B538" s="29"/>
      <c r="C538" s="28" t="s">
        <v>146</v>
      </c>
      <c r="D538" s="28"/>
      <c r="E538" s="30"/>
      <c r="F538" s="31" t="n">
        <v>1</v>
      </c>
      <c r="G538" s="32" t="n">
        <v>1</v>
      </c>
    </row>
    <row r="539" customFormat="false" ht="15" hidden="false" customHeight="false" outlineLevel="0" collapsed="false">
      <c r="A539" s="21"/>
      <c r="B539" s="29"/>
      <c r="C539" s="36"/>
      <c r="D539" s="36" t="s">
        <v>85</v>
      </c>
      <c r="E539" s="37"/>
      <c r="F539" s="38" t="n">
        <v>1</v>
      </c>
      <c r="G539" s="39" t="n">
        <v>1</v>
      </c>
    </row>
    <row r="540" customFormat="false" ht="15" hidden="false" customHeight="false" outlineLevel="0" collapsed="false">
      <c r="A540" s="21"/>
      <c r="B540" s="29"/>
      <c r="C540" s="28" t="s">
        <v>147</v>
      </c>
      <c r="D540" s="28"/>
      <c r="E540" s="27"/>
      <c r="F540" s="27" t="n">
        <v>3</v>
      </c>
      <c r="G540" s="32" t="n">
        <v>3</v>
      </c>
    </row>
    <row r="541" customFormat="false" ht="15" hidden="false" customHeight="false" outlineLevel="0" collapsed="false">
      <c r="A541" s="21"/>
      <c r="B541" s="29"/>
      <c r="C541" s="29"/>
      <c r="D541" s="29" t="s">
        <v>25</v>
      </c>
      <c r="E541" s="40"/>
      <c r="F541" s="40" t="n">
        <v>1</v>
      </c>
      <c r="G541" s="35" t="n">
        <v>1</v>
      </c>
    </row>
    <row r="542" customFormat="false" ht="15" hidden="false" customHeight="false" outlineLevel="0" collapsed="false">
      <c r="A542" s="21"/>
      <c r="B542" s="29"/>
      <c r="C542" s="29"/>
      <c r="D542" s="29" t="s">
        <v>27</v>
      </c>
      <c r="E542" s="40"/>
      <c r="F542" s="40" t="n">
        <v>1</v>
      </c>
      <c r="G542" s="35" t="n">
        <v>1</v>
      </c>
    </row>
    <row r="543" customFormat="false" ht="15" hidden="false" customHeight="false" outlineLevel="0" collapsed="false">
      <c r="A543" s="21"/>
      <c r="B543" s="29"/>
      <c r="C543" s="36"/>
      <c r="D543" s="36" t="s">
        <v>30</v>
      </c>
      <c r="E543" s="41"/>
      <c r="F543" s="41" t="n">
        <v>1</v>
      </c>
      <c r="G543" s="39" t="n">
        <v>1</v>
      </c>
    </row>
    <row r="544" customFormat="false" ht="15" hidden="false" customHeight="false" outlineLevel="0" collapsed="false">
      <c r="A544" s="21"/>
      <c r="B544" s="29"/>
      <c r="C544" s="28" t="s">
        <v>148</v>
      </c>
      <c r="D544" s="28"/>
      <c r="E544" s="30"/>
      <c r="F544" s="31" t="n">
        <v>1</v>
      </c>
      <c r="G544" s="32" t="n">
        <v>1</v>
      </c>
    </row>
    <row r="545" customFormat="false" ht="15" hidden="false" customHeight="false" outlineLevel="0" collapsed="false">
      <c r="A545" s="21"/>
      <c r="B545" s="36"/>
      <c r="C545" s="36"/>
      <c r="D545" s="36" t="s">
        <v>34</v>
      </c>
      <c r="E545" s="37"/>
      <c r="F545" s="38" t="n">
        <v>1</v>
      </c>
      <c r="G545" s="39" t="n">
        <v>1</v>
      </c>
    </row>
    <row r="546" customFormat="false" ht="15" hidden="false" customHeight="false" outlineLevel="0" collapsed="false">
      <c r="A546" s="21"/>
      <c r="B546" s="28" t="s">
        <v>149</v>
      </c>
      <c r="C546" s="16"/>
      <c r="D546" s="17"/>
      <c r="E546" s="27"/>
      <c r="F546" s="27" t="n">
        <v>10</v>
      </c>
      <c r="G546" s="20" t="n">
        <v>10</v>
      </c>
    </row>
    <row r="547" customFormat="false" ht="15" hidden="false" customHeight="false" outlineLevel="0" collapsed="false">
      <c r="A547" s="21"/>
      <c r="B547" s="29"/>
      <c r="C547" s="28" t="s">
        <v>150</v>
      </c>
      <c r="D547" s="28"/>
      <c r="E547" s="30"/>
      <c r="F547" s="31" t="n">
        <v>6</v>
      </c>
      <c r="G547" s="32" t="n">
        <v>6</v>
      </c>
    </row>
    <row r="548" customFormat="false" ht="15" hidden="false" customHeight="false" outlineLevel="0" collapsed="false">
      <c r="A548" s="21"/>
      <c r="B548" s="29"/>
      <c r="C548" s="29"/>
      <c r="D548" s="29" t="s">
        <v>25</v>
      </c>
      <c r="E548" s="33"/>
      <c r="F548" s="34" t="n">
        <v>1</v>
      </c>
      <c r="G548" s="35" t="n">
        <v>1</v>
      </c>
    </row>
    <row r="549" customFormat="false" ht="15" hidden="false" customHeight="false" outlineLevel="0" collapsed="false">
      <c r="A549" s="21"/>
      <c r="B549" s="29"/>
      <c r="C549" s="29"/>
      <c r="D549" s="29" t="s">
        <v>34</v>
      </c>
      <c r="E549" s="33"/>
      <c r="F549" s="34" t="n">
        <v>2</v>
      </c>
      <c r="G549" s="35" t="n">
        <v>2</v>
      </c>
    </row>
    <row r="550" customFormat="false" ht="15" hidden="false" customHeight="false" outlineLevel="0" collapsed="false">
      <c r="A550" s="21"/>
      <c r="B550" s="29"/>
      <c r="C550" s="29"/>
      <c r="D550" s="29" t="s">
        <v>27</v>
      </c>
      <c r="E550" s="33"/>
      <c r="F550" s="34" t="n">
        <v>1</v>
      </c>
      <c r="G550" s="35" t="n">
        <v>1</v>
      </c>
    </row>
    <row r="551" customFormat="false" ht="15" hidden="false" customHeight="false" outlineLevel="0" collapsed="false">
      <c r="A551" s="21"/>
      <c r="B551" s="29"/>
      <c r="C551" s="29"/>
      <c r="D551" s="29" t="s">
        <v>30</v>
      </c>
      <c r="E551" s="33"/>
      <c r="F551" s="34" t="n">
        <v>1</v>
      </c>
      <c r="G551" s="35" t="n">
        <v>1</v>
      </c>
    </row>
    <row r="552" customFormat="false" ht="15" hidden="false" customHeight="false" outlineLevel="0" collapsed="false">
      <c r="A552" s="21"/>
      <c r="B552" s="29"/>
      <c r="C552" s="36"/>
      <c r="D552" s="36" t="s">
        <v>28</v>
      </c>
      <c r="E552" s="37"/>
      <c r="F552" s="38" t="n">
        <v>1</v>
      </c>
      <c r="G552" s="39" t="n">
        <v>1</v>
      </c>
    </row>
    <row r="553" customFormat="false" ht="15" hidden="false" customHeight="false" outlineLevel="0" collapsed="false">
      <c r="A553" s="21"/>
      <c r="B553" s="29"/>
      <c r="C553" s="28" t="s">
        <v>151</v>
      </c>
      <c r="D553" s="28"/>
      <c r="E553" s="27"/>
      <c r="F553" s="27" t="n">
        <v>4</v>
      </c>
      <c r="G553" s="32" t="n">
        <v>4</v>
      </c>
    </row>
    <row r="554" customFormat="false" ht="15" hidden="false" customHeight="false" outlineLevel="0" collapsed="false">
      <c r="A554" s="21"/>
      <c r="B554" s="29"/>
      <c r="C554" s="29"/>
      <c r="D554" s="29" t="s">
        <v>25</v>
      </c>
      <c r="E554" s="40"/>
      <c r="F554" s="40" t="n">
        <v>1</v>
      </c>
      <c r="G554" s="35" t="n">
        <v>1</v>
      </c>
    </row>
    <row r="555" customFormat="false" ht="15" hidden="false" customHeight="false" outlineLevel="0" collapsed="false">
      <c r="A555" s="21"/>
      <c r="B555" s="29"/>
      <c r="C555" s="29"/>
      <c r="D555" s="29" t="s">
        <v>50</v>
      </c>
      <c r="E555" s="40"/>
      <c r="F555" s="40" t="n">
        <v>1</v>
      </c>
      <c r="G555" s="35" t="n">
        <v>1</v>
      </c>
    </row>
    <row r="556" customFormat="false" ht="15" hidden="false" customHeight="false" outlineLevel="0" collapsed="false">
      <c r="A556" s="21"/>
      <c r="B556" s="29"/>
      <c r="C556" s="29"/>
      <c r="D556" s="29" t="s">
        <v>27</v>
      </c>
      <c r="E556" s="40"/>
      <c r="F556" s="40" t="n">
        <v>1</v>
      </c>
      <c r="G556" s="35" t="n">
        <v>1</v>
      </c>
    </row>
    <row r="557" customFormat="false" ht="15" hidden="false" customHeight="false" outlineLevel="0" collapsed="false">
      <c r="A557" s="21"/>
      <c r="B557" s="36"/>
      <c r="C557" s="36"/>
      <c r="D557" s="36" t="s">
        <v>30</v>
      </c>
      <c r="E557" s="41"/>
      <c r="F557" s="41" t="n">
        <v>1</v>
      </c>
      <c r="G557" s="39" t="n">
        <v>1</v>
      </c>
    </row>
    <row r="558" customFormat="false" ht="15" hidden="false" customHeight="false" outlineLevel="0" collapsed="false">
      <c r="A558" s="21"/>
      <c r="B558" s="28" t="s">
        <v>152</v>
      </c>
      <c r="C558" s="16"/>
      <c r="D558" s="17"/>
      <c r="E558" s="18"/>
      <c r="F558" s="19" t="n">
        <v>1</v>
      </c>
      <c r="G558" s="20" t="n">
        <v>1</v>
      </c>
    </row>
    <row r="559" customFormat="false" ht="15" hidden="false" customHeight="false" outlineLevel="0" collapsed="false">
      <c r="A559" s="21"/>
      <c r="B559" s="29"/>
      <c r="C559" s="28" t="s">
        <v>153</v>
      </c>
      <c r="D559" s="28"/>
      <c r="E559" s="27"/>
      <c r="F559" s="27" t="n">
        <v>1</v>
      </c>
      <c r="G559" s="32" t="n">
        <v>1</v>
      </c>
    </row>
    <row r="560" customFormat="false" ht="15" hidden="false" customHeight="false" outlineLevel="0" collapsed="false">
      <c r="A560" s="21"/>
      <c r="B560" s="36"/>
      <c r="C560" s="36"/>
      <c r="D560" s="36" t="s">
        <v>154</v>
      </c>
      <c r="E560" s="41"/>
      <c r="F560" s="41" t="n">
        <v>1</v>
      </c>
      <c r="G560" s="39" t="n">
        <v>1</v>
      </c>
    </row>
    <row r="561" customFormat="false" ht="15" hidden="false" customHeight="false" outlineLevel="0" collapsed="false">
      <c r="A561" s="21"/>
      <c r="B561" s="28" t="s">
        <v>155</v>
      </c>
      <c r="C561" s="16"/>
      <c r="D561" s="17"/>
      <c r="E561" s="18"/>
      <c r="F561" s="19" t="n">
        <v>1</v>
      </c>
      <c r="G561" s="20" t="n">
        <v>1</v>
      </c>
    </row>
    <row r="562" customFormat="false" ht="15" hidden="false" customHeight="false" outlineLevel="0" collapsed="false">
      <c r="A562" s="21"/>
      <c r="B562" s="29"/>
      <c r="C562" s="28" t="s">
        <v>156</v>
      </c>
      <c r="D562" s="28"/>
      <c r="E562" s="27"/>
      <c r="F562" s="27" t="n">
        <v>1</v>
      </c>
      <c r="G562" s="32" t="n">
        <v>1</v>
      </c>
    </row>
    <row r="563" customFormat="false" ht="15" hidden="false" customHeight="false" outlineLevel="0" collapsed="false">
      <c r="A563" s="21"/>
      <c r="B563" s="36"/>
      <c r="C563" s="36"/>
      <c r="D563" s="36" t="s">
        <v>154</v>
      </c>
      <c r="E563" s="41"/>
      <c r="F563" s="41" t="n">
        <v>1</v>
      </c>
      <c r="G563" s="39" t="n">
        <v>1</v>
      </c>
    </row>
    <row r="564" customFormat="false" ht="15" hidden="false" customHeight="false" outlineLevel="0" collapsed="false">
      <c r="A564" s="21"/>
      <c r="B564" s="28" t="s">
        <v>157</v>
      </c>
      <c r="C564" s="16"/>
      <c r="D564" s="17"/>
      <c r="E564" s="18"/>
      <c r="F564" s="19" t="n">
        <v>1</v>
      </c>
      <c r="G564" s="20" t="n">
        <v>1</v>
      </c>
    </row>
    <row r="565" customFormat="false" ht="15" hidden="false" customHeight="false" outlineLevel="0" collapsed="false">
      <c r="A565" s="21"/>
      <c r="B565" s="29"/>
      <c r="C565" s="28" t="s">
        <v>158</v>
      </c>
      <c r="D565" s="28"/>
      <c r="E565" s="27"/>
      <c r="F565" s="27" t="n">
        <v>1</v>
      </c>
      <c r="G565" s="32" t="n">
        <v>1</v>
      </c>
    </row>
    <row r="566" customFormat="false" ht="15" hidden="false" customHeight="false" outlineLevel="0" collapsed="false">
      <c r="A566" s="21"/>
      <c r="B566" s="36"/>
      <c r="C566" s="36"/>
      <c r="D566" s="36" t="s">
        <v>34</v>
      </c>
      <c r="E566" s="41"/>
      <c r="F566" s="41" t="n">
        <v>1</v>
      </c>
      <c r="G566" s="39" t="n">
        <v>1</v>
      </c>
    </row>
    <row r="567" customFormat="false" ht="15" hidden="false" customHeight="false" outlineLevel="0" collapsed="false">
      <c r="A567" s="21"/>
      <c r="B567" s="28" t="s">
        <v>159</v>
      </c>
      <c r="C567" s="16"/>
      <c r="D567" s="17"/>
      <c r="E567" s="18"/>
      <c r="F567" s="19" t="n">
        <v>1</v>
      </c>
      <c r="G567" s="20" t="n">
        <v>1</v>
      </c>
    </row>
    <row r="568" customFormat="false" ht="15" hidden="false" customHeight="false" outlineLevel="0" collapsed="false">
      <c r="A568" s="21"/>
      <c r="B568" s="29"/>
      <c r="C568" s="28" t="s">
        <v>160</v>
      </c>
      <c r="D568" s="28"/>
      <c r="E568" s="27"/>
      <c r="F568" s="27" t="n">
        <v>1</v>
      </c>
      <c r="G568" s="32" t="n">
        <v>1</v>
      </c>
    </row>
    <row r="569" customFormat="false" ht="15" hidden="false" customHeight="false" outlineLevel="0" collapsed="false">
      <c r="A569" s="21"/>
      <c r="B569" s="36"/>
      <c r="C569" s="36"/>
      <c r="D569" s="36" t="s">
        <v>154</v>
      </c>
      <c r="E569" s="41"/>
      <c r="F569" s="41" t="n">
        <v>1</v>
      </c>
      <c r="G569" s="39" t="n">
        <v>1</v>
      </c>
    </row>
    <row r="570" customFormat="false" ht="15" hidden="false" customHeight="false" outlineLevel="0" collapsed="false">
      <c r="A570" s="21"/>
      <c r="B570" s="28" t="s">
        <v>161</v>
      </c>
      <c r="C570" s="16"/>
      <c r="D570" s="17"/>
      <c r="E570" s="18"/>
      <c r="F570" s="19" t="n">
        <v>10</v>
      </c>
      <c r="G570" s="20" t="n">
        <v>10</v>
      </c>
    </row>
    <row r="571" customFormat="false" ht="15" hidden="false" customHeight="false" outlineLevel="0" collapsed="false">
      <c r="A571" s="21"/>
      <c r="B571" s="29"/>
      <c r="C571" s="28" t="s">
        <v>162</v>
      </c>
      <c r="D571" s="28"/>
      <c r="E571" s="27"/>
      <c r="F571" s="27" t="n">
        <v>10</v>
      </c>
      <c r="G571" s="32" t="n">
        <v>10</v>
      </c>
    </row>
    <row r="572" customFormat="false" ht="15" hidden="false" customHeight="false" outlineLevel="0" collapsed="false">
      <c r="A572" s="21"/>
      <c r="B572" s="29"/>
      <c r="C572" s="29"/>
      <c r="D572" s="29" t="s">
        <v>71</v>
      </c>
      <c r="E572" s="40"/>
      <c r="F572" s="40" t="n">
        <v>1</v>
      </c>
      <c r="G572" s="35" t="n">
        <v>1</v>
      </c>
    </row>
    <row r="573" customFormat="false" ht="15" hidden="false" customHeight="false" outlineLevel="0" collapsed="false">
      <c r="A573" s="21"/>
      <c r="B573" s="29"/>
      <c r="C573" s="29"/>
      <c r="D573" s="29" t="s">
        <v>50</v>
      </c>
      <c r="E573" s="40"/>
      <c r="F573" s="40" t="n">
        <v>7</v>
      </c>
      <c r="G573" s="35" t="n">
        <v>7</v>
      </c>
    </row>
    <row r="574" customFormat="false" ht="15" hidden="false" customHeight="false" outlineLevel="0" collapsed="false">
      <c r="A574" s="21"/>
      <c r="B574" s="29"/>
      <c r="C574" s="29"/>
      <c r="D574" s="29" t="s">
        <v>72</v>
      </c>
      <c r="E574" s="40"/>
      <c r="F574" s="40" t="n">
        <v>1</v>
      </c>
      <c r="G574" s="35" t="n">
        <v>1</v>
      </c>
    </row>
    <row r="575" customFormat="false" ht="15" hidden="false" customHeight="false" outlineLevel="0" collapsed="false">
      <c r="A575" s="21"/>
      <c r="B575" s="36"/>
      <c r="C575" s="36"/>
      <c r="D575" s="36" t="s">
        <v>73</v>
      </c>
      <c r="E575" s="41"/>
      <c r="F575" s="41" t="n">
        <v>1</v>
      </c>
      <c r="G575" s="39" t="n">
        <v>1</v>
      </c>
    </row>
    <row r="576" customFormat="false" ht="15" hidden="false" customHeight="false" outlineLevel="0" collapsed="false">
      <c r="A576" s="21"/>
      <c r="B576" s="28" t="s">
        <v>163</v>
      </c>
      <c r="C576" s="16"/>
      <c r="D576" s="17"/>
      <c r="E576" s="18"/>
      <c r="F576" s="19" t="n">
        <v>1</v>
      </c>
      <c r="G576" s="20" t="n">
        <v>1</v>
      </c>
    </row>
    <row r="577" customFormat="false" ht="15" hidden="false" customHeight="false" outlineLevel="0" collapsed="false">
      <c r="A577" s="21"/>
      <c r="B577" s="29"/>
      <c r="C577" s="28" t="s">
        <v>164</v>
      </c>
      <c r="D577" s="28"/>
      <c r="E577" s="27"/>
      <c r="F577" s="27" t="n">
        <v>1</v>
      </c>
      <c r="G577" s="32" t="n">
        <v>1</v>
      </c>
    </row>
    <row r="578" customFormat="false" ht="15" hidden="false" customHeight="false" outlineLevel="0" collapsed="false">
      <c r="A578" s="21"/>
      <c r="B578" s="36"/>
      <c r="C578" s="36"/>
      <c r="D578" s="36" t="s">
        <v>154</v>
      </c>
      <c r="E578" s="41"/>
      <c r="F578" s="41" t="n">
        <v>1</v>
      </c>
      <c r="G578" s="39" t="n">
        <v>1</v>
      </c>
    </row>
    <row r="579" customFormat="false" ht="15" hidden="false" customHeight="false" outlineLevel="0" collapsed="false">
      <c r="A579" s="21"/>
      <c r="B579" s="28" t="s">
        <v>165</v>
      </c>
      <c r="C579" s="16"/>
      <c r="D579" s="17"/>
      <c r="E579" s="18"/>
      <c r="F579" s="19" t="n">
        <v>14</v>
      </c>
      <c r="G579" s="20" t="n">
        <v>14</v>
      </c>
    </row>
    <row r="580" customFormat="false" ht="15" hidden="false" customHeight="false" outlineLevel="0" collapsed="false">
      <c r="A580" s="21"/>
      <c r="B580" s="29"/>
      <c r="C580" s="28" t="s">
        <v>166</v>
      </c>
      <c r="D580" s="28"/>
      <c r="E580" s="27"/>
      <c r="F580" s="27" t="n">
        <v>6</v>
      </c>
      <c r="G580" s="32" t="n">
        <v>6</v>
      </c>
    </row>
    <row r="581" customFormat="false" ht="15" hidden="false" customHeight="false" outlineLevel="0" collapsed="false">
      <c r="A581" s="21"/>
      <c r="B581" s="29"/>
      <c r="C581" s="29"/>
      <c r="D581" s="29" t="s">
        <v>71</v>
      </c>
      <c r="E581" s="40"/>
      <c r="F581" s="40" t="n">
        <v>1</v>
      </c>
      <c r="G581" s="35" t="n">
        <v>1</v>
      </c>
    </row>
    <row r="582" customFormat="false" ht="15" hidden="false" customHeight="false" outlineLevel="0" collapsed="false">
      <c r="A582" s="21"/>
      <c r="B582" s="29"/>
      <c r="C582" s="29"/>
      <c r="D582" s="29" t="s">
        <v>72</v>
      </c>
      <c r="E582" s="40"/>
      <c r="F582" s="40" t="n">
        <v>1</v>
      </c>
      <c r="G582" s="35" t="n">
        <v>1</v>
      </c>
    </row>
    <row r="583" customFormat="false" ht="15" hidden="false" customHeight="false" outlineLevel="0" collapsed="false">
      <c r="A583" s="21"/>
      <c r="B583" s="29"/>
      <c r="C583" s="29"/>
      <c r="D583" s="29" t="s">
        <v>73</v>
      </c>
      <c r="E583" s="40"/>
      <c r="F583" s="40" t="n">
        <v>1</v>
      </c>
      <c r="G583" s="35" t="n">
        <v>1</v>
      </c>
    </row>
    <row r="584" customFormat="false" ht="15" hidden="false" customHeight="false" outlineLevel="0" collapsed="false">
      <c r="A584" s="21"/>
      <c r="B584" s="29"/>
      <c r="C584" s="36"/>
      <c r="D584" s="36" t="s">
        <v>28</v>
      </c>
      <c r="E584" s="41"/>
      <c r="F584" s="41" t="n">
        <v>3</v>
      </c>
      <c r="G584" s="39" t="n">
        <v>3</v>
      </c>
    </row>
    <row r="585" customFormat="false" ht="15" hidden="false" customHeight="false" outlineLevel="0" collapsed="false">
      <c r="A585" s="21"/>
      <c r="B585" s="29"/>
      <c r="C585" s="28" t="s">
        <v>167</v>
      </c>
      <c r="D585" s="28"/>
      <c r="E585" s="30"/>
      <c r="F585" s="31" t="n">
        <v>4</v>
      </c>
      <c r="G585" s="32" t="n">
        <v>4</v>
      </c>
    </row>
    <row r="586" customFormat="false" ht="15" hidden="false" customHeight="false" outlineLevel="0" collapsed="false">
      <c r="A586" s="21"/>
      <c r="B586" s="29"/>
      <c r="C586" s="29"/>
      <c r="D586" s="29" t="s">
        <v>25</v>
      </c>
      <c r="E586" s="33"/>
      <c r="F586" s="34" t="n">
        <v>1</v>
      </c>
      <c r="G586" s="35" t="n">
        <v>1</v>
      </c>
    </row>
    <row r="587" customFormat="false" ht="15" hidden="false" customHeight="false" outlineLevel="0" collapsed="false">
      <c r="A587" s="21"/>
      <c r="B587" s="29"/>
      <c r="C587" s="29"/>
      <c r="D587" s="29" t="s">
        <v>27</v>
      </c>
      <c r="E587" s="33"/>
      <c r="F587" s="34" t="n">
        <v>1</v>
      </c>
      <c r="G587" s="35" t="n">
        <v>1</v>
      </c>
    </row>
    <row r="588" customFormat="false" ht="15" hidden="false" customHeight="false" outlineLevel="0" collapsed="false">
      <c r="A588" s="21"/>
      <c r="B588" s="29"/>
      <c r="C588" s="29"/>
      <c r="D588" s="29" t="s">
        <v>30</v>
      </c>
      <c r="E588" s="33"/>
      <c r="F588" s="34" t="n">
        <v>1</v>
      </c>
      <c r="G588" s="35" t="n">
        <v>1</v>
      </c>
    </row>
    <row r="589" customFormat="false" ht="15" hidden="false" customHeight="false" outlineLevel="0" collapsed="false">
      <c r="A589" s="21"/>
      <c r="B589" s="29"/>
      <c r="C589" s="36"/>
      <c r="D589" s="36" t="s">
        <v>28</v>
      </c>
      <c r="E589" s="37"/>
      <c r="F589" s="38" t="n">
        <v>1</v>
      </c>
      <c r="G589" s="39" t="n">
        <v>1</v>
      </c>
    </row>
    <row r="590" customFormat="false" ht="15" hidden="false" customHeight="false" outlineLevel="0" collapsed="false">
      <c r="A590" s="21"/>
      <c r="B590" s="29"/>
      <c r="C590" s="28" t="s">
        <v>168</v>
      </c>
      <c r="D590" s="28"/>
      <c r="E590" s="27"/>
      <c r="F590" s="27" t="n">
        <v>4</v>
      </c>
      <c r="G590" s="32" t="n">
        <v>4</v>
      </c>
    </row>
    <row r="591" customFormat="false" ht="15" hidden="false" customHeight="false" outlineLevel="0" collapsed="false">
      <c r="A591" s="21"/>
      <c r="B591" s="29"/>
      <c r="C591" s="29"/>
      <c r="D591" s="29" t="s">
        <v>25</v>
      </c>
      <c r="E591" s="40"/>
      <c r="F591" s="40" t="n">
        <v>1</v>
      </c>
      <c r="G591" s="35" t="n">
        <v>1</v>
      </c>
    </row>
    <row r="592" customFormat="false" ht="15" hidden="false" customHeight="false" outlineLevel="0" collapsed="false">
      <c r="A592" s="21"/>
      <c r="B592" s="29"/>
      <c r="C592" s="29"/>
      <c r="D592" s="29" t="s">
        <v>27</v>
      </c>
      <c r="E592" s="40"/>
      <c r="F592" s="40" t="n">
        <v>1</v>
      </c>
      <c r="G592" s="35" t="n">
        <v>1</v>
      </c>
    </row>
    <row r="593" customFormat="false" ht="15" hidden="false" customHeight="false" outlineLevel="0" collapsed="false">
      <c r="A593" s="21"/>
      <c r="B593" s="29"/>
      <c r="C593" s="29"/>
      <c r="D593" s="29" t="s">
        <v>30</v>
      </c>
      <c r="E593" s="40"/>
      <c r="F593" s="40" t="n">
        <v>1</v>
      </c>
      <c r="G593" s="35" t="n">
        <v>1</v>
      </c>
    </row>
    <row r="594" customFormat="false" ht="15" hidden="false" customHeight="false" outlineLevel="0" collapsed="false">
      <c r="A594" s="21"/>
      <c r="B594" s="36"/>
      <c r="C594" s="36"/>
      <c r="D594" s="36" t="s">
        <v>28</v>
      </c>
      <c r="E594" s="41"/>
      <c r="F594" s="41" t="n">
        <v>1</v>
      </c>
      <c r="G594" s="39" t="n">
        <v>1</v>
      </c>
    </row>
    <row r="595" customFormat="false" ht="15" hidden="false" customHeight="false" outlineLevel="0" collapsed="false">
      <c r="A595" s="21"/>
      <c r="B595" s="28" t="s">
        <v>169</v>
      </c>
      <c r="C595" s="16"/>
      <c r="D595" s="17"/>
      <c r="E595" s="18"/>
      <c r="F595" s="19" t="n">
        <v>11</v>
      </c>
      <c r="G595" s="20" t="n">
        <v>11</v>
      </c>
    </row>
    <row r="596" customFormat="false" ht="15" hidden="false" customHeight="false" outlineLevel="0" collapsed="false">
      <c r="A596" s="21"/>
      <c r="B596" s="29"/>
      <c r="C596" s="28" t="s">
        <v>170</v>
      </c>
      <c r="D596" s="28"/>
      <c r="E596" s="27"/>
      <c r="F596" s="27" t="n">
        <v>6</v>
      </c>
      <c r="G596" s="32" t="n">
        <v>6</v>
      </c>
    </row>
    <row r="597" customFormat="false" ht="15" hidden="false" customHeight="false" outlineLevel="0" collapsed="false">
      <c r="A597" s="21"/>
      <c r="B597" s="29"/>
      <c r="C597" s="29"/>
      <c r="D597" s="29" t="s">
        <v>25</v>
      </c>
      <c r="E597" s="40"/>
      <c r="F597" s="40" t="n">
        <v>1</v>
      </c>
      <c r="G597" s="35" t="n">
        <v>1</v>
      </c>
    </row>
    <row r="598" customFormat="false" ht="15" hidden="false" customHeight="false" outlineLevel="0" collapsed="false">
      <c r="A598" s="21"/>
      <c r="B598" s="29"/>
      <c r="C598" s="29"/>
      <c r="D598" s="29" t="s">
        <v>50</v>
      </c>
      <c r="E598" s="40"/>
      <c r="F598" s="40" t="n">
        <v>3</v>
      </c>
      <c r="G598" s="35" t="n">
        <v>3</v>
      </c>
    </row>
    <row r="599" customFormat="false" ht="15" hidden="false" customHeight="false" outlineLevel="0" collapsed="false">
      <c r="A599" s="21"/>
      <c r="B599" s="29"/>
      <c r="C599" s="29"/>
      <c r="D599" s="29" t="s">
        <v>27</v>
      </c>
      <c r="E599" s="40"/>
      <c r="F599" s="40" t="n">
        <v>1</v>
      </c>
      <c r="G599" s="35" t="n">
        <v>1</v>
      </c>
    </row>
    <row r="600" customFormat="false" ht="15" hidden="false" customHeight="false" outlineLevel="0" collapsed="false">
      <c r="A600" s="21"/>
      <c r="B600" s="29"/>
      <c r="C600" s="36"/>
      <c r="D600" s="36" t="s">
        <v>30</v>
      </c>
      <c r="E600" s="41"/>
      <c r="F600" s="41" t="n">
        <v>1</v>
      </c>
      <c r="G600" s="39" t="n">
        <v>1</v>
      </c>
    </row>
    <row r="601" customFormat="false" ht="15" hidden="false" customHeight="false" outlineLevel="0" collapsed="false">
      <c r="A601" s="21"/>
      <c r="B601" s="29"/>
      <c r="C601" s="28" t="s">
        <v>171</v>
      </c>
      <c r="D601" s="28"/>
      <c r="E601" s="30"/>
      <c r="F601" s="31" t="n">
        <v>5</v>
      </c>
      <c r="G601" s="32" t="n">
        <v>5</v>
      </c>
    </row>
    <row r="602" customFormat="false" ht="15" hidden="false" customHeight="false" outlineLevel="0" collapsed="false">
      <c r="A602" s="21"/>
      <c r="B602" s="29"/>
      <c r="C602" s="29"/>
      <c r="D602" s="29" t="s">
        <v>25</v>
      </c>
      <c r="E602" s="33"/>
      <c r="F602" s="34" t="n">
        <v>1</v>
      </c>
      <c r="G602" s="35" t="n">
        <v>1</v>
      </c>
    </row>
    <row r="603" customFormat="false" ht="15" hidden="false" customHeight="false" outlineLevel="0" collapsed="false">
      <c r="A603" s="21"/>
      <c r="B603" s="29"/>
      <c r="C603" s="29"/>
      <c r="D603" s="29" t="s">
        <v>50</v>
      </c>
      <c r="E603" s="33"/>
      <c r="F603" s="34" t="n">
        <v>2</v>
      </c>
      <c r="G603" s="35" t="n">
        <v>2</v>
      </c>
    </row>
    <row r="604" customFormat="false" ht="15" hidden="false" customHeight="false" outlineLevel="0" collapsed="false">
      <c r="A604" s="21"/>
      <c r="B604" s="29"/>
      <c r="C604" s="29"/>
      <c r="D604" s="29" t="s">
        <v>27</v>
      </c>
      <c r="E604" s="33"/>
      <c r="F604" s="34" t="n">
        <v>1</v>
      </c>
      <c r="G604" s="35" t="n">
        <v>1</v>
      </c>
    </row>
    <row r="605" customFormat="false" ht="15" hidden="false" customHeight="false" outlineLevel="0" collapsed="false">
      <c r="A605" s="21"/>
      <c r="B605" s="36"/>
      <c r="C605" s="36"/>
      <c r="D605" s="36" t="s">
        <v>30</v>
      </c>
      <c r="E605" s="37"/>
      <c r="F605" s="38" t="n">
        <v>1</v>
      </c>
      <c r="G605" s="39" t="n">
        <v>1</v>
      </c>
    </row>
    <row r="606" customFormat="false" ht="15" hidden="false" customHeight="false" outlineLevel="0" collapsed="false">
      <c r="A606" s="21"/>
      <c r="B606" s="28" t="s">
        <v>172</v>
      </c>
      <c r="C606" s="16"/>
      <c r="D606" s="17"/>
      <c r="E606" s="27"/>
      <c r="F606" s="27" t="n">
        <v>6</v>
      </c>
      <c r="G606" s="20" t="n">
        <v>6</v>
      </c>
    </row>
    <row r="607" customFormat="false" ht="15" hidden="false" customHeight="false" outlineLevel="0" collapsed="false">
      <c r="A607" s="21"/>
      <c r="B607" s="29"/>
      <c r="C607" s="28" t="s">
        <v>173</v>
      </c>
      <c r="D607" s="28"/>
      <c r="E607" s="30"/>
      <c r="F607" s="31" t="n">
        <v>6</v>
      </c>
      <c r="G607" s="32" t="n">
        <v>6</v>
      </c>
    </row>
    <row r="608" customFormat="false" ht="15" hidden="false" customHeight="false" outlineLevel="0" collapsed="false">
      <c r="A608" s="21"/>
      <c r="B608" s="29"/>
      <c r="C608" s="29"/>
      <c r="D608" s="29" t="s">
        <v>71</v>
      </c>
      <c r="E608" s="33"/>
      <c r="F608" s="34" t="n">
        <v>1</v>
      </c>
      <c r="G608" s="35" t="n">
        <v>1</v>
      </c>
    </row>
    <row r="609" customFormat="false" ht="15" hidden="false" customHeight="false" outlineLevel="0" collapsed="false">
      <c r="A609" s="21"/>
      <c r="B609" s="29"/>
      <c r="C609" s="29"/>
      <c r="D609" s="29" t="s">
        <v>81</v>
      </c>
      <c r="E609" s="33"/>
      <c r="F609" s="34" t="n">
        <v>1</v>
      </c>
      <c r="G609" s="35" t="n">
        <v>1</v>
      </c>
    </row>
    <row r="610" customFormat="false" ht="15" hidden="false" customHeight="false" outlineLevel="0" collapsed="false">
      <c r="A610" s="21"/>
      <c r="B610" s="29"/>
      <c r="C610" s="29"/>
      <c r="D610" s="29" t="s">
        <v>82</v>
      </c>
      <c r="E610" s="33"/>
      <c r="F610" s="34" t="n">
        <v>1</v>
      </c>
      <c r="G610" s="35" t="n">
        <v>1</v>
      </c>
    </row>
    <row r="611" customFormat="false" ht="15" hidden="false" customHeight="false" outlineLevel="0" collapsed="false">
      <c r="A611" s="21"/>
      <c r="B611" s="29"/>
      <c r="C611" s="29"/>
      <c r="D611" s="29" t="s">
        <v>72</v>
      </c>
      <c r="E611" s="33"/>
      <c r="F611" s="34" t="n">
        <v>1</v>
      </c>
      <c r="G611" s="35" t="n">
        <v>1</v>
      </c>
    </row>
    <row r="612" customFormat="false" ht="15" hidden="false" customHeight="false" outlineLevel="0" collapsed="false">
      <c r="A612" s="21"/>
      <c r="B612" s="29"/>
      <c r="C612" s="29"/>
      <c r="D612" s="29" t="s">
        <v>84</v>
      </c>
      <c r="E612" s="33"/>
      <c r="F612" s="34" t="n">
        <v>1</v>
      </c>
      <c r="G612" s="35" t="n">
        <v>1</v>
      </c>
    </row>
    <row r="613" customFormat="false" ht="15" hidden="false" customHeight="false" outlineLevel="0" collapsed="false">
      <c r="A613" s="21"/>
      <c r="B613" s="36"/>
      <c r="C613" s="36"/>
      <c r="D613" s="36" t="s">
        <v>73</v>
      </c>
      <c r="E613" s="37"/>
      <c r="F613" s="38" t="n">
        <v>1</v>
      </c>
      <c r="G613" s="39" t="n">
        <v>1</v>
      </c>
    </row>
    <row r="614" customFormat="false" ht="15" hidden="false" customHeight="false" outlineLevel="0" collapsed="false">
      <c r="A614" s="21"/>
      <c r="B614" s="28" t="s">
        <v>174</v>
      </c>
      <c r="C614" s="16"/>
      <c r="D614" s="17"/>
      <c r="E614" s="27"/>
      <c r="F614" s="27" t="n">
        <v>6</v>
      </c>
      <c r="G614" s="20" t="n">
        <v>6</v>
      </c>
    </row>
    <row r="615" customFormat="false" ht="15" hidden="false" customHeight="false" outlineLevel="0" collapsed="false">
      <c r="A615" s="21"/>
      <c r="B615" s="29"/>
      <c r="C615" s="28" t="s">
        <v>175</v>
      </c>
      <c r="D615" s="28"/>
      <c r="E615" s="30"/>
      <c r="F615" s="31" t="n">
        <v>6</v>
      </c>
      <c r="G615" s="32" t="n">
        <v>6</v>
      </c>
    </row>
    <row r="616" customFormat="false" ht="15" hidden="false" customHeight="false" outlineLevel="0" collapsed="false">
      <c r="A616" s="21"/>
      <c r="B616" s="29"/>
      <c r="C616" s="29"/>
      <c r="D616" s="29" t="s">
        <v>71</v>
      </c>
      <c r="E616" s="33"/>
      <c r="F616" s="34" t="n">
        <v>1</v>
      </c>
      <c r="G616" s="35" t="n">
        <v>1</v>
      </c>
    </row>
    <row r="617" customFormat="false" ht="15" hidden="false" customHeight="false" outlineLevel="0" collapsed="false">
      <c r="A617" s="21"/>
      <c r="B617" s="29"/>
      <c r="C617" s="29"/>
      <c r="D617" s="29" t="s">
        <v>82</v>
      </c>
      <c r="E617" s="33"/>
      <c r="F617" s="34" t="n">
        <v>1</v>
      </c>
      <c r="G617" s="35" t="n">
        <v>1</v>
      </c>
    </row>
    <row r="618" customFormat="false" ht="15" hidden="false" customHeight="false" outlineLevel="0" collapsed="false">
      <c r="A618" s="21"/>
      <c r="B618" s="29"/>
      <c r="C618" s="29"/>
      <c r="D618" s="29" t="s">
        <v>35</v>
      </c>
      <c r="E618" s="33"/>
      <c r="F618" s="34" t="n">
        <v>1</v>
      </c>
      <c r="G618" s="35" t="n">
        <v>1</v>
      </c>
    </row>
    <row r="619" customFormat="false" ht="15" hidden="false" customHeight="false" outlineLevel="0" collapsed="false">
      <c r="A619" s="21"/>
      <c r="B619" s="29"/>
      <c r="C619" s="29"/>
      <c r="D619" s="29" t="s">
        <v>83</v>
      </c>
      <c r="E619" s="33"/>
      <c r="F619" s="34" t="n">
        <v>1</v>
      </c>
      <c r="G619" s="35" t="n">
        <v>1</v>
      </c>
    </row>
    <row r="620" customFormat="false" ht="15" hidden="false" customHeight="false" outlineLevel="0" collapsed="false">
      <c r="A620" s="21"/>
      <c r="B620" s="29"/>
      <c r="C620" s="29"/>
      <c r="D620" s="29" t="s">
        <v>72</v>
      </c>
      <c r="E620" s="33"/>
      <c r="F620" s="34" t="n">
        <v>1</v>
      </c>
      <c r="G620" s="35" t="n">
        <v>1</v>
      </c>
    </row>
    <row r="621" customFormat="false" ht="15" hidden="false" customHeight="false" outlineLevel="0" collapsed="false">
      <c r="A621" s="21"/>
      <c r="B621" s="36"/>
      <c r="C621" s="36"/>
      <c r="D621" s="36" t="s">
        <v>73</v>
      </c>
      <c r="E621" s="37"/>
      <c r="F621" s="38" t="n">
        <v>1</v>
      </c>
      <c r="G621" s="39" t="n">
        <v>1</v>
      </c>
    </row>
    <row r="622" customFormat="false" ht="15" hidden="false" customHeight="false" outlineLevel="0" collapsed="false">
      <c r="A622" s="21"/>
      <c r="B622" s="28" t="s">
        <v>176</v>
      </c>
      <c r="C622" s="16"/>
      <c r="D622" s="17"/>
      <c r="E622" s="27"/>
      <c r="F622" s="27" t="n">
        <v>1</v>
      </c>
      <c r="G622" s="20" t="n">
        <v>1</v>
      </c>
    </row>
    <row r="623" customFormat="false" ht="15" hidden="false" customHeight="false" outlineLevel="0" collapsed="false">
      <c r="A623" s="21"/>
      <c r="B623" s="29"/>
      <c r="C623" s="28" t="s">
        <v>177</v>
      </c>
      <c r="D623" s="28"/>
      <c r="E623" s="30"/>
      <c r="F623" s="31" t="n">
        <v>1</v>
      </c>
      <c r="G623" s="32" t="n">
        <v>1</v>
      </c>
    </row>
    <row r="624" customFormat="false" ht="15" hidden="false" customHeight="false" outlineLevel="0" collapsed="false">
      <c r="A624" s="21"/>
      <c r="B624" s="36"/>
      <c r="C624" s="36"/>
      <c r="D624" s="36" t="s">
        <v>154</v>
      </c>
      <c r="E624" s="37"/>
      <c r="F624" s="38" t="n">
        <v>1</v>
      </c>
      <c r="G624" s="39" t="n">
        <v>1</v>
      </c>
    </row>
    <row r="625" customFormat="false" ht="15" hidden="false" customHeight="false" outlineLevel="0" collapsed="false">
      <c r="A625" s="21"/>
      <c r="B625" s="28" t="s">
        <v>178</v>
      </c>
      <c r="C625" s="16"/>
      <c r="D625" s="17"/>
      <c r="E625" s="27"/>
      <c r="F625" s="27" t="n">
        <v>1</v>
      </c>
      <c r="G625" s="20" t="n">
        <v>1</v>
      </c>
    </row>
    <row r="626" customFormat="false" ht="15" hidden="false" customHeight="false" outlineLevel="0" collapsed="false">
      <c r="A626" s="21"/>
      <c r="B626" s="29"/>
      <c r="C626" s="28" t="s">
        <v>179</v>
      </c>
      <c r="D626" s="28"/>
      <c r="E626" s="30"/>
      <c r="F626" s="31" t="n">
        <v>1</v>
      </c>
      <c r="G626" s="32" t="n">
        <v>1</v>
      </c>
    </row>
    <row r="627" customFormat="false" ht="15" hidden="false" customHeight="false" outlineLevel="0" collapsed="false">
      <c r="A627" s="21"/>
      <c r="B627" s="36"/>
      <c r="C627" s="36"/>
      <c r="D627" s="36" t="s">
        <v>154</v>
      </c>
      <c r="E627" s="37"/>
      <c r="F627" s="38" t="n">
        <v>1</v>
      </c>
      <c r="G627" s="39" t="n">
        <v>1</v>
      </c>
    </row>
    <row r="628" customFormat="false" ht="15" hidden="false" customHeight="false" outlineLevel="0" collapsed="false">
      <c r="A628" s="21"/>
      <c r="B628" s="28" t="s">
        <v>180</v>
      </c>
      <c r="C628" s="16"/>
      <c r="D628" s="17"/>
      <c r="E628" s="27"/>
      <c r="F628" s="27" t="n">
        <v>1</v>
      </c>
      <c r="G628" s="20" t="n">
        <v>1</v>
      </c>
    </row>
    <row r="629" customFormat="false" ht="15" hidden="false" customHeight="false" outlineLevel="0" collapsed="false">
      <c r="A629" s="21"/>
      <c r="B629" s="29"/>
      <c r="C629" s="28" t="s">
        <v>181</v>
      </c>
      <c r="D629" s="28"/>
      <c r="E629" s="30"/>
      <c r="F629" s="31" t="n">
        <v>1</v>
      </c>
      <c r="G629" s="32" t="n">
        <v>1</v>
      </c>
    </row>
    <row r="630" customFormat="false" ht="15" hidden="false" customHeight="false" outlineLevel="0" collapsed="false">
      <c r="A630" s="21"/>
      <c r="B630" s="36"/>
      <c r="C630" s="36"/>
      <c r="D630" s="36" t="s">
        <v>154</v>
      </c>
      <c r="E630" s="37"/>
      <c r="F630" s="38" t="n">
        <v>1</v>
      </c>
      <c r="G630" s="39" t="n">
        <v>1</v>
      </c>
    </row>
    <row r="631" customFormat="false" ht="15" hidden="false" customHeight="false" outlineLevel="0" collapsed="false">
      <c r="A631" s="21"/>
      <c r="B631" s="28" t="s">
        <v>182</v>
      </c>
      <c r="C631" s="16"/>
      <c r="D631" s="17"/>
      <c r="E631" s="27"/>
      <c r="F631" s="27" t="n">
        <v>1</v>
      </c>
      <c r="G631" s="20" t="n">
        <v>1</v>
      </c>
    </row>
    <row r="632" customFormat="false" ht="15" hidden="false" customHeight="false" outlineLevel="0" collapsed="false">
      <c r="A632" s="21"/>
      <c r="B632" s="29"/>
      <c r="C632" s="28" t="s">
        <v>183</v>
      </c>
      <c r="D632" s="28"/>
      <c r="E632" s="30"/>
      <c r="F632" s="31" t="n">
        <v>1</v>
      </c>
      <c r="G632" s="32" t="n">
        <v>1</v>
      </c>
    </row>
    <row r="633" customFormat="false" ht="15" hidden="false" customHeight="false" outlineLevel="0" collapsed="false">
      <c r="A633" s="21"/>
      <c r="B633" s="36"/>
      <c r="C633" s="36"/>
      <c r="D633" s="36" t="s">
        <v>154</v>
      </c>
      <c r="E633" s="37"/>
      <c r="F633" s="38" t="n">
        <v>1</v>
      </c>
      <c r="G633" s="39" t="n">
        <v>1</v>
      </c>
    </row>
    <row r="634" customFormat="false" ht="15" hidden="false" customHeight="false" outlineLevel="0" collapsed="false">
      <c r="A634" s="21"/>
      <c r="B634" s="28" t="s">
        <v>184</v>
      </c>
      <c r="C634" s="16"/>
      <c r="D634" s="17"/>
      <c r="E634" s="27"/>
      <c r="F634" s="27" t="n">
        <v>1</v>
      </c>
      <c r="G634" s="20" t="n">
        <v>1</v>
      </c>
    </row>
    <row r="635" customFormat="false" ht="15" hidden="false" customHeight="false" outlineLevel="0" collapsed="false">
      <c r="A635" s="21"/>
      <c r="B635" s="29"/>
      <c r="C635" s="28" t="s">
        <v>185</v>
      </c>
      <c r="D635" s="28"/>
      <c r="E635" s="30"/>
      <c r="F635" s="31" t="n">
        <v>1</v>
      </c>
      <c r="G635" s="32" t="n">
        <v>1</v>
      </c>
    </row>
    <row r="636" customFormat="false" ht="15" hidden="false" customHeight="false" outlineLevel="0" collapsed="false">
      <c r="A636" s="26"/>
      <c r="B636" s="36"/>
      <c r="C636" s="36"/>
      <c r="D636" s="36" t="s">
        <v>154</v>
      </c>
      <c r="E636" s="37"/>
      <c r="F636" s="38" t="n">
        <v>1</v>
      </c>
      <c r="G636" s="39" t="n">
        <v>1</v>
      </c>
    </row>
    <row r="637" customFormat="false" ht="15" hidden="false" customHeight="false" outlineLevel="0" collapsed="false">
      <c r="A637" s="42" t="s">
        <v>186</v>
      </c>
      <c r="B637" s="23"/>
      <c r="C637" s="23"/>
      <c r="D637" s="24"/>
      <c r="E637" s="25"/>
      <c r="F637" s="25" t="n">
        <v>31</v>
      </c>
      <c r="G637" s="20" t="n">
        <v>31</v>
      </c>
    </row>
    <row r="638" customFormat="false" ht="15" hidden="false" customHeight="false" outlineLevel="0" collapsed="false">
      <c r="A638" s="42" t="s">
        <v>187</v>
      </c>
      <c r="B638" s="23"/>
      <c r="C638" s="23"/>
      <c r="D638" s="24"/>
      <c r="E638" s="18"/>
      <c r="F638" s="19" t="n">
        <v>26</v>
      </c>
      <c r="G638" s="20" t="n">
        <v>26</v>
      </c>
    </row>
    <row r="639" customFormat="false" ht="15" hidden="false" customHeight="false" outlineLevel="0" collapsed="false">
      <c r="A639" s="42" t="s">
        <v>188</v>
      </c>
      <c r="B639" s="23"/>
      <c r="C639" s="23"/>
      <c r="D639" s="24"/>
      <c r="E639" s="25"/>
      <c r="F639" s="25" t="n">
        <v>34</v>
      </c>
      <c r="G639" s="20" t="n">
        <v>34</v>
      </c>
    </row>
    <row r="640" customFormat="false" ht="15" hidden="false" customHeight="false" outlineLevel="0" collapsed="false">
      <c r="A640" s="42" t="s">
        <v>189</v>
      </c>
      <c r="B640" s="23"/>
      <c r="C640" s="23"/>
      <c r="D640" s="24"/>
      <c r="E640" s="18"/>
      <c r="F640" s="19" t="n">
        <v>27</v>
      </c>
      <c r="G640" s="20" t="n">
        <v>27</v>
      </c>
    </row>
    <row r="641" customFormat="false" ht="15" hidden="false" customHeight="false" outlineLevel="0" collapsed="false">
      <c r="A641" s="42" t="s">
        <v>190</v>
      </c>
      <c r="B641" s="23"/>
      <c r="C641" s="23"/>
      <c r="D641" s="24"/>
      <c r="E641" s="25"/>
      <c r="F641" s="25" t="n">
        <v>24</v>
      </c>
      <c r="G641" s="20" t="n">
        <v>24</v>
      </c>
    </row>
    <row r="642" customFormat="false" ht="15" hidden="false" customHeight="false" outlineLevel="0" collapsed="false">
      <c r="A642" s="15" t="s">
        <v>191</v>
      </c>
      <c r="B642" s="16"/>
      <c r="C642" s="16"/>
      <c r="D642" s="17"/>
      <c r="E642" s="18"/>
      <c r="F642" s="19" t="n">
        <v>87</v>
      </c>
      <c r="G642" s="20" t="n">
        <v>87</v>
      </c>
    </row>
    <row r="643" customFormat="false" ht="15" hidden="false" customHeight="false" outlineLevel="0" collapsed="false">
      <c r="A643" s="21"/>
      <c r="B643" s="22" t="s">
        <v>9</v>
      </c>
      <c r="C643" s="23"/>
      <c r="D643" s="24"/>
      <c r="E643" s="25"/>
      <c r="F643" s="25" t="n">
        <v>19</v>
      </c>
      <c r="G643" s="20" t="n">
        <v>19</v>
      </c>
    </row>
    <row r="644" customFormat="false" ht="15" hidden="false" customHeight="false" outlineLevel="0" collapsed="false">
      <c r="A644" s="21"/>
      <c r="B644" s="28" t="s">
        <v>157</v>
      </c>
      <c r="C644" s="16"/>
      <c r="D644" s="17"/>
      <c r="E644" s="18"/>
      <c r="F644" s="19" t="n">
        <v>14</v>
      </c>
      <c r="G644" s="20" t="n">
        <v>14</v>
      </c>
    </row>
    <row r="645" customFormat="false" ht="15" hidden="false" customHeight="false" outlineLevel="0" collapsed="false">
      <c r="A645" s="21"/>
      <c r="B645" s="29"/>
      <c r="C645" s="28" t="s">
        <v>192</v>
      </c>
      <c r="D645" s="28"/>
      <c r="E645" s="27"/>
      <c r="F645" s="27" t="n">
        <v>4</v>
      </c>
      <c r="G645" s="32" t="n">
        <v>4</v>
      </c>
    </row>
    <row r="646" customFormat="false" ht="15" hidden="false" customHeight="false" outlineLevel="0" collapsed="false">
      <c r="A646" s="21"/>
      <c r="B646" s="29"/>
      <c r="C646" s="29"/>
      <c r="D646" s="29" t="s">
        <v>25</v>
      </c>
      <c r="E646" s="40"/>
      <c r="F646" s="40" t="n">
        <v>1</v>
      </c>
      <c r="G646" s="35" t="n">
        <v>1</v>
      </c>
    </row>
    <row r="647" customFormat="false" ht="15" hidden="false" customHeight="false" outlineLevel="0" collapsed="false">
      <c r="A647" s="21"/>
      <c r="B647" s="29"/>
      <c r="C647" s="29"/>
      <c r="D647" s="29" t="s">
        <v>34</v>
      </c>
      <c r="E647" s="40"/>
      <c r="F647" s="40" t="n">
        <v>1</v>
      </c>
      <c r="G647" s="35" t="n">
        <v>1</v>
      </c>
    </row>
    <row r="648" customFormat="false" ht="15" hidden="false" customHeight="false" outlineLevel="0" collapsed="false">
      <c r="A648" s="21"/>
      <c r="B648" s="29"/>
      <c r="C648" s="29"/>
      <c r="D648" s="29" t="s">
        <v>27</v>
      </c>
      <c r="E648" s="40"/>
      <c r="F648" s="40" t="n">
        <v>1</v>
      </c>
      <c r="G648" s="35" t="n">
        <v>1</v>
      </c>
    </row>
    <row r="649" customFormat="false" ht="15" hidden="false" customHeight="false" outlineLevel="0" collapsed="false">
      <c r="A649" s="21"/>
      <c r="B649" s="29"/>
      <c r="C649" s="36"/>
      <c r="D649" s="36" t="s">
        <v>30</v>
      </c>
      <c r="E649" s="41"/>
      <c r="F649" s="41" t="n">
        <v>1</v>
      </c>
      <c r="G649" s="39" t="n">
        <v>1</v>
      </c>
    </row>
    <row r="650" customFormat="false" ht="15" hidden="false" customHeight="false" outlineLevel="0" collapsed="false">
      <c r="A650" s="21"/>
      <c r="B650" s="29"/>
      <c r="C650" s="28" t="s">
        <v>193</v>
      </c>
      <c r="D650" s="28"/>
      <c r="E650" s="30"/>
      <c r="F650" s="31" t="n">
        <v>5</v>
      </c>
      <c r="G650" s="32" t="n">
        <v>5</v>
      </c>
    </row>
    <row r="651" customFormat="false" ht="15" hidden="false" customHeight="false" outlineLevel="0" collapsed="false">
      <c r="A651" s="21"/>
      <c r="B651" s="29"/>
      <c r="C651" s="29"/>
      <c r="D651" s="29" t="s">
        <v>25</v>
      </c>
      <c r="E651" s="33"/>
      <c r="F651" s="34" t="n">
        <v>1</v>
      </c>
      <c r="G651" s="35" t="n">
        <v>1</v>
      </c>
    </row>
    <row r="652" customFormat="false" ht="15" hidden="false" customHeight="false" outlineLevel="0" collapsed="false">
      <c r="A652" s="21"/>
      <c r="B652" s="29"/>
      <c r="C652" s="29"/>
      <c r="D652" s="29" t="s">
        <v>34</v>
      </c>
      <c r="E652" s="33"/>
      <c r="F652" s="34" t="n">
        <v>1</v>
      </c>
      <c r="G652" s="35" t="n">
        <v>1</v>
      </c>
    </row>
    <row r="653" customFormat="false" ht="15" hidden="false" customHeight="false" outlineLevel="0" collapsed="false">
      <c r="A653" s="21"/>
      <c r="B653" s="29"/>
      <c r="C653" s="29"/>
      <c r="D653" s="29" t="s">
        <v>27</v>
      </c>
      <c r="E653" s="33"/>
      <c r="F653" s="34" t="n">
        <v>1</v>
      </c>
      <c r="G653" s="35" t="n">
        <v>1</v>
      </c>
    </row>
    <row r="654" customFormat="false" ht="15" hidden="false" customHeight="false" outlineLevel="0" collapsed="false">
      <c r="A654" s="21"/>
      <c r="B654" s="29"/>
      <c r="C654" s="29"/>
      <c r="D654" s="29" t="s">
        <v>30</v>
      </c>
      <c r="E654" s="33"/>
      <c r="F654" s="34" t="n">
        <v>1</v>
      </c>
      <c r="G654" s="35" t="n">
        <v>1</v>
      </c>
    </row>
    <row r="655" customFormat="false" ht="15" hidden="false" customHeight="false" outlineLevel="0" collapsed="false">
      <c r="A655" s="21"/>
      <c r="B655" s="29"/>
      <c r="C655" s="36"/>
      <c r="D655" s="36" t="s">
        <v>35</v>
      </c>
      <c r="E655" s="37"/>
      <c r="F655" s="38" t="n">
        <v>1</v>
      </c>
      <c r="G655" s="39" t="n">
        <v>1</v>
      </c>
    </row>
    <row r="656" customFormat="false" ht="15" hidden="false" customHeight="false" outlineLevel="0" collapsed="false">
      <c r="A656" s="21"/>
      <c r="B656" s="29"/>
      <c r="C656" s="28" t="s">
        <v>194</v>
      </c>
      <c r="D656" s="28"/>
      <c r="E656" s="27"/>
      <c r="F656" s="27" t="n">
        <v>4</v>
      </c>
      <c r="G656" s="32" t="n">
        <v>4</v>
      </c>
    </row>
    <row r="657" customFormat="false" ht="15" hidden="false" customHeight="false" outlineLevel="0" collapsed="false">
      <c r="A657" s="21"/>
      <c r="B657" s="29"/>
      <c r="C657" s="29"/>
      <c r="D657" s="29" t="s">
        <v>25</v>
      </c>
      <c r="E657" s="40"/>
      <c r="F657" s="40" t="n">
        <v>1</v>
      </c>
      <c r="G657" s="35" t="n">
        <v>1</v>
      </c>
    </row>
    <row r="658" customFormat="false" ht="15" hidden="false" customHeight="false" outlineLevel="0" collapsed="false">
      <c r="A658" s="21"/>
      <c r="B658" s="29"/>
      <c r="C658" s="29"/>
      <c r="D658" s="29" t="s">
        <v>34</v>
      </c>
      <c r="E658" s="40"/>
      <c r="F658" s="40" t="n">
        <v>1</v>
      </c>
      <c r="G658" s="35" t="n">
        <v>1</v>
      </c>
    </row>
    <row r="659" customFormat="false" ht="15" hidden="false" customHeight="false" outlineLevel="0" collapsed="false">
      <c r="A659" s="21"/>
      <c r="B659" s="29"/>
      <c r="C659" s="29"/>
      <c r="D659" s="29" t="s">
        <v>27</v>
      </c>
      <c r="E659" s="40"/>
      <c r="F659" s="40" t="n">
        <v>1</v>
      </c>
      <c r="G659" s="35" t="n">
        <v>1</v>
      </c>
    </row>
    <row r="660" customFormat="false" ht="15" hidden="false" customHeight="false" outlineLevel="0" collapsed="false">
      <c r="A660" s="21"/>
      <c r="B660" s="29"/>
      <c r="C660" s="36"/>
      <c r="D660" s="36" t="s">
        <v>30</v>
      </c>
      <c r="E660" s="41"/>
      <c r="F660" s="41" t="n">
        <v>1</v>
      </c>
      <c r="G660" s="39" t="n">
        <v>1</v>
      </c>
    </row>
    <row r="661" customFormat="false" ht="15" hidden="false" customHeight="false" outlineLevel="0" collapsed="false">
      <c r="A661" s="21"/>
      <c r="B661" s="29"/>
      <c r="C661" s="28" t="s">
        <v>195</v>
      </c>
      <c r="D661" s="28"/>
      <c r="E661" s="30"/>
      <c r="F661" s="31" t="n">
        <v>1</v>
      </c>
      <c r="G661" s="32" t="n">
        <v>1</v>
      </c>
    </row>
    <row r="662" customFormat="false" ht="15" hidden="false" customHeight="false" outlineLevel="0" collapsed="false">
      <c r="A662" s="21"/>
      <c r="B662" s="36"/>
      <c r="C662" s="36"/>
      <c r="D662" s="36" t="s">
        <v>34</v>
      </c>
      <c r="E662" s="37"/>
      <c r="F662" s="38" t="n">
        <v>1</v>
      </c>
      <c r="G662" s="39" t="n">
        <v>1</v>
      </c>
    </row>
    <row r="663" customFormat="false" ht="15" hidden="false" customHeight="false" outlineLevel="0" collapsed="false">
      <c r="A663" s="21"/>
      <c r="B663" s="28" t="s">
        <v>196</v>
      </c>
      <c r="C663" s="16"/>
      <c r="D663" s="17"/>
      <c r="E663" s="27"/>
      <c r="F663" s="27" t="n">
        <v>15</v>
      </c>
      <c r="G663" s="20" t="n">
        <v>15</v>
      </c>
    </row>
    <row r="664" customFormat="false" ht="15" hidden="false" customHeight="false" outlineLevel="0" collapsed="false">
      <c r="A664" s="21"/>
      <c r="B664" s="29"/>
      <c r="C664" s="28" t="s">
        <v>197</v>
      </c>
      <c r="D664" s="28"/>
      <c r="E664" s="30"/>
      <c r="F664" s="31" t="n">
        <v>4</v>
      </c>
      <c r="G664" s="32" t="n">
        <v>4</v>
      </c>
    </row>
    <row r="665" customFormat="false" ht="15" hidden="false" customHeight="false" outlineLevel="0" collapsed="false">
      <c r="A665" s="21"/>
      <c r="B665" s="29"/>
      <c r="C665" s="29"/>
      <c r="D665" s="29" t="s">
        <v>25</v>
      </c>
      <c r="E665" s="33"/>
      <c r="F665" s="34" t="n">
        <v>1</v>
      </c>
      <c r="G665" s="35" t="n">
        <v>1</v>
      </c>
    </row>
    <row r="666" customFormat="false" ht="15" hidden="false" customHeight="false" outlineLevel="0" collapsed="false">
      <c r="A666" s="21"/>
      <c r="B666" s="29"/>
      <c r="C666" s="29"/>
      <c r="D666" s="29" t="s">
        <v>34</v>
      </c>
      <c r="E666" s="33"/>
      <c r="F666" s="34" t="n">
        <v>1</v>
      </c>
      <c r="G666" s="35" t="n">
        <v>1</v>
      </c>
    </row>
    <row r="667" customFormat="false" ht="15" hidden="false" customHeight="false" outlineLevel="0" collapsed="false">
      <c r="A667" s="21"/>
      <c r="B667" s="29"/>
      <c r="C667" s="29"/>
      <c r="D667" s="29" t="s">
        <v>27</v>
      </c>
      <c r="E667" s="33"/>
      <c r="F667" s="34" t="n">
        <v>1</v>
      </c>
      <c r="G667" s="35" t="n">
        <v>1</v>
      </c>
    </row>
    <row r="668" customFormat="false" ht="15" hidden="false" customHeight="false" outlineLevel="0" collapsed="false">
      <c r="A668" s="21"/>
      <c r="B668" s="29"/>
      <c r="C668" s="36"/>
      <c r="D668" s="36" t="s">
        <v>30</v>
      </c>
      <c r="E668" s="37"/>
      <c r="F668" s="38" t="n">
        <v>1</v>
      </c>
      <c r="G668" s="39" t="n">
        <v>1</v>
      </c>
    </row>
    <row r="669" customFormat="false" ht="15" hidden="false" customHeight="false" outlineLevel="0" collapsed="false">
      <c r="A669" s="21"/>
      <c r="B669" s="29"/>
      <c r="C669" s="28" t="s">
        <v>198</v>
      </c>
      <c r="D669" s="28"/>
      <c r="E669" s="27"/>
      <c r="F669" s="27" t="n">
        <v>4</v>
      </c>
      <c r="G669" s="32" t="n">
        <v>4</v>
      </c>
    </row>
    <row r="670" customFormat="false" ht="15" hidden="false" customHeight="false" outlineLevel="0" collapsed="false">
      <c r="A670" s="21"/>
      <c r="B670" s="29"/>
      <c r="C670" s="29"/>
      <c r="D670" s="29" t="s">
        <v>25</v>
      </c>
      <c r="E670" s="40"/>
      <c r="F670" s="40" t="n">
        <v>1</v>
      </c>
      <c r="G670" s="35" t="n">
        <v>1</v>
      </c>
    </row>
    <row r="671" customFormat="false" ht="15" hidden="false" customHeight="false" outlineLevel="0" collapsed="false">
      <c r="A671" s="21"/>
      <c r="B671" s="29"/>
      <c r="C671" s="29"/>
      <c r="D671" s="29" t="s">
        <v>34</v>
      </c>
      <c r="E671" s="40"/>
      <c r="F671" s="40" t="n">
        <v>1</v>
      </c>
      <c r="G671" s="35" t="n">
        <v>1</v>
      </c>
    </row>
    <row r="672" customFormat="false" ht="15" hidden="false" customHeight="false" outlineLevel="0" collapsed="false">
      <c r="A672" s="21"/>
      <c r="B672" s="29"/>
      <c r="C672" s="29"/>
      <c r="D672" s="29" t="s">
        <v>27</v>
      </c>
      <c r="E672" s="40"/>
      <c r="F672" s="40" t="n">
        <v>1</v>
      </c>
      <c r="G672" s="35" t="n">
        <v>1</v>
      </c>
    </row>
    <row r="673" customFormat="false" ht="15" hidden="false" customHeight="false" outlineLevel="0" collapsed="false">
      <c r="A673" s="21"/>
      <c r="B673" s="29"/>
      <c r="C673" s="36"/>
      <c r="D673" s="36" t="s">
        <v>30</v>
      </c>
      <c r="E673" s="41"/>
      <c r="F673" s="41" t="n">
        <v>1</v>
      </c>
      <c r="G673" s="39" t="n">
        <v>1</v>
      </c>
    </row>
    <row r="674" customFormat="false" ht="15" hidden="false" customHeight="false" outlineLevel="0" collapsed="false">
      <c r="A674" s="21"/>
      <c r="B674" s="29"/>
      <c r="C674" s="28" t="s">
        <v>199</v>
      </c>
      <c r="D674" s="28"/>
      <c r="E674" s="30"/>
      <c r="F674" s="31" t="n">
        <v>4</v>
      </c>
      <c r="G674" s="32" t="n">
        <v>4</v>
      </c>
    </row>
    <row r="675" customFormat="false" ht="15" hidden="false" customHeight="false" outlineLevel="0" collapsed="false">
      <c r="A675" s="21"/>
      <c r="B675" s="29"/>
      <c r="C675" s="29"/>
      <c r="D675" s="29" t="s">
        <v>25</v>
      </c>
      <c r="E675" s="33"/>
      <c r="F675" s="34" t="n">
        <v>1</v>
      </c>
      <c r="G675" s="35" t="n">
        <v>1</v>
      </c>
    </row>
    <row r="676" customFormat="false" ht="15" hidden="false" customHeight="false" outlineLevel="0" collapsed="false">
      <c r="A676" s="21"/>
      <c r="B676" s="29"/>
      <c r="C676" s="29"/>
      <c r="D676" s="29" t="s">
        <v>34</v>
      </c>
      <c r="E676" s="33"/>
      <c r="F676" s="34" t="n">
        <v>1</v>
      </c>
      <c r="G676" s="35" t="n">
        <v>1</v>
      </c>
    </row>
    <row r="677" customFormat="false" ht="15" hidden="false" customHeight="false" outlineLevel="0" collapsed="false">
      <c r="A677" s="21"/>
      <c r="B677" s="29"/>
      <c r="C677" s="29"/>
      <c r="D677" s="29" t="s">
        <v>27</v>
      </c>
      <c r="E677" s="33"/>
      <c r="F677" s="34" t="n">
        <v>1</v>
      </c>
      <c r="G677" s="35" t="n">
        <v>1</v>
      </c>
    </row>
    <row r="678" customFormat="false" ht="15" hidden="false" customHeight="false" outlineLevel="0" collapsed="false">
      <c r="A678" s="21"/>
      <c r="B678" s="29"/>
      <c r="C678" s="36"/>
      <c r="D678" s="36" t="s">
        <v>30</v>
      </c>
      <c r="E678" s="37"/>
      <c r="F678" s="38" t="n">
        <v>1</v>
      </c>
      <c r="G678" s="39" t="n">
        <v>1</v>
      </c>
    </row>
    <row r="679" customFormat="false" ht="15" hidden="false" customHeight="false" outlineLevel="0" collapsed="false">
      <c r="A679" s="21"/>
      <c r="B679" s="29"/>
      <c r="C679" s="28" t="s">
        <v>200</v>
      </c>
      <c r="D679" s="28"/>
      <c r="E679" s="27"/>
      <c r="F679" s="27" t="n">
        <v>3</v>
      </c>
      <c r="G679" s="32" t="n">
        <v>3</v>
      </c>
    </row>
    <row r="680" customFormat="false" ht="15" hidden="false" customHeight="false" outlineLevel="0" collapsed="false">
      <c r="A680" s="21"/>
      <c r="B680" s="29"/>
      <c r="C680" s="29"/>
      <c r="D680" s="29" t="s">
        <v>25</v>
      </c>
      <c r="E680" s="40"/>
      <c r="F680" s="40" t="n">
        <v>1</v>
      </c>
      <c r="G680" s="35" t="n">
        <v>1</v>
      </c>
    </row>
    <row r="681" customFormat="false" ht="15" hidden="false" customHeight="false" outlineLevel="0" collapsed="false">
      <c r="A681" s="21"/>
      <c r="B681" s="29"/>
      <c r="C681" s="29"/>
      <c r="D681" s="29" t="s">
        <v>27</v>
      </c>
      <c r="E681" s="40"/>
      <c r="F681" s="40" t="n">
        <v>1</v>
      </c>
      <c r="G681" s="35" t="n">
        <v>1</v>
      </c>
    </row>
    <row r="682" customFormat="false" ht="15" hidden="false" customHeight="false" outlineLevel="0" collapsed="false">
      <c r="A682" s="21"/>
      <c r="B682" s="36"/>
      <c r="C682" s="36"/>
      <c r="D682" s="36" t="s">
        <v>30</v>
      </c>
      <c r="E682" s="41"/>
      <c r="F682" s="41" t="n">
        <v>1</v>
      </c>
      <c r="G682" s="39" t="n">
        <v>1</v>
      </c>
    </row>
    <row r="683" customFormat="false" ht="15" hidden="false" customHeight="false" outlineLevel="0" collapsed="false">
      <c r="A683" s="21"/>
      <c r="B683" s="28" t="s">
        <v>201</v>
      </c>
      <c r="C683" s="16"/>
      <c r="D683" s="17"/>
      <c r="E683" s="18"/>
      <c r="F683" s="19" t="n">
        <v>8</v>
      </c>
      <c r="G683" s="20" t="n">
        <v>8</v>
      </c>
    </row>
    <row r="684" customFormat="false" ht="15" hidden="false" customHeight="false" outlineLevel="0" collapsed="false">
      <c r="A684" s="21"/>
      <c r="B684" s="29"/>
      <c r="C684" s="28" t="s">
        <v>202</v>
      </c>
      <c r="D684" s="28"/>
      <c r="E684" s="27"/>
      <c r="F684" s="27" t="n">
        <v>4</v>
      </c>
      <c r="G684" s="32" t="n">
        <v>4</v>
      </c>
    </row>
    <row r="685" customFormat="false" ht="15" hidden="false" customHeight="false" outlineLevel="0" collapsed="false">
      <c r="A685" s="21"/>
      <c r="B685" s="29"/>
      <c r="C685" s="29"/>
      <c r="D685" s="29" t="s">
        <v>25</v>
      </c>
      <c r="E685" s="40"/>
      <c r="F685" s="40" t="n">
        <v>1</v>
      </c>
      <c r="G685" s="35" t="n">
        <v>1</v>
      </c>
    </row>
    <row r="686" customFormat="false" ht="15" hidden="false" customHeight="false" outlineLevel="0" collapsed="false">
      <c r="A686" s="21"/>
      <c r="B686" s="29"/>
      <c r="C686" s="29"/>
      <c r="D686" s="29" t="s">
        <v>34</v>
      </c>
      <c r="E686" s="40"/>
      <c r="F686" s="40" t="n">
        <v>1</v>
      </c>
      <c r="G686" s="35" t="n">
        <v>1</v>
      </c>
    </row>
    <row r="687" customFormat="false" ht="15" hidden="false" customHeight="false" outlineLevel="0" collapsed="false">
      <c r="A687" s="21"/>
      <c r="B687" s="29"/>
      <c r="C687" s="29"/>
      <c r="D687" s="29" t="s">
        <v>27</v>
      </c>
      <c r="E687" s="40"/>
      <c r="F687" s="40" t="n">
        <v>1</v>
      </c>
      <c r="G687" s="35" t="n">
        <v>1</v>
      </c>
    </row>
    <row r="688" customFormat="false" ht="15" hidden="false" customHeight="false" outlineLevel="0" collapsed="false">
      <c r="A688" s="21"/>
      <c r="B688" s="29"/>
      <c r="C688" s="36"/>
      <c r="D688" s="36" t="s">
        <v>30</v>
      </c>
      <c r="E688" s="41"/>
      <c r="F688" s="41" t="n">
        <v>1</v>
      </c>
      <c r="G688" s="39" t="n">
        <v>1</v>
      </c>
    </row>
    <row r="689" customFormat="false" ht="15" hidden="false" customHeight="false" outlineLevel="0" collapsed="false">
      <c r="A689" s="21"/>
      <c r="B689" s="29"/>
      <c r="C689" s="28" t="s">
        <v>203</v>
      </c>
      <c r="D689" s="28"/>
      <c r="E689" s="30"/>
      <c r="F689" s="31" t="n">
        <v>4</v>
      </c>
      <c r="G689" s="32" t="n">
        <v>4</v>
      </c>
    </row>
    <row r="690" customFormat="false" ht="15" hidden="false" customHeight="false" outlineLevel="0" collapsed="false">
      <c r="A690" s="21"/>
      <c r="B690" s="29"/>
      <c r="C690" s="29"/>
      <c r="D690" s="29" t="s">
        <v>25</v>
      </c>
      <c r="E690" s="33"/>
      <c r="F690" s="34" t="n">
        <v>1</v>
      </c>
      <c r="G690" s="35" t="n">
        <v>1</v>
      </c>
    </row>
    <row r="691" customFormat="false" ht="15" hidden="false" customHeight="false" outlineLevel="0" collapsed="false">
      <c r="A691" s="21"/>
      <c r="B691" s="29"/>
      <c r="C691" s="29"/>
      <c r="D691" s="29" t="s">
        <v>34</v>
      </c>
      <c r="E691" s="33"/>
      <c r="F691" s="34" t="n">
        <v>1</v>
      </c>
      <c r="G691" s="35" t="n">
        <v>1</v>
      </c>
    </row>
    <row r="692" customFormat="false" ht="15" hidden="false" customHeight="false" outlineLevel="0" collapsed="false">
      <c r="A692" s="21"/>
      <c r="B692" s="29"/>
      <c r="C692" s="29"/>
      <c r="D692" s="29" t="s">
        <v>27</v>
      </c>
      <c r="E692" s="33"/>
      <c r="F692" s="34" t="n">
        <v>1</v>
      </c>
      <c r="G692" s="35" t="n">
        <v>1</v>
      </c>
    </row>
    <row r="693" customFormat="false" ht="15" hidden="false" customHeight="false" outlineLevel="0" collapsed="false">
      <c r="A693" s="21"/>
      <c r="B693" s="36"/>
      <c r="C693" s="36"/>
      <c r="D693" s="36" t="s">
        <v>30</v>
      </c>
      <c r="E693" s="37"/>
      <c r="F693" s="38" t="n">
        <v>1</v>
      </c>
      <c r="G693" s="39" t="n">
        <v>1</v>
      </c>
    </row>
    <row r="694" customFormat="false" ht="15" hidden="false" customHeight="false" outlineLevel="0" collapsed="false">
      <c r="A694" s="21"/>
      <c r="B694" s="28" t="s">
        <v>204</v>
      </c>
      <c r="C694" s="16"/>
      <c r="D694" s="17"/>
      <c r="E694" s="27"/>
      <c r="F694" s="27" t="n">
        <v>4</v>
      </c>
      <c r="G694" s="20" t="n">
        <v>4</v>
      </c>
    </row>
    <row r="695" customFormat="false" ht="15" hidden="false" customHeight="false" outlineLevel="0" collapsed="false">
      <c r="A695" s="21"/>
      <c r="B695" s="29"/>
      <c r="C695" s="28" t="s">
        <v>205</v>
      </c>
      <c r="D695" s="28"/>
      <c r="E695" s="30"/>
      <c r="F695" s="31" t="n">
        <v>4</v>
      </c>
      <c r="G695" s="32" t="n">
        <v>4</v>
      </c>
    </row>
    <row r="696" customFormat="false" ht="15" hidden="false" customHeight="false" outlineLevel="0" collapsed="false">
      <c r="A696" s="21"/>
      <c r="B696" s="29"/>
      <c r="C696" s="29"/>
      <c r="D696" s="29" t="s">
        <v>25</v>
      </c>
      <c r="E696" s="33"/>
      <c r="F696" s="34" t="n">
        <v>1</v>
      </c>
      <c r="G696" s="35" t="n">
        <v>1</v>
      </c>
    </row>
    <row r="697" customFormat="false" ht="15" hidden="false" customHeight="false" outlineLevel="0" collapsed="false">
      <c r="A697" s="21"/>
      <c r="B697" s="29"/>
      <c r="C697" s="29"/>
      <c r="D697" s="29" t="s">
        <v>34</v>
      </c>
      <c r="E697" s="33"/>
      <c r="F697" s="34" t="n">
        <v>1</v>
      </c>
      <c r="G697" s="35" t="n">
        <v>1</v>
      </c>
    </row>
    <row r="698" customFormat="false" ht="15" hidden="false" customHeight="false" outlineLevel="0" collapsed="false">
      <c r="A698" s="21"/>
      <c r="B698" s="29"/>
      <c r="C698" s="29"/>
      <c r="D698" s="29" t="s">
        <v>27</v>
      </c>
      <c r="E698" s="33"/>
      <c r="F698" s="34" t="n">
        <v>1</v>
      </c>
      <c r="G698" s="35" t="n">
        <v>1</v>
      </c>
    </row>
    <row r="699" customFormat="false" ht="15" hidden="false" customHeight="false" outlineLevel="0" collapsed="false">
      <c r="A699" s="21"/>
      <c r="B699" s="36"/>
      <c r="C699" s="36"/>
      <c r="D699" s="36" t="s">
        <v>30</v>
      </c>
      <c r="E699" s="37"/>
      <c r="F699" s="38" t="n">
        <v>1</v>
      </c>
      <c r="G699" s="39" t="n">
        <v>1</v>
      </c>
    </row>
    <row r="700" customFormat="false" ht="15" hidden="false" customHeight="false" outlineLevel="0" collapsed="false">
      <c r="A700" s="21"/>
      <c r="B700" s="28" t="s">
        <v>206</v>
      </c>
      <c r="C700" s="16"/>
      <c r="D700" s="17"/>
      <c r="E700" s="27"/>
      <c r="F700" s="27" t="n">
        <v>12</v>
      </c>
      <c r="G700" s="20" t="n">
        <v>12</v>
      </c>
    </row>
    <row r="701" customFormat="false" ht="15" hidden="false" customHeight="false" outlineLevel="0" collapsed="false">
      <c r="A701" s="21"/>
      <c r="B701" s="29"/>
      <c r="C701" s="28" t="s">
        <v>207</v>
      </c>
      <c r="D701" s="28"/>
      <c r="E701" s="30"/>
      <c r="F701" s="31" t="n">
        <v>4</v>
      </c>
      <c r="G701" s="32" t="n">
        <v>4</v>
      </c>
    </row>
    <row r="702" customFormat="false" ht="15" hidden="false" customHeight="false" outlineLevel="0" collapsed="false">
      <c r="A702" s="21"/>
      <c r="B702" s="29"/>
      <c r="C702" s="29"/>
      <c r="D702" s="29" t="s">
        <v>25</v>
      </c>
      <c r="E702" s="33"/>
      <c r="F702" s="34" t="n">
        <v>1</v>
      </c>
      <c r="G702" s="35" t="n">
        <v>1</v>
      </c>
    </row>
    <row r="703" customFormat="false" ht="15" hidden="false" customHeight="false" outlineLevel="0" collapsed="false">
      <c r="A703" s="21"/>
      <c r="B703" s="29"/>
      <c r="C703" s="29"/>
      <c r="D703" s="29" t="s">
        <v>34</v>
      </c>
      <c r="E703" s="33"/>
      <c r="F703" s="34" t="n">
        <v>1</v>
      </c>
      <c r="G703" s="35" t="n">
        <v>1</v>
      </c>
    </row>
    <row r="704" customFormat="false" ht="15" hidden="false" customHeight="false" outlineLevel="0" collapsed="false">
      <c r="A704" s="21"/>
      <c r="B704" s="29"/>
      <c r="C704" s="29"/>
      <c r="D704" s="29" t="s">
        <v>27</v>
      </c>
      <c r="E704" s="33"/>
      <c r="F704" s="34" t="n">
        <v>1</v>
      </c>
      <c r="G704" s="35" t="n">
        <v>1</v>
      </c>
    </row>
    <row r="705" customFormat="false" ht="15" hidden="false" customHeight="false" outlineLevel="0" collapsed="false">
      <c r="A705" s="21"/>
      <c r="B705" s="29"/>
      <c r="C705" s="36"/>
      <c r="D705" s="36" t="s">
        <v>30</v>
      </c>
      <c r="E705" s="37"/>
      <c r="F705" s="38" t="n">
        <v>1</v>
      </c>
      <c r="G705" s="39" t="n">
        <v>1</v>
      </c>
    </row>
    <row r="706" customFormat="false" ht="15" hidden="false" customHeight="false" outlineLevel="0" collapsed="false">
      <c r="A706" s="21"/>
      <c r="B706" s="29"/>
      <c r="C706" s="28" t="s">
        <v>208</v>
      </c>
      <c r="D706" s="28"/>
      <c r="E706" s="27"/>
      <c r="F706" s="27" t="n">
        <v>4</v>
      </c>
      <c r="G706" s="32" t="n">
        <v>4</v>
      </c>
    </row>
    <row r="707" customFormat="false" ht="15" hidden="false" customHeight="false" outlineLevel="0" collapsed="false">
      <c r="A707" s="21"/>
      <c r="B707" s="29"/>
      <c r="C707" s="29"/>
      <c r="D707" s="29" t="s">
        <v>25</v>
      </c>
      <c r="E707" s="40"/>
      <c r="F707" s="40" t="n">
        <v>1</v>
      </c>
      <c r="G707" s="35" t="n">
        <v>1</v>
      </c>
    </row>
    <row r="708" customFormat="false" ht="15" hidden="false" customHeight="false" outlineLevel="0" collapsed="false">
      <c r="A708" s="21"/>
      <c r="B708" s="29"/>
      <c r="C708" s="29"/>
      <c r="D708" s="29" t="s">
        <v>34</v>
      </c>
      <c r="E708" s="40"/>
      <c r="F708" s="40" t="n">
        <v>1</v>
      </c>
      <c r="G708" s="35" t="n">
        <v>1</v>
      </c>
    </row>
    <row r="709" customFormat="false" ht="15" hidden="false" customHeight="false" outlineLevel="0" collapsed="false">
      <c r="A709" s="21"/>
      <c r="B709" s="29"/>
      <c r="C709" s="29"/>
      <c r="D709" s="29" t="s">
        <v>27</v>
      </c>
      <c r="E709" s="40"/>
      <c r="F709" s="40" t="n">
        <v>1</v>
      </c>
      <c r="G709" s="35" t="n">
        <v>1</v>
      </c>
    </row>
    <row r="710" customFormat="false" ht="15" hidden="false" customHeight="false" outlineLevel="0" collapsed="false">
      <c r="A710" s="21"/>
      <c r="B710" s="29"/>
      <c r="C710" s="36"/>
      <c r="D710" s="36" t="s">
        <v>30</v>
      </c>
      <c r="E710" s="41"/>
      <c r="F710" s="41" t="n">
        <v>1</v>
      </c>
      <c r="G710" s="39" t="n">
        <v>1</v>
      </c>
    </row>
    <row r="711" customFormat="false" ht="15" hidden="false" customHeight="false" outlineLevel="0" collapsed="false">
      <c r="A711" s="21"/>
      <c r="B711" s="29"/>
      <c r="C711" s="28" t="s">
        <v>209</v>
      </c>
      <c r="D711" s="28"/>
      <c r="E711" s="30"/>
      <c r="F711" s="31" t="n">
        <v>4</v>
      </c>
      <c r="G711" s="32" t="n">
        <v>4</v>
      </c>
    </row>
    <row r="712" customFormat="false" ht="15" hidden="false" customHeight="false" outlineLevel="0" collapsed="false">
      <c r="A712" s="21"/>
      <c r="B712" s="29"/>
      <c r="C712" s="29"/>
      <c r="D712" s="29" t="s">
        <v>25</v>
      </c>
      <c r="E712" s="33"/>
      <c r="F712" s="34" t="n">
        <v>1</v>
      </c>
      <c r="G712" s="35" t="n">
        <v>1</v>
      </c>
    </row>
    <row r="713" customFormat="false" ht="15" hidden="false" customHeight="false" outlineLevel="0" collapsed="false">
      <c r="A713" s="21"/>
      <c r="B713" s="29"/>
      <c r="C713" s="29"/>
      <c r="D713" s="29" t="s">
        <v>34</v>
      </c>
      <c r="E713" s="33"/>
      <c r="F713" s="34" t="n">
        <v>1</v>
      </c>
      <c r="G713" s="35" t="n">
        <v>1</v>
      </c>
    </row>
    <row r="714" customFormat="false" ht="15" hidden="false" customHeight="false" outlineLevel="0" collapsed="false">
      <c r="A714" s="21"/>
      <c r="B714" s="29"/>
      <c r="C714" s="29"/>
      <c r="D714" s="29" t="s">
        <v>27</v>
      </c>
      <c r="E714" s="33"/>
      <c r="F714" s="34" t="n">
        <v>1</v>
      </c>
      <c r="G714" s="35" t="n">
        <v>1</v>
      </c>
    </row>
    <row r="715" customFormat="false" ht="15" hidden="false" customHeight="false" outlineLevel="0" collapsed="false">
      <c r="A715" s="21"/>
      <c r="B715" s="36"/>
      <c r="C715" s="36"/>
      <c r="D715" s="36" t="s">
        <v>30</v>
      </c>
      <c r="E715" s="37"/>
      <c r="F715" s="38" t="n">
        <v>1</v>
      </c>
      <c r="G715" s="39" t="n">
        <v>1</v>
      </c>
    </row>
    <row r="716" customFormat="false" ht="15" hidden="false" customHeight="false" outlineLevel="0" collapsed="false">
      <c r="A716" s="21"/>
      <c r="B716" s="28" t="s">
        <v>210</v>
      </c>
      <c r="C716" s="16"/>
      <c r="D716" s="17"/>
      <c r="E716" s="27"/>
      <c r="F716" s="27" t="n">
        <v>8</v>
      </c>
      <c r="G716" s="20" t="n">
        <v>8</v>
      </c>
    </row>
    <row r="717" customFormat="false" ht="15" hidden="false" customHeight="false" outlineLevel="0" collapsed="false">
      <c r="A717" s="21"/>
      <c r="B717" s="29"/>
      <c r="C717" s="28" t="s">
        <v>211</v>
      </c>
      <c r="D717" s="28"/>
      <c r="E717" s="30"/>
      <c r="F717" s="31" t="n">
        <v>4</v>
      </c>
      <c r="G717" s="32" t="n">
        <v>4</v>
      </c>
    </row>
    <row r="718" customFormat="false" ht="15" hidden="false" customHeight="false" outlineLevel="0" collapsed="false">
      <c r="A718" s="21"/>
      <c r="B718" s="29"/>
      <c r="C718" s="29"/>
      <c r="D718" s="29" t="s">
        <v>25</v>
      </c>
      <c r="E718" s="33"/>
      <c r="F718" s="34" t="n">
        <v>1</v>
      </c>
      <c r="G718" s="35" t="n">
        <v>1</v>
      </c>
    </row>
    <row r="719" customFormat="false" ht="15" hidden="false" customHeight="false" outlineLevel="0" collapsed="false">
      <c r="A719" s="21"/>
      <c r="B719" s="29"/>
      <c r="C719" s="29"/>
      <c r="D719" s="29" t="s">
        <v>34</v>
      </c>
      <c r="E719" s="33"/>
      <c r="F719" s="34" t="n">
        <v>1</v>
      </c>
      <c r="G719" s="35" t="n">
        <v>1</v>
      </c>
    </row>
    <row r="720" customFormat="false" ht="15" hidden="false" customHeight="false" outlineLevel="0" collapsed="false">
      <c r="A720" s="21"/>
      <c r="B720" s="29"/>
      <c r="C720" s="29"/>
      <c r="D720" s="29" t="s">
        <v>27</v>
      </c>
      <c r="E720" s="33"/>
      <c r="F720" s="34" t="n">
        <v>1</v>
      </c>
      <c r="G720" s="35" t="n">
        <v>1</v>
      </c>
    </row>
    <row r="721" customFormat="false" ht="15" hidden="false" customHeight="false" outlineLevel="0" collapsed="false">
      <c r="A721" s="21"/>
      <c r="B721" s="29"/>
      <c r="C721" s="36"/>
      <c r="D721" s="36" t="s">
        <v>30</v>
      </c>
      <c r="E721" s="37"/>
      <c r="F721" s="38" t="n">
        <v>1</v>
      </c>
      <c r="G721" s="39" t="n">
        <v>1</v>
      </c>
    </row>
    <row r="722" customFormat="false" ht="15" hidden="false" customHeight="false" outlineLevel="0" collapsed="false">
      <c r="A722" s="21"/>
      <c r="B722" s="29"/>
      <c r="C722" s="28" t="s">
        <v>212</v>
      </c>
      <c r="D722" s="28"/>
      <c r="E722" s="27"/>
      <c r="F722" s="27" t="n">
        <v>4</v>
      </c>
      <c r="G722" s="32" t="n">
        <v>4</v>
      </c>
    </row>
    <row r="723" customFormat="false" ht="15" hidden="false" customHeight="false" outlineLevel="0" collapsed="false">
      <c r="A723" s="21"/>
      <c r="B723" s="29"/>
      <c r="C723" s="29"/>
      <c r="D723" s="29" t="s">
        <v>25</v>
      </c>
      <c r="E723" s="40"/>
      <c r="F723" s="40" t="n">
        <v>1</v>
      </c>
      <c r="G723" s="35" t="n">
        <v>1</v>
      </c>
    </row>
    <row r="724" customFormat="false" ht="15" hidden="false" customHeight="false" outlineLevel="0" collapsed="false">
      <c r="A724" s="21"/>
      <c r="B724" s="29"/>
      <c r="C724" s="29"/>
      <c r="D724" s="29" t="s">
        <v>34</v>
      </c>
      <c r="E724" s="40"/>
      <c r="F724" s="40" t="n">
        <v>1</v>
      </c>
      <c r="G724" s="35" t="n">
        <v>1</v>
      </c>
    </row>
    <row r="725" customFormat="false" ht="15" hidden="false" customHeight="false" outlineLevel="0" collapsed="false">
      <c r="A725" s="21"/>
      <c r="B725" s="29"/>
      <c r="C725" s="29"/>
      <c r="D725" s="29" t="s">
        <v>27</v>
      </c>
      <c r="E725" s="40"/>
      <c r="F725" s="40" t="n">
        <v>1</v>
      </c>
      <c r="G725" s="35" t="n">
        <v>1</v>
      </c>
    </row>
    <row r="726" customFormat="false" ht="15" hidden="false" customHeight="false" outlineLevel="0" collapsed="false">
      <c r="A726" s="21"/>
      <c r="B726" s="36"/>
      <c r="C726" s="36"/>
      <c r="D726" s="36" t="s">
        <v>30</v>
      </c>
      <c r="E726" s="41"/>
      <c r="F726" s="41" t="n">
        <v>1</v>
      </c>
      <c r="G726" s="39" t="n">
        <v>1</v>
      </c>
    </row>
    <row r="727" customFormat="false" ht="15" hidden="false" customHeight="false" outlineLevel="0" collapsed="false">
      <c r="A727" s="21"/>
      <c r="B727" s="28" t="s">
        <v>213</v>
      </c>
      <c r="C727" s="16"/>
      <c r="D727" s="17"/>
      <c r="E727" s="18"/>
      <c r="F727" s="19" t="n">
        <v>7</v>
      </c>
      <c r="G727" s="20" t="n">
        <v>7</v>
      </c>
    </row>
    <row r="728" customFormat="false" ht="15" hidden="false" customHeight="false" outlineLevel="0" collapsed="false">
      <c r="A728" s="21"/>
      <c r="B728" s="29"/>
      <c r="C728" s="28" t="s">
        <v>200</v>
      </c>
      <c r="D728" s="28"/>
      <c r="E728" s="27"/>
      <c r="F728" s="27" t="n">
        <v>3</v>
      </c>
      <c r="G728" s="32" t="n">
        <v>3</v>
      </c>
    </row>
    <row r="729" customFormat="false" ht="15" hidden="false" customHeight="false" outlineLevel="0" collapsed="false">
      <c r="A729" s="21"/>
      <c r="B729" s="29"/>
      <c r="C729" s="29"/>
      <c r="D729" s="29" t="s">
        <v>25</v>
      </c>
      <c r="E729" s="40"/>
      <c r="F729" s="40" t="n">
        <v>1</v>
      </c>
      <c r="G729" s="35" t="n">
        <v>1</v>
      </c>
    </row>
    <row r="730" customFormat="false" ht="15" hidden="false" customHeight="false" outlineLevel="0" collapsed="false">
      <c r="A730" s="21"/>
      <c r="B730" s="29"/>
      <c r="C730" s="29"/>
      <c r="D730" s="29" t="s">
        <v>27</v>
      </c>
      <c r="E730" s="40"/>
      <c r="F730" s="40" t="n">
        <v>1</v>
      </c>
      <c r="G730" s="35" t="n">
        <v>1</v>
      </c>
    </row>
    <row r="731" customFormat="false" ht="15" hidden="false" customHeight="false" outlineLevel="0" collapsed="false">
      <c r="A731" s="21"/>
      <c r="B731" s="29"/>
      <c r="C731" s="36"/>
      <c r="D731" s="36" t="s">
        <v>30</v>
      </c>
      <c r="E731" s="41"/>
      <c r="F731" s="41" t="n">
        <v>1</v>
      </c>
      <c r="G731" s="39" t="n">
        <v>1</v>
      </c>
    </row>
    <row r="732" customFormat="false" ht="15" hidden="false" customHeight="false" outlineLevel="0" collapsed="false">
      <c r="A732" s="21"/>
      <c r="B732" s="29"/>
      <c r="C732" s="28" t="s">
        <v>214</v>
      </c>
      <c r="D732" s="28"/>
      <c r="E732" s="30"/>
      <c r="F732" s="31" t="n">
        <v>4</v>
      </c>
      <c r="G732" s="32" t="n">
        <v>4</v>
      </c>
    </row>
    <row r="733" customFormat="false" ht="15" hidden="false" customHeight="false" outlineLevel="0" collapsed="false">
      <c r="A733" s="21"/>
      <c r="B733" s="29"/>
      <c r="C733" s="29"/>
      <c r="D733" s="29" t="s">
        <v>25</v>
      </c>
      <c r="E733" s="33"/>
      <c r="F733" s="34" t="n">
        <v>1</v>
      </c>
      <c r="G733" s="35" t="n">
        <v>1</v>
      </c>
    </row>
    <row r="734" customFormat="false" ht="15" hidden="false" customHeight="false" outlineLevel="0" collapsed="false">
      <c r="A734" s="21"/>
      <c r="B734" s="29"/>
      <c r="C734" s="29"/>
      <c r="D734" s="29" t="s">
        <v>34</v>
      </c>
      <c r="E734" s="33"/>
      <c r="F734" s="34" t="n">
        <v>1</v>
      </c>
      <c r="G734" s="35" t="n">
        <v>1</v>
      </c>
    </row>
    <row r="735" customFormat="false" ht="15" hidden="false" customHeight="false" outlineLevel="0" collapsed="false">
      <c r="A735" s="21"/>
      <c r="B735" s="29"/>
      <c r="C735" s="29"/>
      <c r="D735" s="29" t="s">
        <v>27</v>
      </c>
      <c r="E735" s="33"/>
      <c r="F735" s="34" t="n">
        <v>1</v>
      </c>
      <c r="G735" s="35" t="n">
        <v>1</v>
      </c>
    </row>
    <row r="736" customFormat="false" ht="15" hidden="false" customHeight="false" outlineLevel="0" collapsed="false">
      <c r="A736" s="26"/>
      <c r="B736" s="36"/>
      <c r="C736" s="36"/>
      <c r="D736" s="36" t="s">
        <v>30</v>
      </c>
      <c r="E736" s="37"/>
      <c r="F736" s="38" t="n">
        <v>1</v>
      </c>
      <c r="G736" s="39" t="n">
        <v>1</v>
      </c>
    </row>
    <row r="737" customFormat="false" ht="15" hidden="false" customHeight="false" outlineLevel="0" collapsed="false">
      <c r="A737" s="15" t="s">
        <v>215</v>
      </c>
      <c r="B737" s="16"/>
      <c r="C737" s="16"/>
      <c r="D737" s="17"/>
      <c r="E737" s="27"/>
      <c r="F737" s="27" t="n">
        <v>60</v>
      </c>
      <c r="G737" s="20" t="n">
        <v>60</v>
      </c>
    </row>
    <row r="738" customFormat="false" ht="15" hidden="false" customHeight="false" outlineLevel="0" collapsed="false">
      <c r="A738" s="21"/>
      <c r="B738" s="22" t="s">
        <v>9</v>
      </c>
      <c r="C738" s="23"/>
      <c r="D738" s="24"/>
      <c r="E738" s="18"/>
      <c r="F738" s="19" t="n">
        <v>10</v>
      </c>
      <c r="G738" s="20" t="n">
        <v>10</v>
      </c>
    </row>
    <row r="739" customFormat="false" ht="15" hidden="false" customHeight="false" outlineLevel="0" collapsed="false">
      <c r="A739" s="21"/>
      <c r="B739" s="28" t="s">
        <v>157</v>
      </c>
      <c r="C739" s="16"/>
      <c r="D739" s="17"/>
      <c r="E739" s="27"/>
      <c r="F739" s="27" t="n">
        <v>8</v>
      </c>
      <c r="G739" s="20" t="n">
        <v>8</v>
      </c>
    </row>
    <row r="740" customFormat="false" ht="15" hidden="false" customHeight="false" outlineLevel="0" collapsed="false">
      <c r="A740" s="21"/>
      <c r="B740" s="29"/>
      <c r="C740" s="28" t="s">
        <v>216</v>
      </c>
      <c r="D740" s="28"/>
      <c r="E740" s="30"/>
      <c r="F740" s="31" t="n">
        <v>4</v>
      </c>
      <c r="G740" s="32" t="n">
        <v>4</v>
      </c>
    </row>
    <row r="741" customFormat="false" ht="15" hidden="false" customHeight="false" outlineLevel="0" collapsed="false">
      <c r="A741" s="21"/>
      <c r="B741" s="29"/>
      <c r="C741" s="29"/>
      <c r="D741" s="29" t="s">
        <v>25</v>
      </c>
      <c r="E741" s="33"/>
      <c r="F741" s="34" t="n">
        <v>1</v>
      </c>
      <c r="G741" s="35" t="n">
        <v>1</v>
      </c>
    </row>
    <row r="742" customFormat="false" ht="15" hidden="false" customHeight="false" outlineLevel="0" collapsed="false">
      <c r="A742" s="21"/>
      <c r="B742" s="29"/>
      <c r="C742" s="29"/>
      <c r="D742" s="29" t="s">
        <v>34</v>
      </c>
      <c r="E742" s="33"/>
      <c r="F742" s="34" t="n">
        <v>1</v>
      </c>
      <c r="G742" s="35" t="n">
        <v>1</v>
      </c>
    </row>
    <row r="743" customFormat="false" ht="15" hidden="false" customHeight="false" outlineLevel="0" collapsed="false">
      <c r="A743" s="21"/>
      <c r="B743" s="29"/>
      <c r="C743" s="29"/>
      <c r="D743" s="29" t="s">
        <v>27</v>
      </c>
      <c r="E743" s="33"/>
      <c r="F743" s="34" t="n">
        <v>1</v>
      </c>
      <c r="G743" s="35" t="n">
        <v>1</v>
      </c>
    </row>
    <row r="744" customFormat="false" ht="15" hidden="false" customHeight="false" outlineLevel="0" collapsed="false">
      <c r="A744" s="21"/>
      <c r="B744" s="29"/>
      <c r="C744" s="36"/>
      <c r="D744" s="36" t="s">
        <v>30</v>
      </c>
      <c r="E744" s="37"/>
      <c r="F744" s="38" t="n">
        <v>1</v>
      </c>
      <c r="G744" s="39" t="n">
        <v>1</v>
      </c>
    </row>
    <row r="745" customFormat="false" ht="15" hidden="false" customHeight="false" outlineLevel="0" collapsed="false">
      <c r="A745" s="21"/>
      <c r="B745" s="29"/>
      <c r="C745" s="28" t="s">
        <v>217</v>
      </c>
      <c r="D745" s="28"/>
      <c r="E745" s="27"/>
      <c r="F745" s="27" t="n">
        <v>4</v>
      </c>
      <c r="G745" s="32" t="n">
        <v>4</v>
      </c>
    </row>
    <row r="746" customFormat="false" ht="15" hidden="false" customHeight="false" outlineLevel="0" collapsed="false">
      <c r="A746" s="21"/>
      <c r="B746" s="29"/>
      <c r="C746" s="29"/>
      <c r="D746" s="29" t="s">
        <v>25</v>
      </c>
      <c r="E746" s="40"/>
      <c r="F746" s="40" t="n">
        <v>1</v>
      </c>
      <c r="G746" s="35" t="n">
        <v>1</v>
      </c>
    </row>
    <row r="747" customFormat="false" ht="15" hidden="false" customHeight="false" outlineLevel="0" collapsed="false">
      <c r="A747" s="21"/>
      <c r="B747" s="29"/>
      <c r="C747" s="29"/>
      <c r="D747" s="29" t="s">
        <v>34</v>
      </c>
      <c r="E747" s="40"/>
      <c r="F747" s="40" t="n">
        <v>1</v>
      </c>
      <c r="G747" s="35" t="n">
        <v>1</v>
      </c>
    </row>
    <row r="748" customFormat="false" ht="15" hidden="false" customHeight="false" outlineLevel="0" collapsed="false">
      <c r="A748" s="21"/>
      <c r="B748" s="29"/>
      <c r="C748" s="29"/>
      <c r="D748" s="29" t="s">
        <v>27</v>
      </c>
      <c r="E748" s="40"/>
      <c r="F748" s="40" t="n">
        <v>1</v>
      </c>
      <c r="G748" s="35" t="n">
        <v>1</v>
      </c>
    </row>
    <row r="749" customFormat="false" ht="15" hidden="false" customHeight="false" outlineLevel="0" collapsed="false">
      <c r="A749" s="21"/>
      <c r="B749" s="36"/>
      <c r="C749" s="36"/>
      <c r="D749" s="36" t="s">
        <v>30</v>
      </c>
      <c r="E749" s="41"/>
      <c r="F749" s="41" t="n">
        <v>1</v>
      </c>
      <c r="G749" s="39" t="n">
        <v>1</v>
      </c>
    </row>
    <row r="750" customFormat="false" ht="15" hidden="false" customHeight="false" outlineLevel="0" collapsed="false">
      <c r="A750" s="21"/>
      <c r="B750" s="28" t="s">
        <v>201</v>
      </c>
      <c r="C750" s="16"/>
      <c r="D750" s="17"/>
      <c r="E750" s="18"/>
      <c r="F750" s="19" t="n">
        <v>8</v>
      </c>
      <c r="G750" s="20" t="n">
        <v>8</v>
      </c>
    </row>
    <row r="751" customFormat="false" ht="15" hidden="false" customHeight="false" outlineLevel="0" collapsed="false">
      <c r="A751" s="21"/>
      <c r="B751" s="29"/>
      <c r="C751" s="28" t="s">
        <v>218</v>
      </c>
      <c r="D751" s="28"/>
      <c r="E751" s="27"/>
      <c r="F751" s="27" t="n">
        <v>4</v>
      </c>
      <c r="G751" s="32" t="n">
        <v>4</v>
      </c>
    </row>
    <row r="752" customFormat="false" ht="15" hidden="false" customHeight="false" outlineLevel="0" collapsed="false">
      <c r="A752" s="21"/>
      <c r="B752" s="29"/>
      <c r="C752" s="29"/>
      <c r="D752" s="29" t="s">
        <v>25</v>
      </c>
      <c r="E752" s="40"/>
      <c r="F752" s="40" t="n">
        <v>1</v>
      </c>
      <c r="G752" s="35" t="n">
        <v>1</v>
      </c>
    </row>
    <row r="753" customFormat="false" ht="15" hidden="false" customHeight="false" outlineLevel="0" collapsed="false">
      <c r="A753" s="21"/>
      <c r="B753" s="29"/>
      <c r="C753" s="29"/>
      <c r="D753" s="29" t="s">
        <v>34</v>
      </c>
      <c r="E753" s="40"/>
      <c r="F753" s="40" t="n">
        <v>1</v>
      </c>
      <c r="G753" s="35" t="n">
        <v>1</v>
      </c>
    </row>
    <row r="754" customFormat="false" ht="15" hidden="false" customHeight="false" outlineLevel="0" collapsed="false">
      <c r="A754" s="21"/>
      <c r="B754" s="29"/>
      <c r="C754" s="29"/>
      <c r="D754" s="29" t="s">
        <v>27</v>
      </c>
      <c r="E754" s="40"/>
      <c r="F754" s="40" t="n">
        <v>1</v>
      </c>
      <c r="G754" s="35" t="n">
        <v>1</v>
      </c>
    </row>
    <row r="755" customFormat="false" ht="15" hidden="false" customHeight="false" outlineLevel="0" collapsed="false">
      <c r="A755" s="21"/>
      <c r="B755" s="29"/>
      <c r="C755" s="36"/>
      <c r="D755" s="36" t="s">
        <v>30</v>
      </c>
      <c r="E755" s="41"/>
      <c r="F755" s="41" t="n">
        <v>1</v>
      </c>
      <c r="G755" s="39" t="n">
        <v>1</v>
      </c>
    </row>
    <row r="756" customFormat="false" ht="15" hidden="false" customHeight="false" outlineLevel="0" collapsed="false">
      <c r="A756" s="21"/>
      <c r="B756" s="29"/>
      <c r="C756" s="28" t="s">
        <v>219</v>
      </c>
      <c r="D756" s="28"/>
      <c r="E756" s="30"/>
      <c r="F756" s="31" t="n">
        <v>4</v>
      </c>
      <c r="G756" s="32" t="n">
        <v>4</v>
      </c>
    </row>
    <row r="757" customFormat="false" ht="15" hidden="false" customHeight="false" outlineLevel="0" collapsed="false">
      <c r="A757" s="21"/>
      <c r="B757" s="29"/>
      <c r="C757" s="29"/>
      <c r="D757" s="29" t="s">
        <v>25</v>
      </c>
      <c r="E757" s="33"/>
      <c r="F757" s="34" t="n">
        <v>1</v>
      </c>
      <c r="G757" s="35" t="n">
        <v>1</v>
      </c>
    </row>
    <row r="758" customFormat="false" ht="15" hidden="false" customHeight="false" outlineLevel="0" collapsed="false">
      <c r="A758" s="21"/>
      <c r="B758" s="29"/>
      <c r="C758" s="29"/>
      <c r="D758" s="29" t="s">
        <v>34</v>
      </c>
      <c r="E758" s="33"/>
      <c r="F758" s="34" t="n">
        <v>1</v>
      </c>
      <c r="G758" s="35" t="n">
        <v>1</v>
      </c>
    </row>
    <row r="759" customFormat="false" ht="15" hidden="false" customHeight="false" outlineLevel="0" collapsed="false">
      <c r="A759" s="21"/>
      <c r="B759" s="29"/>
      <c r="C759" s="29"/>
      <c r="D759" s="29" t="s">
        <v>27</v>
      </c>
      <c r="E759" s="33"/>
      <c r="F759" s="34" t="n">
        <v>1</v>
      </c>
      <c r="G759" s="35" t="n">
        <v>1</v>
      </c>
    </row>
    <row r="760" customFormat="false" ht="15" hidden="false" customHeight="false" outlineLevel="0" collapsed="false">
      <c r="A760" s="21"/>
      <c r="B760" s="36"/>
      <c r="C760" s="36"/>
      <c r="D760" s="36" t="s">
        <v>30</v>
      </c>
      <c r="E760" s="37"/>
      <c r="F760" s="38" t="n">
        <v>1</v>
      </c>
      <c r="G760" s="39" t="n">
        <v>1</v>
      </c>
    </row>
    <row r="761" customFormat="false" ht="15" hidden="false" customHeight="false" outlineLevel="0" collapsed="false">
      <c r="A761" s="21"/>
      <c r="B761" s="28" t="s">
        <v>220</v>
      </c>
      <c r="C761" s="16"/>
      <c r="D761" s="17"/>
      <c r="E761" s="27"/>
      <c r="F761" s="27" t="n">
        <v>4</v>
      </c>
      <c r="G761" s="20" t="n">
        <v>4</v>
      </c>
    </row>
    <row r="762" customFormat="false" ht="15" hidden="false" customHeight="false" outlineLevel="0" collapsed="false">
      <c r="A762" s="21"/>
      <c r="B762" s="29"/>
      <c r="C762" s="28" t="s">
        <v>221</v>
      </c>
      <c r="D762" s="28"/>
      <c r="E762" s="30"/>
      <c r="F762" s="31" t="n">
        <v>4</v>
      </c>
      <c r="G762" s="32" t="n">
        <v>4</v>
      </c>
    </row>
    <row r="763" customFormat="false" ht="15" hidden="false" customHeight="false" outlineLevel="0" collapsed="false">
      <c r="A763" s="21"/>
      <c r="B763" s="29"/>
      <c r="C763" s="29"/>
      <c r="D763" s="29" t="s">
        <v>25</v>
      </c>
      <c r="E763" s="33"/>
      <c r="F763" s="34" t="n">
        <v>1</v>
      </c>
      <c r="G763" s="35" t="n">
        <v>1</v>
      </c>
    </row>
    <row r="764" customFormat="false" ht="15" hidden="false" customHeight="false" outlineLevel="0" collapsed="false">
      <c r="A764" s="21"/>
      <c r="B764" s="29"/>
      <c r="C764" s="29"/>
      <c r="D764" s="29" t="s">
        <v>34</v>
      </c>
      <c r="E764" s="33"/>
      <c r="F764" s="34" t="n">
        <v>1</v>
      </c>
      <c r="G764" s="35" t="n">
        <v>1</v>
      </c>
    </row>
    <row r="765" customFormat="false" ht="15" hidden="false" customHeight="false" outlineLevel="0" collapsed="false">
      <c r="A765" s="21"/>
      <c r="B765" s="29"/>
      <c r="C765" s="29"/>
      <c r="D765" s="29" t="s">
        <v>27</v>
      </c>
      <c r="E765" s="33"/>
      <c r="F765" s="34" t="n">
        <v>1</v>
      </c>
      <c r="G765" s="35" t="n">
        <v>1</v>
      </c>
    </row>
    <row r="766" customFormat="false" ht="15" hidden="false" customHeight="false" outlineLevel="0" collapsed="false">
      <c r="A766" s="21"/>
      <c r="B766" s="36"/>
      <c r="C766" s="36"/>
      <c r="D766" s="36" t="s">
        <v>30</v>
      </c>
      <c r="E766" s="37"/>
      <c r="F766" s="38" t="n">
        <v>1</v>
      </c>
      <c r="G766" s="39" t="n">
        <v>1</v>
      </c>
    </row>
    <row r="767" customFormat="false" ht="15" hidden="false" customHeight="false" outlineLevel="0" collapsed="false">
      <c r="A767" s="21"/>
      <c r="B767" s="28" t="s">
        <v>204</v>
      </c>
      <c r="C767" s="16"/>
      <c r="D767" s="17"/>
      <c r="E767" s="27"/>
      <c r="F767" s="27" t="n">
        <v>4</v>
      </c>
      <c r="G767" s="20" t="n">
        <v>4</v>
      </c>
    </row>
    <row r="768" customFormat="false" ht="15" hidden="false" customHeight="false" outlineLevel="0" collapsed="false">
      <c r="A768" s="21"/>
      <c r="B768" s="29"/>
      <c r="C768" s="28" t="s">
        <v>222</v>
      </c>
      <c r="D768" s="28"/>
      <c r="E768" s="30"/>
      <c r="F768" s="31" t="n">
        <v>4</v>
      </c>
      <c r="G768" s="32" t="n">
        <v>4</v>
      </c>
    </row>
    <row r="769" customFormat="false" ht="15" hidden="false" customHeight="false" outlineLevel="0" collapsed="false">
      <c r="A769" s="21"/>
      <c r="B769" s="29"/>
      <c r="C769" s="29"/>
      <c r="D769" s="29" t="s">
        <v>25</v>
      </c>
      <c r="E769" s="33"/>
      <c r="F769" s="34" t="n">
        <v>1</v>
      </c>
      <c r="G769" s="35" t="n">
        <v>1</v>
      </c>
    </row>
    <row r="770" customFormat="false" ht="15" hidden="false" customHeight="false" outlineLevel="0" collapsed="false">
      <c r="A770" s="21"/>
      <c r="B770" s="29"/>
      <c r="C770" s="29"/>
      <c r="D770" s="29" t="s">
        <v>34</v>
      </c>
      <c r="E770" s="33"/>
      <c r="F770" s="34" t="n">
        <v>1</v>
      </c>
      <c r="G770" s="35" t="n">
        <v>1</v>
      </c>
    </row>
    <row r="771" customFormat="false" ht="15" hidden="false" customHeight="false" outlineLevel="0" collapsed="false">
      <c r="A771" s="21"/>
      <c r="B771" s="29"/>
      <c r="C771" s="29"/>
      <c r="D771" s="29" t="s">
        <v>27</v>
      </c>
      <c r="E771" s="33"/>
      <c r="F771" s="34" t="n">
        <v>1</v>
      </c>
      <c r="G771" s="35" t="n">
        <v>1</v>
      </c>
    </row>
    <row r="772" customFormat="false" ht="15" hidden="false" customHeight="false" outlineLevel="0" collapsed="false">
      <c r="A772" s="21"/>
      <c r="B772" s="36"/>
      <c r="C772" s="36"/>
      <c r="D772" s="36" t="s">
        <v>30</v>
      </c>
      <c r="E772" s="37"/>
      <c r="F772" s="38" t="n">
        <v>1</v>
      </c>
      <c r="G772" s="39" t="n">
        <v>1</v>
      </c>
    </row>
    <row r="773" customFormat="false" ht="15" hidden="false" customHeight="false" outlineLevel="0" collapsed="false">
      <c r="A773" s="21"/>
      <c r="B773" s="28" t="s">
        <v>206</v>
      </c>
      <c r="C773" s="16"/>
      <c r="D773" s="17"/>
      <c r="E773" s="27"/>
      <c r="F773" s="27" t="n">
        <v>3</v>
      </c>
      <c r="G773" s="20" t="n">
        <v>3</v>
      </c>
    </row>
    <row r="774" customFormat="false" ht="15" hidden="false" customHeight="false" outlineLevel="0" collapsed="false">
      <c r="A774" s="21"/>
      <c r="B774" s="29"/>
      <c r="C774" s="28" t="s">
        <v>223</v>
      </c>
      <c r="D774" s="28"/>
      <c r="E774" s="30"/>
      <c r="F774" s="31" t="n">
        <v>3</v>
      </c>
      <c r="G774" s="32" t="n">
        <v>3</v>
      </c>
    </row>
    <row r="775" customFormat="false" ht="15" hidden="false" customHeight="false" outlineLevel="0" collapsed="false">
      <c r="A775" s="21"/>
      <c r="B775" s="29"/>
      <c r="C775" s="29"/>
      <c r="D775" s="29" t="s">
        <v>25</v>
      </c>
      <c r="E775" s="33"/>
      <c r="F775" s="34" t="n">
        <v>1</v>
      </c>
      <c r="G775" s="35" t="n">
        <v>1</v>
      </c>
    </row>
    <row r="776" customFormat="false" ht="15" hidden="false" customHeight="false" outlineLevel="0" collapsed="false">
      <c r="A776" s="21"/>
      <c r="B776" s="29"/>
      <c r="C776" s="29"/>
      <c r="D776" s="29" t="s">
        <v>27</v>
      </c>
      <c r="E776" s="33"/>
      <c r="F776" s="34" t="n">
        <v>1</v>
      </c>
      <c r="G776" s="35" t="n">
        <v>1</v>
      </c>
    </row>
    <row r="777" customFormat="false" ht="15" hidden="false" customHeight="false" outlineLevel="0" collapsed="false">
      <c r="A777" s="21"/>
      <c r="B777" s="36"/>
      <c r="C777" s="36"/>
      <c r="D777" s="36" t="s">
        <v>30</v>
      </c>
      <c r="E777" s="37"/>
      <c r="F777" s="38" t="n">
        <v>1</v>
      </c>
      <c r="G777" s="39" t="n">
        <v>1</v>
      </c>
    </row>
    <row r="778" customFormat="false" ht="15" hidden="false" customHeight="false" outlineLevel="0" collapsed="false">
      <c r="A778" s="21"/>
      <c r="B778" s="28" t="s">
        <v>210</v>
      </c>
      <c r="C778" s="16"/>
      <c r="D778" s="17"/>
      <c r="E778" s="27"/>
      <c r="F778" s="27" t="n">
        <v>23</v>
      </c>
      <c r="G778" s="20" t="n">
        <v>23</v>
      </c>
    </row>
    <row r="779" customFormat="false" ht="15" hidden="false" customHeight="false" outlineLevel="0" collapsed="false">
      <c r="A779" s="21"/>
      <c r="B779" s="29"/>
      <c r="C779" s="28" t="s">
        <v>224</v>
      </c>
      <c r="D779" s="28"/>
      <c r="E779" s="30"/>
      <c r="F779" s="31" t="n">
        <v>4</v>
      </c>
      <c r="G779" s="32" t="n">
        <v>4</v>
      </c>
    </row>
    <row r="780" customFormat="false" ht="15" hidden="false" customHeight="false" outlineLevel="0" collapsed="false">
      <c r="A780" s="21"/>
      <c r="B780" s="29"/>
      <c r="C780" s="29"/>
      <c r="D780" s="29" t="s">
        <v>25</v>
      </c>
      <c r="E780" s="33"/>
      <c r="F780" s="34" t="n">
        <v>1</v>
      </c>
      <c r="G780" s="35" t="n">
        <v>1</v>
      </c>
    </row>
    <row r="781" customFormat="false" ht="15" hidden="false" customHeight="false" outlineLevel="0" collapsed="false">
      <c r="A781" s="21"/>
      <c r="B781" s="29"/>
      <c r="C781" s="29"/>
      <c r="D781" s="29" t="s">
        <v>34</v>
      </c>
      <c r="E781" s="33"/>
      <c r="F781" s="34" t="n">
        <v>1</v>
      </c>
      <c r="G781" s="35" t="n">
        <v>1</v>
      </c>
    </row>
    <row r="782" customFormat="false" ht="15" hidden="false" customHeight="false" outlineLevel="0" collapsed="false">
      <c r="A782" s="21"/>
      <c r="B782" s="29"/>
      <c r="C782" s="29"/>
      <c r="D782" s="29" t="s">
        <v>27</v>
      </c>
      <c r="E782" s="33"/>
      <c r="F782" s="34" t="n">
        <v>1</v>
      </c>
      <c r="G782" s="35" t="n">
        <v>1</v>
      </c>
    </row>
    <row r="783" customFormat="false" ht="15" hidden="false" customHeight="false" outlineLevel="0" collapsed="false">
      <c r="A783" s="21"/>
      <c r="B783" s="29"/>
      <c r="C783" s="36"/>
      <c r="D783" s="36" t="s">
        <v>30</v>
      </c>
      <c r="E783" s="37"/>
      <c r="F783" s="38" t="n">
        <v>1</v>
      </c>
      <c r="G783" s="39" t="n">
        <v>1</v>
      </c>
    </row>
    <row r="784" customFormat="false" ht="15" hidden="false" customHeight="false" outlineLevel="0" collapsed="false">
      <c r="A784" s="21"/>
      <c r="B784" s="29"/>
      <c r="C784" s="28" t="s">
        <v>225</v>
      </c>
      <c r="D784" s="28"/>
      <c r="E784" s="27"/>
      <c r="F784" s="27" t="n">
        <v>4</v>
      </c>
      <c r="G784" s="32" t="n">
        <v>4</v>
      </c>
    </row>
    <row r="785" customFormat="false" ht="15" hidden="false" customHeight="false" outlineLevel="0" collapsed="false">
      <c r="A785" s="21"/>
      <c r="B785" s="29"/>
      <c r="C785" s="29"/>
      <c r="D785" s="29" t="s">
        <v>25</v>
      </c>
      <c r="E785" s="40"/>
      <c r="F785" s="40" t="n">
        <v>1</v>
      </c>
      <c r="G785" s="35" t="n">
        <v>1</v>
      </c>
    </row>
    <row r="786" customFormat="false" ht="15" hidden="false" customHeight="false" outlineLevel="0" collapsed="false">
      <c r="A786" s="21"/>
      <c r="B786" s="29"/>
      <c r="C786" s="29"/>
      <c r="D786" s="29" t="s">
        <v>34</v>
      </c>
      <c r="E786" s="40"/>
      <c r="F786" s="40" t="n">
        <v>1</v>
      </c>
      <c r="G786" s="35" t="n">
        <v>1</v>
      </c>
    </row>
    <row r="787" customFormat="false" ht="15" hidden="false" customHeight="false" outlineLevel="0" collapsed="false">
      <c r="A787" s="21"/>
      <c r="B787" s="29"/>
      <c r="C787" s="29"/>
      <c r="D787" s="29" t="s">
        <v>27</v>
      </c>
      <c r="E787" s="40"/>
      <c r="F787" s="40" t="n">
        <v>1</v>
      </c>
      <c r="G787" s="35" t="n">
        <v>1</v>
      </c>
    </row>
    <row r="788" customFormat="false" ht="15" hidden="false" customHeight="false" outlineLevel="0" collapsed="false">
      <c r="A788" s="21"/>
      <c r="B788" s="29"/>
      <c r="C788" s="36"/>
      <c r="D788" s="36" t="s">
        <v>30</v>
      </c>
      <c r="E788" s="41"/>
      <c r="F788" s="41" t="n">
        <v>1</v>
      </c>
      <c r="G788" s="39" t="n">
        <v>1</v>
      </c>
    </row>
    <row r="789" customFormat="false" ht="15" hidden="false" customHeight="false" outlineLevel="0" collapsed="false">
      <c r="A789" s="21"/>
      <c r="B789" s="29"/>
      <c r="C789" s="28" t="s">
        <v>226</v>
      </c>
      <c r="D789" s="28"/>
      <c r="E789" s="30"/>
      <c r="F789" s="31" t="n">
        <v>4</v>
      </c>
      <c r="G789" s="32" t="n">
        <v>4</v>
      </c>
    </row>
    <row r="790" customFormat="false" ht="15" hidden="false" customHeight="false" outlineLevel="0" collapsed="false">
      <c r="A790" s="21"/>
      <c r="B790" s="29"/>
      <c r="C790" s="29"/>
      <c r="D790" s="29" t="s">
        <v>25</v>
      </c>
      <c r="E790" s="33"/>
      <c r="F790" s="34" t="n">
        <v>1</v>
      </c>
      <c r="G790" s="35" t="n">
        <v>1</v>
      </c>
    </row>
    <row r="791" customFormat="false" ht="15" hidden="false" customHeight="false" outlineLevel="0" collapsed="false">
      <c r="A791" s="21"/>
      <c r="B791" s="29"/>
      <c r="C791" s="29"/>
      <c r="D791" s="29" t="s">
        <v>34</v>
      </c>
      <c r="E791" s="33"/>
      <c r="F791" s="34" t="n">
        <v>1</v>
      </c>
      <c r="G791" s="35" t="n">
        <v>1</v>
      </c>
    </row>
    <row r="792" customFormat="false" ht="15" hidden="false" customHeight="false" outlineLevel="0" collapsed="false">
      <c r="A792" s="21"/>
      <c r="B792" s="29"/>
      <c r="C792" s="29"/>
      <c r="D792" s="29" t="s">
        <v>27</v>
      </c>
      <c r="E792" s="33"/>
      <c r="F792" s="34" t="n">
        <v>1</v>
      </c>
      <c r="G792" s="35" t="n">
        <v>1</v>
      </c>
    </row>
    <row r="793" customFormat="false" ht="15" hidden="false" customHeight="false" outlineLevel="0" collapsed="false">
      <c r="A793" s="21"/>
      <c r="B793" s="29"/>
      <c r="C793" s="36"/>
      <c r="D793" s="36" t="s">
        <v>30</v>
      </c>
      <c r="E793" s="37"/>
      <c r="F793" s="38" t="n">
        <v>1</v>
      </c>
      <c r="G793" s="39" t="n">
        <v>1</v>
      </c>
    </row>
    <row r="794" customFormat="false" ht="15" hidden="false" customHeight="false" outlineLevel="0" collapsed="false">
      <c r="A794" s="21"/>
      <c r="B794" s="29"/>
      <c r="C794" s="28" t="s">
        <v>227</v>
      </c>
      <c r="D794" s="28"/>
      <c r="E794" s="27"/>
      <c r="F794" s="27" t="n">
        <v>4</v>
      </c>
      <c r="G794" s="32" t="n">
        <v>4</v>
      </c>
    </row>
    <row r="795" customFormat="false" ht="15" hidden="false" customHeight="false" outlineLevel="0" collapsed="false">
      <c r="A795" s="21"/>
      <c r="B795" s="29"/>
      <c r="C795" s="29"/>
      <c r="D795" s="29" t="s">
        <v>25</v>
      </c>
      <c r="E795" s="40"/>
      <c r="F795" s="40" t="n">
        <v>1</v>
      </c>
      <c r="G795" s="35" t="n">
        <v>1</v>
      </c>
    </row>
    <row r="796" customFormat="false" ht="15" hidden="false" customHeight="false" outlineLevel="0" collapsed="false">
      <c r="A796" s="21"/>
      <c r="B796" s="29"/>
      <c r="C796" s="29"/>
      <c r="D796" s="29" t="s">
        <v>34</v>
      </c>
      <c r="E796" s="40"/>
      <c r="F796" s="40" t="n">
        <v>1</v>
      </c>
      <c r="G796" s="35" t="n">
        <v>1</v>
      </c>
    </row>
    <row r="797" customFormat="false" ht="15" hidden="false" customHeight="false" outlineLevel="0" collapsed="false">
      <c r="A797" s="21"/>
      <c r="B797" s="29"/>
      <c r="C797" s="29"/>
      <c r="D797" s="29" t="s">
        <v>27</v>
      </c>
      <c r="E797" s="40"/>
      <c r="F797" s="40" t="n">
        <v>1</v>
      </c>
      <c r="G797" s="35" t="n">
        <v>1</v>
      </c>
    </row>
    <row r="798" customFormat="false" ht="15" hidden="false" customHeight="false" outlineLevel="0" collapsed="false">
      <c r="A798" s="21"/>
      <c r="B798" s="29"/>
      <c r="C798" s="36"/>
      <c r="D798" s="36" t="s">
        <v>30</v>
      </c>
      <c r="E798" s="41"/>
      <c r="F798" s="41" t="n">
        <v>1</v>
      </c>
      <c r="G798" s="39" t="n">
        <v>1</v>
      </c>
    </row>
    <row r="799" customFormat="false" ht="15" hidden="false" customHeight="false" outlineLevel="0" collapsed="false">
      <c r="A799" s="21"/>
      <c r="B799" s="29"/>
      <c r="C799" s="28" t="s">
        <v>228</v>
      </c>
      <c r="D799" s="28"/>
      <c r="E799" s="30"/>
      <c r="F799" s="31" t="n">
        <v>4</v>
      </c>
      <c r="G799" s="32" t="n">
        <v>4</v>
      </c>
    </row>
    <row r="800" customFormat="false" ht="15" hidden="false" customHeight="false" outlineLevel="0" collapsed="false">
      <c r="A800" s="21"/>
      <c r="B800" s="29"/>
      <c r="C800" s="29"/>
      <c r="D800" s="29" t="s">
        <v>25</v>
      </c>
      <c r="E800" s="33"/>
      <c r="F800" s="34" t="n">
        <v>1</v>
      </c>
      <c r="G800" s="35" t="n">
        <v>1</v>
      </c>
    </row>
    <row r="801" customFormat="false" ht="15" hidden="false" customHeight="false" outlineLevel="0" collapsed="false">
      <c r="A801" s="21"/>
      <c r="B801" s="29"/>
      <c r="C801" s="29"/>
      <c r="D801" s="29" t="s">
        <v>34</v>
      </c>
      <c r="E801" s="33"/>
      <c r="F801" s="34" t="n">
        <v>1</v>
      </c>
      <c r="G801" s="35" t="n">
        <v>1</v>
      </c>
    </row>
    <row r="802" customFormat="false" ht="15" hidden="false" customHeight="false" outlineLevel="0" collapsed="false">
      <c r="A802" s="21"/>
      <c r="B802" s="29"/>
      <c r="C802" s="29"/>
      <c r="D802" s="29" t="s">
        <v>27</v>
      </c>
      <c r="E802" s="33"/>
      <c r="F802" s="34" t="n">
        <v>1</v>
      </c>
      <c r="G802" s="35" t="n">
        <v>1</v>
      </c>
    </row>
    <row r="803" customFormat="false" ht="15" hidden="false" customHeight="false" outlineLevel="0" collapsed="false">
      <c r="A803" s="21"/>
      <c r="B803" s="29"/>
      <c r="C803" s="36"/>
      <c r="D803" s="36" t="s">
        <v>30</v>
      </c>
      <c r="E803" s="37"/>
      <c r="F803" s="38" t="n">
        <v>1</v>
      </c>
      <c r="G803" s="39" t="n">
        <v>1</v>
      </c>
    </row>
    <row r="804" customFormat="false" ht="15" hidden="false" customHeight="false" outlineLevel="0" collapsed="false">
      <c r="A804" s="21"/>
      <c r="B804" s="29"/>
      <c r="C804" s="28" t="s">
        <v>229</v>
      </c>
      <c r="D804" s="28"/>
      <c r="E804" s="27"/>
      <c r="F804" s="27" t="n">
        <v>3</v>
      </c>
      <c r="G804" s="32" t="n">
        <v>3</v>
      </c>
    </row>
    <row r="805" customFormat="false" ht="15" hidden="false" customHeight="false" outlineLevel="0" collapsed="false">
      <c r="A805" s="21"/>
      <c r="B805" s="29"/>
      <c r="C805" s="29"/>
      <c r="D805" s="29" t="s">
        <v>25</v>
      </c>
      <c r="E805" s="40"/>
      <c r="F805" s="40" t="n">
        <v>1</v>
      </c>
      <c r="G805" s="35" t="n">
        <v>1</v>
      </c>
    </row>
    <row r="806" customFormat="false" ht="15" hidden="false" customHeight="false" outlineLevel="0" collapsed="false">
      <c r="A806" s="21"/>
      <c r="B806" s="29"/>
      <c r="C806" s="29"/>
      <c r="D806" s="29" t="s">
        <v>27</v>
      </c>
      <c r="E806" s="40"/>
      <c r="F806" s="40" t="n">
        <v>1</v>
      </c>
      <c r="G806" s="35" t="n">
        <v>1</v>
      </c>
    </row>
    <row r="807" customFormat="false" ht="15" hidden="false" customHeight="false" outlineLevel="0" collapsed="false">
      <c r="A807" s="26"/>
      <c r="B807" s="36"/>
      <c r="C807" s="36"/>
      <c r="D807" s="36" t="s">
        <v>30</v>
      </c>
      <c r="E807" s="41"/>
      <c r="F807" s="41" t="n">
        <v>1</v>
      </c>
      <c r="G807" s="39" t="n">
        <v>1</v>
      </c>
    </row>
    <row r="808" customFormat="false" ht="15" hidden="false" customHeight="false" outlineLevel="0" collapsed="false">
      <c r="A808" s="15" t="s">
        <v>230</v>
      </c>
      <c r="B808" s="16"/>
      <c r="C808" s="16"/>
      <c r="D808" s="17"/>
      <c r="E808" s="18"/>
      <c r="F808" s="19" t="n">
        <v>14</v>
      </c>
      <c r="G808" s="20" t="n">
        <v>14</v>
      </c>
    </row>
    <row r="809" customFormat="false" ht="15" hidden="false" customHeight="false" outlineLevel="0" collapsed="false">
      <c r="A809" s="21"/>
      <c r="B809" s="22" t="s">
        <v>9</v>
      </c>
      <c r="C809" s="23"/>
      <c r="D809" s="24"/>
      <c r="E809" s="25"/>
      <c r="F809" s="25" t="n">
        <v>7</v>
      </c>
      <c r="G809" s="20" t="n">
        <v>7</v>
      </c>
    </row>
    <row r="810" customFormat="false" ht="15" hidden="false" customHeight="false" outlineLevel="0" collapsed="false">
      <c r="A810" s="21"/>
      <c r="B810" s="28" t="s">
        <v>210</v>
      </c>
      <c r="C810" s="16"/>
      <c r="D810" s="17"/>
      <c r="E810" s="18"/>
      <c r="F810" s="19" t="n">
        <v>7</v>
      </c>
      <c r="G810" s="20" t="n">
        <v>7</v>
      </c>
    </row>
    <row r="811" customFormat="false" ht="15" hidden="false" customHeight="false" outlineLevel="0" collapsed="false">
      <c r="A811" s="21"/>
      <c r="B811" s="29"/>
      <c r="C811" s="28" t="s">
        <v>231</v>
      </c>
      <c r="D811" s="28"/>
      <c r="E811" s="27"/>
      <c r="F811" s="27" t="n">
        <v>3</v>
      </c>
      <c r="G811" s="32" t="n">
        <v>3</v>
      </c>
    </row>
    <row r="812" customFormat="false" ht="15" hidden="false" customHeight="false" outlineLevel="0" collapsed="false">
      <c r="A812" s="21"/>
      <c r="B812" s="29"/>
      <c r="C812" s="29"/>
      <c r="D812" s="29" t="s">
        <v>25</v>
      </c>
      <c r="E812" s="40"/>
      <c r="F812" s="40" t="n">
        <v>1</v>
      </c>
      <c r="G812" s="35" t="n">
        <v>1</v>
      </c>
    </row>
    <row r="813" customFormat="false" ht="15" hidden="false" customHeight="false" outlineLevel="0" collapsed="false">
      <c r="A813" s="21"/>
      <c r="B813" s="29"/>
      <c r="C813" s="29"/>
      <c r="D813" s="29" t="s">
        <v>27</v>
      </c>
      <c r="E813" s="40"/>
      <c r="F813" s="40" t="n">
        <v>1</v>
      </c>
      <c r="G813" s="35" t="n">
        <v>1</v>
      </c>
    </row>
    <row r="814" customFormat="false" ht="15" hidden="false" customHeight="false" outlineLevel="0" collapsed="false">
      <c r="A814" s="21"/>
      <c r="B814" s="29"/>
      <c r="C814" s="36"/>
      <c r="D814" s="36" t="s">
        <v>30</v>
      </c>
      <c r="E814" s="41"/>
      <c r="F814" s="41" t="n">
        <v>1</v>
      </c>
      <c r="G814" s="39" t="n">
        <v>1</v>
      </c>
    </row>
    <row r="815" customFormat="false" ht="15" hidden="false" customHeight="false" outlineLevel="0" collapsed="false">
      <c r="A815" s="21"/>
      <c r="B815" s="29"/>
      <c r="C815" s="28" t="s">
        <v>232</v>
      </c>
      <c r="D815" s="28"/>
      <c r="E815" s="30"/>
      <c r="F815" s="31" t="n">
        <v>4</v>
      </c>
      <c r="G815" s="32" t="n">
        <v>4</v>
      </c>
    </row>
    <row r="816" customFormat="false" ht="15" hidden="false" customHeight="false" outlineLevel="0" collapsed="false">
      <c r="A816" s="21"/>
      <c r="B816" s="29"/>
      <c r="C816" s="29"/>
      <c r="D816" s="29" t="s">
        <v>25</v>
      </c>
      <c r="E816" s="33"/>
      <c r="F816" s="34" t="n">
        <v>1</v>
      </c>
      <c r="G816" s="35" t="n">
        <v>1</v>
      </c>
    </row>
    <row r="817" customFormat="false" ht="15" hidden="false" customHeight="false" outlineLevel="0" collapsed="false">
      <c r="A817" s="21"/>
      <c r="B817" s="29"/>
      <c r="C817" s="29"/>
      <c r="D817" s="29" t="s">
        <v>34</v>
      </c>
      <c r="E817" s="33"/>
      <c r="F817" s="34" t="n">
        <v>1</v>
      </c>
      <c r="G817" s="35" t="n">
        <v>1</v>
      </c>
    </row>
    <row r="818" customFormat="false" ht="15" hidden="false" customHeight="false" outlineLevel="0" collapsed="false">
      <c r="A818" s="21"/>
      <c r="B818" s="29"/>
      <c r="C818" s="29"/>
      <c r="D818" s="29" t="s">
        <v>27</v>
      </c>
      <c r="E818" s="33"/>
      <c r="F818" s="34" t="n">
        <v>1</v>
      </c>
      <c r="G818" s="35" t="n">
        <v>1</v>
      </c>
    </row>
    <row r="819" customFormat="false" ht="15" hidden="false" customHeight="false" outlineLevel="0" collapsed="false">
      <c r="A819" s="26"/>
      <c r="B819" s="36"/>
      <c r="C819" s="36"/>
      <c r="D819" s="36" t="s">
        <v>30</v>
      </c>
      <c r="E819" s="37"/>
      <c r="F819" s="38" t="n">
        <v>1</v>
      </c>
      <c r="G819" s="39" t="n">
        <v>1</v>
      </c>
    </row>
    <row r="820" customFormat="false" ht="15" hidden="false" customHeight="false" outlineLevel="0" collapsed="false">
      <c r="A820" s="15" t="s">
        <v>233</v>
      </c>
      <c r="B820" s="16"/>
      <c r="C820" s="16"/>
      <c r="D820" s="17"/>
      <c r="E820" s="27"/>
      <c r="F820" s="27" t="n">
        <v>70</v>
      </c>
      <c r="G820" s="20" t="n">
        <v>70</v>
      </c>
    </row>
    <row r="821" customFormat="false" ht="15" hidden="false" customHeight="false" outlineLevel="0" collapsed="false">
      <c r="A821" s="21"/>
      <c r="B821" s="28" t="s">
        <v>210</v>
      </c>
      <c r="C821" s="16"/>
      <c r="D821" s="17"/>
      <c r="E821" s="18"/>
      <c r="F821" s="19" t="n">
        <v>70</v>
      </c>
      <c r="G821" s="20" t="n">
        <v>70</v>
      </c>
    </row>
    <row r="822" customFormat="false" ht="15" hidden="false" customHeight="false" outlineLevel="0" collapsed="false">
      <c r="A822" s="21"/>
      <c r="B822" s="29"/>
      <c r="C822" s="28" t="s">
        <v>234</v>
      </c>
      <c r="D822" s="28"/>
      <c r="E822" s="27"/>
      <c r="F822" s="27" t="n">
        <v>3</v>
      </c>
      <c r="G822" s="32" t="n">
        <v>3</v>
      </c>
    </row>
    <row r="823" customFormat="false" ht="15" hidden="false" customHeight="false" outlineLevel="0" collapsed="false">
      <c r="A823" s="21"/>
      <c r="B823" s="29"/>
      <c r="C823" s="29"/>
      <c r="D823" s="29" t="s">
        <v>25</v>
      </c>
      <c r="E823" s="40"/>
      <c r="F823" s="40" t="n">
        <v>1</v>
      </c>
      <c r="G823" s="35" t="n">
        <v>1</v>
      </c>
    </row>
    <row r="824" customFormat="false" ht="15" hidden="false" customHeight="false" outlineLevel="0" collapsed="false">
      <c r="A824" s="21"/>
      <c r="B824" s="29"/>
      <c r="C824" s="29"/>
      <c r="D824" s="29" t="s">
        <v>27</v>
      </c>
      <c r="E824" s="40"/>
      <c r="F824" s="40" t="n">
        <v>1</v>
      </c>
      <c r="G824" s="35" t="n">
        <v>1</v>
      </c>
    </row>
    <row r="825" customFormat="false" ht="15" hidden="false" customHeight="false" outlineLevel="0" collapsed="false">
      <c r="A825" s="21"/>
      <c r="B825" s="29"/>
      <c r="C825" s="36"/>
      <c r="D825" s="36" t="s">
        <v>30</v>
      </c>
      <c r="E825" s="41"/>
      <c r="F825" s="41" t="n">
        <v>1</v>
      </c>
      <c r="G825" s="39" t="n">
        <v>1</v>
      </c>
    </row>
    <row r="826" customFormat="false" ht="15" hidden="false" customHeight="false" outlineLevel="0" collapsed="false">
      <c r="A826" s="21"/>
      <c r="B826" s="29"/>
      <c r="C826" s="28" t="s">
        <v>235</v>
      </c>
      <c r="D826" s="28"/>
      <c r="E826" s="30"/>
      <c r="F826" s="31" t="n">
        <v>67</v>
      </c>
      <c r="G826" s="32" t="n">
        <v>67</v>
      </c>
    </row>
    <row r="827" customFormat="false" ht="15" hidden="false" customHeight="false" outlineLevel="0" collapsed="false">
      <c r="A827" s="21"/>
      <c r="B827" s="29"/>
      <c r="C827" s="29"/>
      <c r="D827" s="29" t="s">
        <v>25</v>
      </c>
      <c r="E827" s="33"/>
      <c r="F827" s="34" t="n">
        <v>1</v>
      </c>
      <c r="G827" s="35" t="n">
        <v>1</v>
      </c>
    </row>
    <row r="828" customFormat="false" ht="15" hidden="false" customHeight="false" outlineLevel="0" collapsed="false">
      <c r="A828" s="21"/>
      <c r="B828" s="29"/>
      <c r="C828" s="29"/>
      <c r="D828" s="29" t="s">
        <v>34</v>
      </c>
      <c r="E828" s="33"/>
      <c r="F828" s="34" t="n">
        <v>63</v>
      </c>
      <c r="G828" s="35" t="n">
        <v>63</v>
      </c>
    </row>
    <row r="829" customFormat="false" ht="15" hidden="false" customHeight="false" outlineLevel="0" collapsed="false">
      <c r="A829" s="21"/>
      <c r="B829" s="29"/>
      <c r="C829" s="29"/>
      <c r="D829" s="29" t="s">
        <v>50</v>
      </c>
      <c r="E829" s="33"/>
      <c r="F829" s="34" t="n">
        <v>1</v>
      </c>
      <c r="G829" s="35" t="n">
        <v>1</v>
      </c>
    </row>
    <row r="830" customFormat="false" ht="15" hidden="false" customHeight="false" outlineLevel="0" collapsed="false">
      <c r="A830" s="21"/>
      <c r="B830" s="29"/>
      <c r="C830" s="29"/>
      <c r="D830" s="29" t="s">
        <v>27</v>
      </c>
      <c r="E830" s="33"/>
      <c r="F830" s="34" t="n">
        <v>1</v>
      </c>
      <c r="G830" s="35" t="n">
        <v>1</v>
      </c>
    </row>
    <row r="831" customFormat="false" ht="15" hidden="false" customHeight="false" outlineLevel="0" collapsed="false">
      <c r="A831" s="26"/>
      <c r="B831" s="36"/>
      <c r="C831" s="36"/>
      <c r="D831" s="36" t="s">
        <v>30</v>
      </c>
      <c r="E831" s="37"/>
      <c r="F831" s="38" t="n">
        <v>1</v>
      </c>
      <c r="G831" s="39" t="n">
        <v>1</v>
      </c>
    </row>
    <row r="832" customFormat="false" ht="15" hidden="false" customHeight="false" outlineLevel="0" collapsed="false">
      <c r="A832" s="42" t="s">
        <v>236</v>
      </c>
      <c r="B832" s="23"/>
      <c r="C832" s="23"/>
      <c r="D832" s="24"/>
      <c r="E832" s="25"/>
      <c r="F832" s="25" t="n">
        <v>38</v>
      </c>
      <c r="G832" s="20" t="n">
        <v>38</v>
      </c>
    </row>
    <row r="833" customFormat="false" ht="15" hidden="false" customHeight="false" outlineLevel="0" collapsed="false">
      <c r="A833" s="42" t="s">
        <v>237</v>
      </c>
      <c r="B833" s="23"/>
      <c r="C833" s="23"/>
      <c r="D833" s="24"/>
      <c r="E833" s="18"/>
      <c r="F833" s="19" t="n">
        <v>177</v>
      </c>
      <c r="G833" s="20" t="n">
        <v>177</v>
      </c>
    </row>
    <row r="834" customFormat="false" ht="15" hidden="false" customHeight="false" outlineLevel="0" collapsed="false">
      <c r="A834" s="42" t="s">
        <v>238</v>
      </c>
      <c r="B834" s="23"/>
      <c r="C834" s="23"/>
      <c r="D834" s="24"/>
      <c r="E834" s="25"/>
      <c r="F834" s="25" t="n">
        <v>113</v>
      </c>
      <c r="G834" s="20" t="n">
        <v>113</v>
      </c>
    </row>
    <row r="835" customFormat="false" ht="15" hidden="false" customHeight="false" outlineLevel="0" collapsed="false">
      <c r="A835" s="42" t="s">
        <v>239</v>
      </c>
      <c r="B835" s="23"/>
      <c r="C835" s="23"/>
      <c r="D835" s="24"/>
      <c r="E835" s="18"/>
      <c r="F835" s="19" t="n">
        <v>46</v>
      </c>
      <c r="G835" s="20" t="n">
        <v>46</v>
      </c>
    </row>
    <row r="836" customFormat="false" ht="15" hidden="false" customHeight="false" outlineLevel="0" collapsed="false">
      <c r="A836" s="42" t="s">
        <v>9</v>
      </c>
      <c r="B836" s="23"/>
      <c r="C836" s="23"/>
      <c r="D836" s="24"/>
      <c r="E836" s="25"/>
      <c r="F836" s="25"/>
      <c r="G836" s="20"/>
    </row>
    <row r="837" customFormat="false" ht="15" hidden="false" customHeight="false" outlineLevel="0" collapsed="false">
      <c r="A837" s="43" t="s">
        <v>11</v>
      </c>
      <c r="B837" s="44"/>
      <c r="C837" s="44"/>
      <c r="D837" s="45"/>
      <c r="E837" s="46"/>
      <c r="F837" s="47" t="n">
        <v>3664</v>
      </c>
      <c r="G837" s="48" t="n">
        <v>3664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T65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4" topLeftCell="C15" activePane="bottomRight" state="frozen"/>
      <selection pane="topLeft" activeCell="A1" activeCellId="0" sqref="A1"/>
      <selection pane="topRight" activeCell="C1" activeCellId="0" sqref="C1"/>
      <selection pane="bottomLeft" activeCell="A15" activeCellId="0" sqref="A15"/>
      <selection pane="bottomRight" activeCell="A29" activeCellId="0" sqref="A29"/>
    </sheetView>
  </sheetViews>
  <sheetFormatPr defaultRowHeight="15"/>
  <cols>
    <col collapsed="false" hidden="false" max="1" min="1" style="0" width="55.5748987854251"/>
    <col collapsed="false" hidden="false" max="2" min="2" style="0" width="23"/>
    <col collapsed="false" hidden="false" max="3" min="3" style="1" width="9.2834008097166"/>
    <col collapsed="false" hidden="false" max="4" min="4" style="1" width="9.99595141700405"/>
    <col collapsed="false" hidden="false" max="5" min="5" style="1" width="9.2834008097166"/>
    <col collapsed="false" hidden="false" max="7" min="6" style="0" width="8.1417004048583"/>
    <col collapsed="false" hidden="false" max="9" min="8" style="0" width="8.2834008097166"/>
    <col collapsed="false" hidden="false" max="10" min="10" style="0" width="7.71255060728745"/>
    <col collapsed="false" hidden="false" max="12" min="11" style="0" width="7"/>
    <col collapsed="false" hidden="false" max="13" min="13" style="0" width="6.1417004048583"/>
    <col collapsed="false" hidden="false" max="14" min="14" style="0" width="6.71255060728745"/>
    <col collapsed="false" hidden="false" max="15" min="15" style="0" width="10.7125506072875"/>
    <col collapsed="false" hidden="false" max="16" min="16" style="0" width="7.1417004048583"/>
    <col collapsed="false" hidden="false" max="17" min="17" style="0" width="8.57085020242915"/>
    <col collapsed="false" hidden="false" max="18" min="18" style="0" width="12.4251012145749"/>
    <col collapsed="false" hidden="false" max="19" min="19" style="0" width="8.57085020242915"/>
    <col collapsed="false" hidden="false" max="1025" min="20" style="0" width="53.4251012145749"/>
  </cols>
  <sheetData>
    <row r="1" customFormat="false" ht="15" hidden="false" customHeight="false" outlineLevel="0" collapsed="false">
      <c r="A1" s="49"/>
      <c r="B1" s="50"/>
      <c r="C1" s="0"/>
      <c r="D1" s="0"/>
      <c r="E1" s="51"/>
      <c r="Q1" s="0" t="s">
        <v>240</v>
      </c>
    </row>
    <row r="2" customFormat="false" ht="15" hidden="false" customHeight="false" outlineLevel="0" collapsed="false">
      <c r="A2" s="49"/>
      <c r="B2" s="49"/>
      <c r="C2" s="0"/>
      <c r="D2" s="0"/>
      <c r="E2" s="0"/>
      <c r="N2" s="0" t="s">
        <v>241</v>
      </c>
      <c r="O2" s="52" t="n">
        <v>42835</v>
      </c>
      <c r="Q2" s="53" t="n">
        <f aca="false">(O4-O2-1)/(O3-O2)</f>
        <v>0.948717948717949</v>
      </c>
    </row>
    <row r="3" customFormat="false" ht="15" hidden="false" customHeight="false" outlineLevel="0" collapsed="false">
      <c r="A3" s="2" t="s">
        <v>0</v>
      </c>
      <c r="B3" s="3" t="s">
        <v>1</v>
      </c>
      <c r="C3" s="0"/>
      <c r="D3" s="0"/>
      <c r="E3" s="0"/>
    </row>
    <row r="4" customFormat="false" ht="15" hidden="false" customHeight="false" outlineLevel="0" collapsed="false">
      <c r="A4" s="2" t="s">
        <v>242</v>
      </c>
      <c r="B4" s="3" t="s">
        <v>1</v>
      </c>
      <c r="C4" s="0"/>
      <c r="D4" s="0"/>
      <c r="E4" s="0"/>
    </row>
    <row r="5" s="54" customFormat="true" ht="15" hidden="false" customHeight="false" outlineLevel="0" collapsed="false">
      <c r="A5" s="2" t="s">
        <v>243</v>
      </c>
      <c r="B5" s="3" t="s">
        <v>1</v>
      </c>
      <c r="C5" s="0"/>
      <c r="D5" s="0"/>
      <c r="E5" s="0"/>
      <c r="F5" s="0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</row>
    <row r="6" s="55" customFormat="true" ht="15" hidden="false" customHeight="false" outlineLevel="0" collapsed="false">
      <c r="A6" s="2" t="s">
        <v>244</v>
      </c>
      <c r="B6" s="3" t="s">
        <v>1</v>
      </c>
      <c r="C6" s="0"/>
      <c r="D6" s="0"/>
      <c r="E6" s="0"/>
      <c r="F6" s="0"/>
      <c r="G6" s="0"/>
      <c r="H6" s="0"/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</row>
    <row r="7" customFormat="false" ht="15" hidden="false" customHeight="false" outlineLevel="0" collapsed="false">
      <c r="A7" s="2" t="s">
        <v>245</v>
      </c>
      <c r="B7" s="3" t="s">
        <v>1</v>
      </c>
      <c r="C7" s="0"/>
      <c r="D7" s="0"/>
      <c r="E7" s="0"/>
    </row>
    <row r="8" customFormat="false" ht="15" hidden="false" customHeight="false" outlineLevel="0" collapsed="false">
      <c r="A8" s="2" t="s">
        <v>246</v>
      </c>
      <c r="B8" s="3" t="s">
        <v>1</v>
      </c>
      <c r="C8" s="0"/>
      <c r="D8" s="0"/>
      <c r="E8" s="0"/>
    </row>
    <row r="9" customFormat="false" ht="15" hidden="false" customHeight="false" outlineLevel="0" collapsed="false">
      <c r="A9" s="2" t="s">
        <v>247</v>
      </c>
      <c r="B9" s="3" t="s">
        <v>1</v>
      </c>
      <c r="C9" s="0"/>
      <c r="D9" s="0"/>
      <c r="E9" s="0"/>
    </row>
    <row r="10" customFormat="false" ht="15" hidden="false" customHeight="false" outlineLevel="0" collapsed="false">
      <c r="A10" s="2" t="s">
        <v>248</v>
      </c>
      <c r="B10" s="3" t="s">
        <v>1</v>
      </c>
      <c r="C10" s="0"/>
      <c r="D10" s="0"/>
      <c r="E10" s="0"/>
    </row>
    <row r="11" customFormat="false" ht="15" hidden="false" customHeight="false" outlineLevel="0" collapsed="false">
      <c r="A11" s="2" t="s">
        <v>8</v>
      </c>
      <c r="B11" s="3" t="s">
        <v>1</v>
      </c>
      <c r="C11" s="0"/>
      <c r="D11" s="0"/>
      <c r="E11" s="0"/>
    </row>
    <row r="12" customFormat="false" ht="15" hidden="false" customHeight="false" outlineLevel="0" collapsed="false">
      <c r="A12" s="2" t="s">
        <v>249</v>
      </c>
      <c r="B12" s="3" t="s">
        <v>1</v>
      </c>
      <c r="C12" s="0"/>
      <c r="D12" s="0"/>
      <c r="E12" s="0"/>
    </row>
    <row r="13" s="56" customFormat="true" ht="15.75" hidden="false" customHeight="false" outlineLevel="0" collapsed="false">
      <c r="A13" s="0"/>
      <c r="B13" s="0"/>
      <c r="C13" s="0"/>
      <c r="D13" s="0"/>
      <c r="E13" s="0"/>
      <c r="F13" s="0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</row>
    <row r="14" s="57" customFormat="true" ht="13.8" hidden="false" customHeight="false" outlineLevel="0" collapsed="false">
      <c r="A14" s="4"/>
      <c r="B14" s="5"/>
      <c r="C14" s="5"/>
      <c r="D14" s="5"/>
      <c r="E14" s="5"/>
      <c r="F14" s="6"/>
      <c r="G14" s="7" t="s">
        <v>250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9"/>
    </row>
    <row r="15" s="55" customFormat="true" ht="13.8" hidden="false" customHeight="false" outlineLevel="0" collapsed="false">
      <c r="A15" s="10" t="s">
        <v>5</v>
      </c>
      <c r="B15" s="11" t="s">
        <v>2</v>
      </c>
      <c r="C15" s="11" t="s">
        <v>6</v>
      </c>
      <c r="D15" s="11" t="s">
        <v>251</v>
      </c>
      <c r="E15" s="11" t="s">
        <v>7</v>
      </c>
      <c r="F15" s="11" t="s">
        <v>252</v>
      </c>
      <c r="G15" s="12" t="s">
        <v>253</v>
      </c>
      <c r="H15" s="13" t="s">
        <v>254</v>
      </c>
      <c r="I15" s="13" t="s">
        <v>255</v>
      </c>
      <c r="J15" s="13" t="s">
        <v>256</v>
      </c>
      <c r="K15" s="13" t="s">
        <v>257</v>
      </c>
      <c r="L15" s="13" t="s">
        <v>258</v>
      </c>
      <c r="M15" s="13" t="s">
        <v>259</v>
      </c>
      <c r="N15" s="13" t="s">
        <v>260</v>
      </c>
      <c r="O15" s="13" t="s">
        <v>261</v>
      </c>
      <c r="P15" s="13" t="s">
        <v>262</v>
      </c>
      <c r="Q15" s="13" t="s">
        <v>263</v>
      </c>
      <c r="R15" s="13" t="s">
        <v>264</v>
      </c>
      <c r="S15" s="13" t="s">
        <v>265</v>
      </c>
      <c r="T15" s="58" t="s">
        <v>266</v>
      </c>
    </row>
    <row r="16" s="55" customFormat="true" ht="13.8" hidden="false" customHeight="false" outlineLevel="0" collapsed="false">
      <c r="A16" s="15" t="s">
        <v>12</v>
      </c>
      <c r="B16" s="16"/>
      <c r="C16" s="16"/>
      <c r="D16" s="16"/>
      <c r="E16" s="16"/>
      <c r="F16" s="17"/>
      <c r="G16" s="18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59"/>
    </row>
    <row r="17" customFormat="false" ht="13.8" hidden="false" customHeight="false" outlineLevel="0" collapsed="false">
      <c r="A17" s="21"/>
      <c r="B17" s="28" t="s">
        <v>10</v>
      </c>
      <c r="C17" s="16"/>
      <c r="D17" s="16"/>
      <c r="E17" s="16"/>
      <c r="F17" s="17"/>
      <c r="G17" s="18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59"/>
    </row>
    <row r="18" customFormat="false" ht="13.8" hidden="false" customHeight="false" outlineLevel="0" collapsed="false">
      <c r="A18" s="21"/>
      <c r="B18" s="29"/>
      <c r="C18" s="22" t="s">
        <v>13</v>
      </c>
      <c r="D18" s="23"/>
      <c r="E18" s="23"/>
      <c r="F18" s="24"/>
      <c r="G18" s="18" t="e">
        <f aca="false"/>
        <v>#VALUE!</v>
      </c>
      <c r="H18" s="25" t="e">
        <f aca="false"/>
        <v>#VALUE!</v>
      </c>
      <c r="I18" s="25" t="e">
        <f aca="false"/>
        <v>#VALUE!</v>
      </c>
      <c r="J18" s="25" t="e">
        <f aca="false"/>
        <v>#VALUE!</v>
      </c>
      <c r="K18" s="25" t="e">
        <f aca="false"/>
        <v>#VALUE!</v>
      </c>
      <c r="L18" s="25" t="e">
        <f aca="false"/>
        <v>#VALUE!</v>
      </c>
      <c r="M18" s="25" t="e">
        <f aca="false"/>
        <v>#VALUE!</v>
      </c>
      <c r="N18" s="25" t="e">
        <f aca="false"/>
        <v>#VALUE!</v>
      </c>
      <c r="O18" s="25" t="e">
        <f aca="false"/>
        <v>#VALUE!</v>
      </c>
      <c r="P18" s="25" t="e">
        <f aca="false"/>
        <v>#VALUE!</v>
      </c>
      <c r="Q18" s="60" t="n">
        <v>195.17</v>
      </c>
      <c r="R18" s="60" t="n">
        <v>0</v>
      </c>
      <c r="S18" s="25" t="e">
        <f aca="false"/>
        <v>#VALUE!</v>
      </c>
      <c r="T18" s="59" t="e">
        <f aca="false"/>
        <v>#VALUE!</v>
      </c>
    </row>
    <row r="19" customFormat="false" ht="13.8" hidden="false" customHeight="false" outlineLevel="0" collapsed="false">
      <c r="A19" s="21"/>
      <c r="B19" s="29"/>
      <c r="C19" s="22" t="s">
        <v>14</v>
      </c>
      <c r="D19" s="23"/>
      <c r="E19" s="23"/>
      <c r="F19" s="24"/>
      <c r="G19" s="18" t="e">
        <f aca="false"/>
        <v>#VALUE!</v>
      </c>
      <c r="H19" s="25" t="e">
        <f aca="false"/>
        <v>#VALUE!</v>
      </c>
      <c r="I19" s="25" t="e">
        <f aca="false"/>
        <v>#VALUE!</v>
      </c>
      <c r="J19" s="25" t="e">
        <f aca="false"/>
        <v>#VALUE!</v>
      </c>
      <c r="K19" s="25" t="e">
        <f aca="false"/>
        <v>#VALUE!</v>
      </c>
      <c r="L19" s="25" t="e">
        <f aca="false"/>
        <v>#VALUE!</v>
      </c>
      <c r="M19" s="25" t="e">
        <f aca="false"/>
        <v>#VALUE!</v>
      </c>
      <c r="N19" s="25" t="e">
        <f aca="false"/>
        <v>#VALUE!</v>
      </c>
      <c r="O19" s="25" t="e">
        <f aca="false"/>
        <v>#VALUE!</v>
      </c>
      <c r="P19" s="25" t="e">
        <f aca="false"/>
        <v>#VALUE!</v>
      </c>
      <c r="Q19" s="60" t="n">
        <v>37.5</v>
      </c>
      <c r="R19" s="60" t="n">
        <v>0</v>
      </c>
      <c r="S19" s="25" t="e">
        <f aca="false"/>
        <v>#VALUE!</v>
      </c>
      <c r="T19" s="59" t="e">
        <f aca="false"/>
        <v>#VALUE!</v>
      </c>
    </row>
    <row r="20" customFormat="false" ht="13.8" hidden="false" customHeight="false" outlineLevel="0" collapsed="false">
      <c r="A20" s="21"/>
      <c r="B20" s="29"/>
      <c r="C20" s="22" t="s">
        <v>15</v>
      </c>
      <c r="D20" s="23"/>
      <c r="E20" s="23"/>
      <c r="F20" s="24"/>
      <c r="G20" s="18" t="e">
        <f aca="false"/>
        <v>#VALUE!</v>
      </c>
      <c r="H20" s="25" t="e">
        <f aca="false"/>
        <v>#VALUE!</v>
      </c>
      <c r="I20" s="25" t="e">
        <f aca="false"/>
        <v>#VALUE!</v>
      </c>
      <c r="J20" s="25" t="e">
        <f aca="false"/>
        <v>#VALUE!</v>
      </c>
      <c r="K20" s="25" t="e">
        <f aca="false"/>
        <v>#VALUE!</v>
      </c>
      <c r="L20" s="25" t="e">
        <f aca="false"/>
        <v>#VALUE!</v>
      </c>
      <c r="M20" s="25" t="e">
        <f aca="false"/>
        <v>#VALUE!</v>
      </c>
      <c r="N20" s="25" t="e">
        <f aca="false"/>
        <v>#VALUE!</v>
      </c>
      <c r="O20" s="25" t="e">
        <f aca="false"/>
        <v>#VALUE!</v>
      </c>
      <c r="P20" s="25" t="e">
        <f aca="false"/>
        <v>#VALUE!</v>
      </c>
      <c r="Q20" s="60" t="n">
        <v>88.5</v>
      </c>
      <c r="R20" s="60" t="n">
        <v>0</v>
      </c>
      <c r="S20" s="25" t="e">
        <f aca="false"/>
        <v>#VALUE!</v>
      </c>
      <c r="T20" s="59" t="e">
        <f aca="false"/>
        <v>#VALUE!</v>
      </c>
    </row>
    <row r="21" customFormat="false" ht="13.8" hidden="false" customHeight="false" outlineLevel="0" collapsed="false">
      <c r="A21" s="21"/>
      <c r="B21" s="29"/>
      <c r="C21" s="22" t="s">
        <v>16</v>
      </c>
      <c r="D21" s="23"/>
      <c r="E21" s="23"/>
      <c r="F21" s="24"/>
      <c r="G21" s="18" t="e">
        <f aca="false"/>
        <v>#VALUE!</v>
      </c>
      <c r="H21" s="25" t="e">
        <f aca="false"/>
        <v>#VALUE!</v>
      </c>
      <c r="I21" s="25" t="e">
        <f aca="false"/>
        <v>#VALUE!</v>
      </c>
      <c r="J21" s="25" t="e">
        <f aca="false"/>
        <v>#VALUE!</v>
      </c>
      <c r="K21" s="25" t="e">
        <f aca="false"/>
        <v>#VALUE!</v>
      </c>
      <c r="L21" s="25" t="e">
        <f aca="false"/>
        <v>#VALUE!</v>
      </c>
      <c r="M21" s="25" t="e">
        <f aca="false"/>
        <v>#VALUE!</v>
      </c>
      <c r="N21" s="25" t="e">
        <f aca="false"/>
        <v>#VALUE!</v>
      </c>
      <c r="O21" s="25" t="e">
        <f aca="false"/>
        <v>#VALUE!</v>
      </c>
      <c r="P21" s="25" t="e">
        <f aca="false"/>
        <v>#VALUE!</v>
      </c>
      <c r="Q21" s="60" t="n">
        <v>89</v>
      </c>
      <c r="R21" s="60" t="n">
        <v>0</v>
      </c>
      <c r="S21" s="25" t="e">
        <f aca="false"/>
        <v>#VALUE!</v>
      </c>
      <c r="T21" s="59" t="e">
        <f aca="false"/>
        <v>#VALUE!</v>
      </c>
    </row>
    <row r="22" customFormat="false" ht="13.8" hidden="false" customHeight="false" outlineLevel="0" collapsed="false">
      <c r="A22" s="26"/>
      <c r="B22" s="36"/>
      <c r="C22" s="22" t="s">
        <v>17</v>
      </c>
      <c r="D22" s="23"/>
      <c r="E22" s="23"/>
      <c r="F22" s="24"/>
      <c r="G22" s="18" t="e">
        <f aca="false"/>
        <v>#VALUE!</v>
      </c>
      <c r="H22" s="25" t="e">
        <f aca="false"/>
        <v>#VALUE!</v>
      </c>
      <c r="I22" s="25" t="e">
        <f aca="false"/>
        <v>#VALUE!</v>
      </c>
      <c r="J22" s="25" t="e">
        <f aca="false"/>
        <v>#VALUE!</v>
      </c>
      <c r="K22" s="25" t="e">
        <f aca="false"/>
        <v>#VALUE!</v>
      </c>
      <c r="L22" s="25" t="e">
        <f aca="false"/>
        <v>#VALUE!</v>
      </c>
      <c r="M22" s="25" t="e">
        <f aca="false"/>
        <v>#VALUE!</v>
      </c>
      <c r="N22" s="25" t="e">
        <f aca="false"/>
        <v>#VALUE!</v>
      </c>
      <c r="O22" s="25" t="e">
        <f aca="false"/>
        <v>#VALUE!</v>
      </c>
      <c r="P22" s="25" t="e">
        <f aca="false"/>
        <v>#VALUE!</v>
      </c>
      <c r="Q22" s="60" t="n">
        <v>24.5</v>
      </c>
      <c r="R22" s="60" t="n">
        <v>0</v>
      </c>
      <c r="S22" s="25" t="e">
        <f aca="false"/>
        <v>#VALUE!</v>
      </c>
      <c r="T22" s="59" t="e">
        <f aca="false"/>
        <v>#VALUE!</v>
      </c>
    </row>
    <row r="23" customFormat="false" ht="13.8" hidden="false" customHeight="false" outlineLevel="0" collapsed="false">
      <c r="A23" s="15" t="s">
        <v>18</v>
      </c>
      <c r="B23" s="16"/>
      <c r="C23" s="16"/>
      <c r="D23" s="16"/>
      <c r="E23" s="16"/>
      <c r="F23" s="17"/>
      <c r="G23" s="18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59"/>
    </row>
    <row r="24" customFormat="false" ht="13.8" hidden="false" customHeight="false" outlineLevel="0" collapsed="false">
      <c r="A24" s="21"/>
      <c r="B24" s="28" t="s">
        <v>10</v>
      </c>
      <c r="C24" s="16"/>
      <c r="D24" s="16"/>
      <c r="E24" s="16"/>
      <c r="F24" s="17"/>
      <c r="G24" s="18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59"/>
    </row>
    <row r="25" customFormat="false" ht="13.8" hidden="false" customHeight="false" outlineLevel="0" collapsed="false">
      <c r="A25" s="21"/>
      <c r="B25" s="29"/>
      <c r="C25" s="22" t="s">
        <v>13</v>
      </c>
      <c r="D25" s="23"/>
      <c r="E25" s="23"/>
      <c r="F25" s="24"/>
      <c r="G25" s="18" t="e">
        <f aca="false"/>
        <v>#VALUE!</v>
      </c>
      <c r="H25" s="25" t="e">
        <f aca="false"/>
        <v>#VALUE!</v>
      </c>
      <c r="I25" s="25" t="e">
        <f aca="false"/>
        <v>#VALUE!</v>
      </c>
      <c r="J25" s="25" t="e">
        <f aca="false"/>
        <v>#VALUE!</v>
      </c>
      <c r="K25" s="25" t="e">
        <f aca="false"/>
        <v>#VALUE!</v>
      </c>
      <c r="L25" s="25" t="e">
        <f aca="false"/>
        <v>#VALUE!</v>
      </c>
      <c r="M25" s="25" t="e">
        <f aca="false"/>
        <v>#VALUE!</v>
      </c>
      <c r="N25" s="25" t="e">
        <f aca="false"/>
        <v>#VALUE!</v>
      </c>
      <c r="O25" s="25" t="e">
        <f aca="false"/>
        <v>#VALUE!</v>
      </c>
      <c r="P25" s="25" t="e">
        <f aca="false"/>
        <v>#VALUE!</v>
      </c>
      <c r="Q25" s="60" t="n">
        <v>0</v>
      </c>
      <c r="R25" s="60" t="n">
        <v>0</v>
      </c>
      <c r="S25" s="25" t="e">
        <f aca="false"/>
        <v>#VALUE!</v>
      </c>
      <c r="T25" s="59" t="e">
        <f aca="false"/>
        <v>#VALUE!</v>
      </c>
    </row>
    <row r="26" customFormat="false" ht="13.8" hidden="false" customHeight="false" outlineLevel="0" collapsed="false">
      <c r="A26" s="21"/>
      <c r="B26" s="29"/>
      <c r="C26" s="22" t="s">
        <v>15</v>
      </c>
      <c r="D26" s="23"/>
      <c r="E26" s="23"/>
      <c r="F26" s="24"/>
      <c r="G26" s="18" t="e">
        <f aca="false"/>
        <v>#VALUE!</v>
      </c>
      <c r="H26" s="25" t="e">
        <f aca="false"/>
        <v>#VALUE!</v>
      </c>
      <c r="I26" s="25" t="e">
        <f aca="false"/>
        <v>#VALUE!</v>
      </c>
      <c r="J26" s="25" t="e">
        <f aca="false"/>
        <v>#VALUE!</v>
      </c>
      <c r="K26" s="25" t="e">
        <f aca="false"/>
        <v>#VALUE!</v>
      </c>
      <c r="L26" s="25" t="e">
        <f aca="false"/>
        <v>#VALUE!</v>
      </c>
      <c r="M26" s="25" t="e">
        <f aca="false"/>
        <v>#VALUE!</v>
      </c>
      <c r="N26" s="25" t="e">
        <f aca="false"/>
        <v>#VALUE!</v>
      </c>
      <c r="O26" s="25" t="e">
        <f aca="false"/>
        <v>#VALUE!</v>
      </c>
      <c r="P26" s="25" t="e">
        <f aca="false"/>
        <v>#VALUE!</v>
      </c>
      <c r="Q26" s="60" t="n">
        <v>0</v>
      </c>
      <c r="R26" s="60" t="n">
        <v>0</v>
      </c>
      <c r="S26" s="25" t="e">
        <f aca="false"/>
        <v>#VALUE!</v>
      </c>
      <c r="T26" s="59" t="e">
        <f aca="false"/>
        <v>#VALUE!</v>
      </c>
    </row>
    <row r="27" customFormat="false" ht="13.8" hidden="false" customHeight="false" outlineLevel="0" collapsed="false">
      <c r="A27" s="21"/>
      <c r="B27" s="29"/>
      <c r="C27" s="22" t="s">
        <v>16</v>
      </c>
      <c r="D27" s="23"/>
      <c r="E27" s="23"/>
      <c r="F27" s="24"/>
      <c r="G27" s="18" t="e">
        <f aca="false"/>
        <v>#VALUE!</v>
      </c>
      <c r="H27" s="25" t="e">
        <f aca="false"/>
        <v>#VALUE!</v>
      </c>
      <c r="I27" s="25" t="e">
        <f aca="false"/>
        <v>#VALUE!</v>
      </c>
      <c r="J27" s="25" t="e">
        <f aca="false"/>
        <v>#VALUE!</v>
      </c>
      <c r="K27" s="25" t="e">
        <f aca="false"/>
        <v>#VALUE!</v>
      </c>
      <c r="L27" s="25" t="e">
        <f aca="false"/>
        <v>#VALUE!</v>
      </c>
      <c r="M27" s="25" t="e">
        <f aca="false"/>
        <v>#VALUE!</v>
      </c>
      <c r="N27" s="25" t="e">
        <f aca="false"/>
        <v>#VALUE!</v>
      </c>
      <c r="O27" s="25" t="e">
        <f aca="false"/>
        <v>#VALUE!</v>
      </c>
      <c r="P27" s="25" t="e">
        <f aca="false"/>
        <v>#VALUE!</v>
      </c>
      <c r="Q27" s="60" t="n">
        <v>12</v>
      </c>
      <c r="R27" s="60" t="n">
        <v>0</v>
      </c>
      <c r="S27" s="25" t="e">
        <f aca="false"/>
        <v>#VALUE!</v>
      </c>
      <c r="T27" s="59" t="e">
        <f aca="false"/>
        <v>#VALUE!</v>
      </c>
    </row>
    <row r="28" customFormat="false" ht="13.8" hidden="false" customHeight="false" outlineLevel="0" collapsed="false">
      <c r="A28" s="21"/>
      <c r="B28" s="29"/>
      <c r="C28" s="22" t="s">
        <v>20</v>
      </c>
      <c r="D28" s="23"/>
      <c r="E28" s="23"/>
      <c r="F28" s="24"/>
      <c r="G28" s="18" t="e">
        <f aca="false"/>
        <v>#VALUE!</v>
      </c>
      <c r="H28" s="25" t="e">
        <f aca="false"/>
        <v>#VALUE!</v>
      </c>
      <c r="I28" s="25" t="e">
        <f aca="false"/>
        <v>#VALUE!</v>
      </c>
      <c r="J28" s="25" t="e">
        <f aca="false"/>
        <v>#VALUE!</v>
      </c>
      <c r="K28" s="25" t="e">
        <f aca="false"/>
        <v>#VALUE!</v>
      </c>
      <c r="L28" s="25" t="e">
        <f aca="false"/>
        <v>#VALUE!</v>
      </c>
      <c r="M28" s="25" t="e">
        <f aca="false"/>
        <v>#VALUE!</v>
      </c>
      <c r="N28" s="25" t="e">
        <f aca="false"/>
        <v>#VALUE!</v>
      </c>
      <c r="O28" s="25" t="e">
        <f aca="false"/>
        <v>#VALUE!</v>
      </c>
      <c r="P28" s="25" t="e">
        <f aca="false"/>
        <v>#VALUE!</v>
      </c>
      <c r="Q28" s="60" t="n">
        <v>55.25</v>
      </c>
      <c r="R28" s="60" t="n">
        <v>0</v>
      </c>
      <c r="S28" s="25" t="e">
        <f aca="false"/>
        <v>#VALUE!</v>
      </c>
      <c r="T28" s="59" t="e">
        <f aca="false"/>
        <v>#VALUE!</v>
      </c>
    </row>
    <row r="29" customFormat="false" ht="13.8" hidden="false" customHeight="false" outlineLevel="0" collapsed="false">
      <c r="A29" s="21"/>
      <c r="B29" s="29"/>
      <c r="C29" s="22" t="s">
        <v>21</v>
      </c>
      <c r="D29" s="23"/>
      <c r="E29" s="23"/>
      <c r="F29" s="24"/>
      <c r="G29" s="18" t="e">
        <f aca="false"/>
        <v>#VALUE!</v>
      </c>
      <c r="H29" s="25" t="e">
        <f aca="false"/>
        <v>#VALUE!</v>
      </c>
      <c r="I29" s="25" t="e">
        <f aca="false"/>
        <v>#VALUE!</v>
      </c>
      <c r="J29" s="25" t="e">
        <f aca="false"/>
        <v>#VALUE!</v>
      </c>
      <c r="K29" s="25" t="e">
        <f aca="false"/>
        <v>#VALUE!</v>
      </c>
      <c r="L29" s="25" t="e">
        <f aca="false"/>
        <v>#VALUE!</v>
      </c>
      <c r="M29" s="25" t="e">
        <f aca="false"/>
        <v>#VALUE!</v>
      </c>
      <c r="N29" s="25" t="e">
        <f aca="false"/>
        <v>#VALUE!</v>
      </c>
      <c r="O29" s="25" t="e">
        <f aca="false"/>
        <v>#VALUE!</v>
      </c>
      <c r="P29" s="25" t="e">
        <f aca="false"/>
        <v>#VALUE!</v>
      </c>
      <c r="Q29" s="60" t="n">
        <v>0</v>
      </c>
      <c r="R29" s="25"/>
      <c r="S29" s="25" t="e">
        <f aca="false"/>
        <v>#VALUE!</v>
      </c>
      <c r="T29" s="59" t="e">
        <f aca="false"/>
        <v>#VALUE!</v>
      </c>
    </row>
    <row r="30" customFormat="false" ht="13.8" hidden="false" customHeight="false" outlineLevel="0" collapsed="false">
      <c r="A30" s="26"/>
      <c r="B30" s="36"/>
      <c r="C30" s="22" t="s">
        <v>19</v>
      </c>
      <c r="D30" s="23"/>
      <c r="E30" s="23"/>
      <c r="F30" s="24"/>
      <c r="G30" s="18" t="e">
        <f aca="false"/>
        <v>#VALUE!</v>
      </c>
      <c r="H30" s="25" t="e">
        <f aca="false"/>
        <v>#VALUE!</v>
      </c>
      <c r="I30" s="25" t="e">
        <f aca="false"/>
        <v>#VALUE!</v>
      </c>
      <c r="J30" s="25" t="e">
        <f aca="false"/>
        <v>#VALUE!</v>
      </c>
      <c r="K30" s="25" t="e">
        <f aca="false"/>
        <v>#VALUE!</v>
      </c>
      <c r="L30" s="25" t="e">
        <f aca="false"/>
        <v>#VALUE!</v>
      </c>
      <c r="M30" s="25" t="e">
        <f aca="false"/>
        <v>#VALUE!</v>
      </c>
      <c r="N30" s="25" t="e">
        <f aca="false"/>
        <v>#VALUE!</v>
      </c>
      <c r="O30" s="25" t="e">
        <f aca="false"/>
        <v>#VALUE!</v>
      </c>
      <c r="P30" s="25" t="e">
        <f aca="false"/>
        <v>#VALUE!</v>
      </c>
      <c r="Q30" s="60" t="n">
        <v>0</v>
      </c>
      <c r="R30" s="25"/>
      <c r="S30" s="25" t="e">
        <f aca="false"/>
        <v>#VALUE!</v>
      </c>
      <c r="T30" s="59" t="e">
        <f aca="false"/>
        <v>#VALUE!</v>
      </c>
    </row>
    <row r="31" customFormat="false" ht="15" hidden="false" customHeight="false" outlineLevel="0" collapsed="false">
      <c r="A31" s="42" t="s">
        <v>22</v>
      </c>
      <c r="B31" s="23"/>
      <c r="C31" s="23"/>
      <c r="D31" s="23"/>
      <c r="E31" s="23"/>
      <c r="F31" s="24"/>
      <c r="G31" s="18" t="e">
        <f aca="false"/>
        <v>#VALUE!</v>
      </c>
      <c r="H31" s="25" t="e">
        <f aca="false"/>
        <v>#VALUE!</v>
      </c>
      <c r="I31" s="25" t="e">
        <f aca="false"/>
        <v>#VALUE!</v>
      </c>
      <c r="J31" s="25" t="e">
        <f aca="false"/>
        <v>#VALUE!</v>
      </c>
      <c r="K31" s="25" t="e">
        <f aca="false"/>
        <v>#VALUE!</v>
      </c>
      <c r="L31" s="25" t="e">
        <f aca="false"/>
        <v>#VALUE!</v>
      </c>
      <c r="M31" s="25" t="e">
        <f aca="false"/>
        <v>#VALUE!</v>
      </c>
      <c r="N31" s="25" t="e">
        <f aca="false"/>
        <v>#VALUE!</v>
      </c>
      <c r="O31" s="25" t="e">
        <f aca="false"/>
        <v>#VALUE!</v>
      </c>
      <c r="P31" s="25" t="e">
        <f aca="false"/>
        <v>#VALUE!</v>
      </c>
      <c r="Q31" s="60" t="n">
        <v>1542.82</v>
      </c>
      <c r="R31" s="60" t="n">
        <v>0</v>
      </c>
      <c r="S31" s="25" t="e">
        <f aca="false"/>
        <v>#VALUE!</v>
      </c>
      <c r="T31" s="59" t="e">
        <f aca="false"/>
        <v>#VALUE!</v>
      </c>
    </row>
    <row r="32" customFormat="false" ht="15" hidden="false" customHeight="false" outlineLevel="0" collapsed="false">
      <c r="A32" s="42" t="s">
        <v>186</v>
      </c>
      <c r="B32" s="23"/>
      <c r="C32" s="23"/>
      <c r="D32" s="23"/>
      <c r="E32" s="23"/>
      <c r="F32" s="24"/>
      <c r="G32" s="18" t="e">
        <f aca="false"/>
        <v>#VALUE!</v>
      </c>
      <c r="H32" s="25" t="e">
        <f aca="false"/>
        <v>#VALUE!</v>
      </c>
      <c r="I32" s="25" t="e">
        <f aca="false"/>
        <v>#VALUE!</v>
      </c>
      <c r="J32" s="25" t="e">
        <f aca="false"/>
        <v>#VALUE!</v>
      </c>
      <c r="K32" s="25" t="e">
        <f aca="false"/>
        <v>#VALUE!</v>
      </c>
      <c r="L32" s="25" t="e">
        <f aca="false"/>
        <v>#VALUE!</v>
      </c>
      <c r="M32" s="25" t="e">
        <f aca="false"/>
        <v>#VALUE!</v>
      </c>
      <c r="N32" s="25" t="e">
        <f aca="false"/>
        <v>#VALUE!</v>
      </c>
      <c r="O32" s="25" t="e">
        <f aca="false"/>
        <v>#VALUE!</v>
      </c>
      <c r="P32" s="25" t="e">
        <f aca="false"/>
        <v>#VALUE!</v>
      </c>
      <c r="Q32" s="60" t="n">
        <v>142.58</v>
      </c>
      <c r="R32" s="60" t="n">
        <v>0</v>
      </c>
      <c r="S32" s="25" t="e">
        <f aca="false"/>
        <v>#VALUE!</v>
      </c>
      <c r="T32" s="59" t="e">
        <f aca="false"/>
        <v>#VALUE!</v>
      </c>
    </row>
    <row r="33" customFormat="false" ht="15" hidden="false" customHeight="false" outlineLevel="0" collapsed="false">
      <c r="A33" s="42" t="s">
        <v>187</v>
      </c>
      <c r="B33" s="23"/>
      <c r="C33" s="23"/>
      <c r="D33" s="23"/>
      <c r="E33" s="23"/>
      <c r="F33" s="24"/>
      <c r="G33" s="18" t="e">
        <f aca="false"/>
        <v>#VALUE!</v>
      </c>
      <c r="H33" s="25" t="e">
        <f aca="false"/>
        <v>#VALUE!</v>
      </c>
      <c r="I33" s="25" t="e">
        <f aca="false"/>
        <v>#VALUE!</v>
      </c>
      <c r="J33" s="25" t="e">
        <f aca="false"/>
        <v>#VALUE!</v>
      </c>
      <c r="K33" s="25" t="e">
        <f aca="false"/>
        <v>#VALUE!</v>
      </c>
      <c r="L33" s="25" t="e">
        <f aca="false"/>
        <v>#VALUE!</v>
      </c>
      <c r="M33" s="25" t="e">
        <f aca="false"/>
        <v>#VALUE!</v>
      </c>
      <c r="N33" s="25" t="e">
        <f aca="false"/>
        <v>#VALUE!</v>
      </c>
      <c r="O33" s="25" t="e">
        <f aca="false"/>
        <v>#VALUE!</v>
      </c>
      <c r="P33" s="25" t="e">
        <f aca="false"/>
        <v>#VALUE!</v>
      </c>
      <c r="Q33" s="60" t="n">
        <v>92.25</v>
      </c>
      <c r="R33" s="60" t="n">
        <v>0</v>
      </c>
      <c r="S33" s="25" t="e">
        <f aca="false"/>
        <v>#VALUE!</v>
      </c>
      <c r="T33" s="59" t="e">
        <f aca="false"/>
        <v>#VALUE!</v>
      </c>
    </row>
    <row r="34" customFormat="false" ht="15" hidden="false" customHeight="false" outlineLevel="0" collapsed="false">
      <c r="A34" s="42" t="s">
        <v>188</v>
      </c>
      <c r="B34" s="23"/>
      <c r="C34" s="23"/>
      <c r="D34" s="23"/>
      <c r="E34" s="23"/>
      <c r="F34" s="24"/>
      <c r="G34" s="18" t="e">
        <f aca="false"/>
        <v>#VALUE!</v>
      </c>
      <c r="H34" s="25" t="e">
        <f aca="false"/>
        <v>#VALUE!</v>
      </c>
      <c r="I34" s="25" t="e">
        <f aca="false"/>
        <v>#VALUE!</v>
      </c>
      <c r="J34" s="25" t="e">
        <f aca="false"/>
        <v>#VALUE!</v>
      </c>
      <c r="K34" s="25" t="e">
        <f aca="false"/>
        <v>#VALUE!</v>
      </c>
      <c r="L34" s="25" t="e">
        <f aca="false"/>
        <v>#VALUE!</v>
      </c>
      <c r="M34" s="25" t="e">
        <f aca="false"/>
        <v>#VALUE!</v>
      </c>
      <c r="N34" s="25" t="e">
        <f aca="false"/>
        <v>#VALUE!</v>
      </c>
      <c r="O34" s="25" t="e">
        <f aca="false"/>
        <v>#VALUE!</v>
      </c>
      <c r="P34" s="25" t="e">
        <f aca="false"/>
        <v>#VALUE!</v>
      </c>
      <c r="Q34" s="60" t="n">
        <v>136.05</v>
      </c>
      <c r="R34" s="60" t="n">
        <v>0</v>
      </c>
      <c r="S34" s="25" t="e">
        <f aca="false"/>
        <v>#VALUE!</v>
      </c>
      <c r="T34" s="59" t="e">
        <f aca="false"/>
        <v>#VALUE!</v>
      </c>
    </row>
    <row r="35" customFormat="false" ht="15" hidden="false" customHeight="false" outlineLevel="0" collapsed="false">
      <c r="A35" s="42" t="s">
        <v>189</v>
      </c>
      <c r="B35" s="23"/>
      <c r="C35" s="23"/>
      <c r="D35" s="23"/>
      <c r="E35" s="23"/>
      <c r="F35" s="24"/>
      <c r="G35" s="18" t="e">
        <f aca="false"/>
        <v>#VALUE!</v>
      </c>
      <c r="H35" s="25" t="e">
        <f aca="false"/>
        <v>#VALUE!</v>
      </c>
      <c r="I35" s="25" t="e">
        <f aca="false"/>
        <v>#VALUE!</v>
      </c>
      <c r="J35" s="25" t="e">
        <f aca="false"/>
        <v>#VALUE!</v>
      </c>
      <c r="K35" s="25" t="e">
        <f aca="false"/>
        <v>#VALUE!</v>
      </c>
      <c r="L35" s="25" t="e">
        <f aca="false"/>
        <v>#VALUE!</v>
      </c>
      <c r="M35" s="25" t="e">
        <f aca="false"/>
        <v>#VALUE!</v>
      </c>
      <c r="N35" s="25" t="e">
        <f aca="false"/>
        <v>#VALUE!</v>
      </c>
      <c r="O35" s="25" t="e">
        <f aca="false"/>
        <v>#VALUE!</v>
      </c>
      <c r="P35" s="25" t="e">
        <f aca="false"/>
        <v>#VALUE!</v>
      </c>
      <c r="Q35" s="60" t="n">
        <v>73</v>
      </c>
      <c r="R35" s="60" t="n">
        <v>0</v>
      </c>
      <c r="S35" s="25" t="e">
        <f aca="false"/>
        <v>#VALUE!</v>
      </c>
      <c r="T35" s="59" t="e">
        <f aca="false"/>
        <v>#VALUE!</v>
      </c>
    </row>
    <row r="36" customFormat="false" ht="15" hidden="false" customHeight="false" outlineLevel="0" collapsed="false">
      <c r="A36" s="42" t="s">
        <v>190</v>
      </c>
      <c r="B36" s="23"/>
      <c r="C36" s="23"/>
      <c r="D36" s="23"/>
      <c r="E36" s="23"/>
      <c r="F36" s="24"/>
      <c r="G36" s="18" t="e">
        <f aca="false"/>
        <v>#VALUE!</v>
      </c>
      <c r="H36" s="25" t="e">
        <f aca="false"/>
        <v>#VALUE!</v>
      </c>
      <c r="I36" s="25" t="e">
        <f aca="false"/>
        <v>#VALUE!</v>
      </c>
      <c r="J36" s="25" t="e">
        <f aca="false"/>
        <v>#VALUE!</v>
      </c>
      <c r="K36" s="25" t="e">
        <f aca="false"/>
        <v>#VALUE!</v>
      </c>
      <c r="L36" s="25" t="e">
        <f aca="false"/>
        <v>#VALUE!</v>
      </c>
      <c r="M36" s="25" t="e">
        <f aca="false"/>
        <v>#VALUE!</v>
      </c>
      <c r="N36" s="25" t="e">
        <f aca="false"/>
        <v>#VALUE!</v>
      </c>
      <c r="O36" s="25" t="e">
        <f aca="false"/>
        <v>#VALUE!</v>
      </c>
      <c r="P36" s="25" t="e">
        <f aca="false"/>
        <v>#VALUE!</v>
      </c>
      <c r="Q36" s="60" t="n">
        <v>76</v>
      </c>
      <c r="R36" s="60" t="n">
        <v>0</v>
      </c>
      <c r="S36" s="25" t="e">
        <f aca="false"/>
        <v>#VALUE!</v>
      </c>
      <c r="T36" s="59" t="e">
        <f aca="false"/>
        <v>#VALUE!</v>
      </c>
    </row>
    <row r="37" customFormat="false" ht="15" hidden="false" customHeight="false" outlineLevel="0" collapsed="false">
      <c r="A37" s="42" t="s">
        <v>191</v>
      </c>
      <c r="B37" s="23"/>
      <c r="C37" s="23"/>
      <c r="D37" s="23"/>
      <c r="E37" s="23"/>
      <c r="F37" s="24"/>
      <c r="G37" s="18" t="e">
        <f aca="false"/>
        <v>#VALUE!</v>
      </c>
      <c r="H37" s="25" t="e">
        <f aca="false"/>
        <v>#VALUE!</v>
      </c>
      <c r="I37" s="25" t="e">
        <f aca="false"/>
        <v>#VALUE!</v>
      </c>
      <c r="J37" s="25" t="e">
        <f aca="false"/>
        <v>#VALUE!</v>
      </c>
      <c r="K37" s="25" t="e">
        <f aca="false"/>
        <v>#VALUE!</v>
      </c>
      <c r="L37" s="25" t="e">
        <f aca="false"/>
        <v>#VALUE!</v>
      </c>
      <c r="M37" s="25" t="e">
        <f aca="false"/>
        <v>#VALUE!</v>
      </c>
      <c r="N37" s="25" t="e">
        <f aca="false"/>
        <v>#VALUE!</v>
      </c>
      <c r="O37" s="25" t="e">
        <f aca="false"/>
        <v>#VALUE!</v>
      </c>
      <c r="P37" s="25" t="e">
        <f aca="false"/>
        <v>#VALUE!</v>
      </c>
      <c r="Q37" s="60" t="n">
        <v>81</v>
      </c>
      <c r="R37" s="60" t="n">
        <v>0</v>
      </c>
      <c r="S37" s="25" t="e">
        <f aca="false"/>
        <v>#VALUE!</v>
      </c>
      <c r="T37" s="59" t="e">
        <f aca="false"/>
        <v>#VALUE!</v>
      </c>
    </row>
    <row r="38" customFormat="false" ht="15" hidden="false" customHeight="false" outlineLevel="0" collapsed="false">
      <c r="A38" s="42" t="s">
        <v>215</v>
      </c>
      <c r="B38" s="23"/>
      <c r="C38" s="23"/>
      <c r="D38" s="23"/>
      <c r="E38" s="23"/>
      <c r="F38" s="24"/>
      <c r="G38" s="18" t="e">
        <f aca="false"/>
        <v>#VALUE!</v>
      </c>
      <c r="H38" s="25" t="e">
        <f aca="false"/>
        <v>#VALUE!</v>
      </c>
      <c r="I38" s="25" t="e">
        <f aca="false"/>
        <v>#VALUE!</v>
      </c>
      <c r="J38" s="25" t="e">
        <f aca="false"/>
        <v>#VALUE!</v>
      </c>
      <c r="K38" s="25" t="e">
        <f aca="false"/>
        <v>#VALUE!</v>
      </c>
      <c r="L38" s="25" t="e">
        <f aca="false"/>
        <v>#VALUE!</v>
      </c>
      <c r="M38" s="25" t="e">
        <f aca="false"/>
        <v>#VALUE!</v>
      </c>
      <c r="N38" s="25" t="e">
        <f aca="false"/>
        <v>#VALUE!</v>
      </c>
      <c r="O38" s="25" t="e">
        <f aca="false"/>
        <v>#VALUE!</v>
      </c>
      <c r="P38" s="25" t="e">
        <f aca="false"/>
        <v>#VALUE!</v>
      </c>
      <c r="Q38" s="60" t="n">
        <v>86.03</v>
      </c>
      <c r="R38" s="60" t="n">
        <v>0</v>
      </c>
      <c r="S38" s="25" t="e">
        <f aca="false"/>
        <v>#VALUE!</v>
      </c>
      <c r="T38" s="59" t="e">
        <f aca="false"/>
        <v>#VALUE!</v>
      </c>
    </row>
    <row r="39" customFormat="false" ht="15" hidden="false" customHeight="false" outlineLevel="0" collapsed="false">
      <c r="A39" s="15" t="s">
        <v>230</v>
      </c>
      <c r="B39" s="16"/>
      <c r="C39" s="16"/>
      <c r="D39" s="16"/>
      <c r="E39" s="16"/>
      <c r="F39" s="17"/>
      <c r="G39" s="18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59"/>
    </row>
    <row r="40" customFormat="false" ht="15" hidden="false" customHeight="false" outlineLevel="0" collapsed="false">
      <c r="A40" s="21"/>
      <c r="B40" s="28" t="s">
        <v>10</v>
      </c>
      <c r="C40" s="16"/>
      <c r="D40" s="16"/>
      <c r="E40" s="16"/>
      <c r="F40" s="17"/>
      <c r="G40" s="18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59"/>
    </row>
    <row r="41" customFormat="false" ht="15" hidden="false" customHeight="false" outlineLevel="0" collapsed="false">
      <c r="A41" s="21"/>
      <c r="B41" s="29"/>
      <c r="C41" s="28" t="s">
        <v>210</v>
      </c>
      <c r="D41" s="16"/>
      <c r="E41" s="16"/>
      <c r="F41" s="17"/>
      <c r="G41" s="18" t="e">
        <f aca="false"/>
        <v>#VALUE!</v>
      </c>
      <c r="H41" s="25" t="e">
        <f aca="false"/>
        <v>#VALUE!</v>
      </c>
      <c r="I41" s="25" t="e">
        <f aca="false"/>
        <v>#VALUE!</v>
      </c>
      <c r="J41" s="25" t="e">
        <f aca="false"/>
        <v>#VALUE!</v>
      </c>
      <c r="K41" s="25" t="e">
        <f aca="false"/>
        <v>#VALUE!</v>
      </c>
      <c r="L41" s="25" t="e">
        <f aca="false"/>
        <v>#VALUE!</v>
      </c>
      <c r="M41" s="25" t="e">
        <f aca="false"/>
        <v>#VALUE!</v>
      </c>
      <c r="N41" s="25" t="e">
        <f aca="false"/>
        <v>#VALUE!</v>
      </c>
      <c r="O41" s="25" t="e">
        <f aca="false"/>
        <v>#VALUE!</v>
      </c>
      <c r="P41" s="25" t="e">
        <f aca="false"/>
        <v>#VALUE!</v>
      </c>
      <c r="Q41" s="25"/>
      <c r="R41" s="60" t="n">
        <v>0</v>
      </c>
      <c r="S41" s="25" t="e">
        <f aca="false"/>
        <v>#VALUE!</v>
      </c>
      <c r="T41" s="59" t="e">
        <f aca="false"/>
        <v>#VALUE!</v>
      </c>
    </row>
    <row r="42" customFormat="false" ht="15" hidden="false" customHeight="false" outlineLevel="0" collapsed="false">
      <c r="A42" s="21"/>
      <c r="B42" s="29"/>
      <c r="C42" s="29"/>
      <c r="D42" s="28" t="s">
        <v>10</v>
      </c>
      <c r="E42" s="16"/>
      <c r="F42" s="17"/>
      <c r="G42" s="18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59"/>
    </row>
    <row r="43" customFormat="false" ht="15" hidden="false" customHeight="false" outlineLevel="0" collapsed="false">
      <c r="A43" s="21"/>
      <c r="B43" s="29"/>
      <c r="C43" s="29"/>
      <c r="D43" s="29"/>
      <c r="E43" s="28" t="s">
        <v>231</v>
      </c>
      <c r="F43" s="28"/>
      <c r="G43" s="30" t="e">
        <f aca="false"/>
        <v>#VALUE!</v>
      </c>
      <c r="H43" s="27" t="e">
        <f aca="false"/>
        <v>#VALUE!</v>
      </c>
      <c r="I43" s="27" t="e">
        <f aca="false"/>
        <v>#VALUE!</v>
      </c>
      <c r="J43" s="27" t="e">
        <f aca="false"/>
        <v>#VALUE!</v>
      </c>
      <c r="K43" s="27" t="e">
        <f aca="false"/>
        <v>#VALUE!</v>
      </c>
      <c r="L43" s="27" t="e">
        <f aca="false"/>
        <v>#VALUE!</v>
      </c>
      <c r="M43" s="27" t="e">
        <f aca="false"/>
        <v>#VALUE!</v>
      </c>
      <c r="N43" s="27" t="e">
        <f aca="false"/>
        <v>#VALUE!</v>
      </c>
      <c r="O43" s="27" t="e">
        <f aca="false"/>
        <v>#VALUE!</v>
      </c>
      <c r="P43" s="27" t="e">
        <f aca="false"/>
        <v>#VALUE!</v>
      </c>
      <c r="Q43" s="27"/>
      <c r="R43" s="61" t="n">
        <v>0</v>
      </c>
      <c r="S43" s="27" t="e">
        <f aca="false"/>
        <v>#VALUE!</v>
      </c>
      <c r="T43" s="62" t="e">
        <f aca="false"/>
        <v>#VALUE!</v>
      </c>
    </row>
    <row r="44" customFormat="false" ht="15" hidden="false" customHeight="false" outlineLevel="0" collapsed="false">
      <c r="A44" s="21"/>
      <c r="B44" s="29"/>
      <c r="C44" s="29"/>
      <c r="D44" s="29"/>
      <c r="E44" s="36"/>
      <c r="F44" s="36" t="s">
        <v>10</v>
      </c>
      <c r="G44" s="37" t="e">
        <f aca="false"/>
        <v>#VALUE!</v>
      </c>
      <c r="H44" s="41" t="e">
        <f aca="false"/>
        <v>#VALUE!</v>
      </c>
      <c r="I44" s="41" t="e">
        <f aca="false"/>
        <v>#VALUE!</v>
      </c>
      <c r="J44" s="41" t="e">
        <f aca="false"/>
        <v>#VALUE!</v>
      </c>
      <c r="K44" s="41" t="e">
        <f aca="false"/>
        <v>#VALUE!</v>
      </c>
      <c r="L44" s="41" t="e">
        <f aca="false"/>
        <v>#VALUE!</v>
      </c>
      <c r="M44" s="41" t="e">
        <f aca="false"/>
        <v>#VALUE!</v>
      </c>
      <c r="N44" s="41" t="e">
        <f aca="false"/>
        <v>#VALUE!</v>
      </c>
      <c r="O44" s="41" t="e">
        <f aca="false"/>
        <v>#VALUE!</v>
      </c>
      <c r="P44" s="41" t="e">
        <f aca="false"/>
        <v>#VALUE!</v>
      </c>
      <c r="Q44" s="41"/>
      <c r="R44" s="63" t="n">
        <v>0</v>
      </c>
      <c r="S44" s="41" t="e">
        <f aca="false"/>
        <v>#VALUE!</v>
      </c>
      <c r="T44" s="64" t="e">
        <f aca="false"/>
        <v>#VALUE!</v>
      </c>
    </row>
    <row r="45" customFormat="false" ht="15" hidden="false" customHeight="false" outlineLevel="0" collapsed="false">
      <c r="A45" s="21"/>
      <c r="B45" s="29"/>
      <c r="C45" s="29"/>
      <c r="D45" s="29"/>
      <c r="E45" s="28" t="s">
        <v>232</v>
      </c>
      <c r="F45" s="28"/>
      <c r="G45" s="30" t="e">
        <f aca="false"/>
        <v>#VALUE!</v>
      </c>
      <c r="H45" s="27" t="e">
        <f aca="false"/>
        <v>#VALUE!</v>
      </c>
      <c r="I45" s="27" t="e">
        <f aca="false"/>
        <v>#VALUE!</v>
      </c>
      <c r="J45" s="27" t="e">
        <f aca="false"/>
        <v>#VALUE!</v>
      </c>
      <c r="K45" s="27" t="e">
        <f aca="false"/>
        <v>#VALUE!</v>
      </c>
      <c r="L45" s="27" t="e">
        <f aca="false"/>
        <v>#VALUE!</v>
      </c>
      <c r="M45" s="27" t="e">
        <f aca="false"/>
        <v>#VALUE!</v>
      </c>
      <c r="N45" s="27" t="e">
        <f aca="false"/>
        <v>#VALUE!</v>
      </c>
      <c r="O45" s="27" t="e">
        <f aca="false"/>
        <v>#VALUE!</v>
      </c>
      <c r="P45" s="27" t="e">
        <f aca="false"/>
        <v>#VALUE!</v>
      </c>
      <c r="Q45" s="27"/>
      <c r="R45" s="61" t="n">
        <v>0</v>
      </c>
      <c r="S45" s="27" t="e">
        <f aca="false"/>
        <v>#VALUE!</v>
      </c>
      <c r="T45" s="62" t="e">
        <f aca="false"/>
        <v>#VALUE!</v>
      </c>
    </row>
    <row r="46" customFormat="false" ht="15" hidden="false" customHeight="false" outlineLevel="0" collapsed="false">
      <c r="A46" s="21"/>
      <c r="B46" s="29"/>
      <c r="C46" s="36"/>
      <c r="D46" s="36"/>
      <c r="E46" s="36"/>
      <c r="F46" s="36" t="s">
        <v>10</v>
      </c>
      <c r="G46" s="37" t="e">
        <f aca="false"/>
        <v>#VALUE!</v>
      </c>
      <c r="H46" s="41" t="e">
        <f aca="false"/>
        <v>#VALUE!</v>
      </c>
      <c r="I46" s="41" t="e">
        <f aca="false"/>
        <v>#VALUE!</v>
      </c>
      <c r="J46" s="41" t="e">
        <f aca="false"/>
        <v>#VALUE!</v>
      </c>
      <c r="K46" s="41" t="e">
        <f aca="false"/>
        <v>#VALUE!</v>
      </c>
      <c r="L46" s="41" t="e">
        <f aca="false"/>
        <v>#VALUE!</v>
      </c>
      <c r="M46" s="41" t="e">
        <f aca="false"/>
        <v>#VALUE!</v>
      </c>
      <c r="N46" s="41" t="e">
        <f aca="false"/>
        <v>#VALUE!</v>
      </c>
      <c r="O46" s="41" t="e">
        <f aca="false"/>
        <v>#VALUE!</v>
      </c>
      <c r="P46" s="41" t="e">
        <f aca="false"/>
        <v>#VALUE!</v>
      </c>
      <c r="Q46" s="41"/>
      <c r="R46" s="63" t="n">
        <v>0</v>
      </c>
      <c r="S46" s="41" t="e">
        <f aca="false"/>
        <v>#VALUE!</v>
      </c>
      <c r="T46" s="64" t="e">
        <f aca="false"/>
        <v>#VALUE!</v>
      </c>
    </row>
    <row r="47" customFormat="false" ht="15" hidden="false" customHeight="false" outlineLevel="0" collapsed="false">
      <c r="A47" s="21"/>
      <c r="B47" s="29"/>
      <c r="C47" s="28" t="s">
        <v>9</v>
      </c>
      <c r="D47" s="16"/>
      <c r="E47" s="16"/>
      <c r="F47" s="17"/>
      <c r="G47" s="18" t="e">
        <f aca="false"/>
        <v>#VALUE!</v>
      </c>
      <c r="H47" s="25" t="e">
        <f aca="false"/>
        <v>#VALUE!</v>
      </c>
      <c r="I47" s="25" t="e">
        <f aca="false"/>
        <v>#VALUE!</v>
      </c>
      <c r="J47" s="25" t="e">
        <f aca="false"/>
        <v>#VALUE!</v>
      </c>
      <c r="K47" s="25" t="e">
        <f aca="false"/>
        <v>#VALUE!</v>
      </c>
      <c r="L47" s="25" t="e">
        <f aca="false"/>
        <v>#VALUE!</v>
      </c>
      <c r="M47" s="25" t="e">
        <f aca="false"/>
        <v>#VALUE!</v>
      </c>
      <c r="N47" s="25" t="e">
        <f aca="false"/>
        <v>#VALUE!</v>
      </c>
      <c r="O47" s="25" t="e">
        <f aca="false"/>
        <v>#VALUE!</v>
      </c>
      <c r="P47" s="25" t="e">
        <f aca="false"/>
        <v>#VALUE!</v>
      </c>
      <c r="Q47" s="60" t="n">
        <v>5</v>
      </c>
      <c r="R47" s="60" t="n">
        <v>0</v>
      </c>
      <c r="S47" s="25" t="e">
        <f aca="false"/>
        <v>#VALUE!</v>
      </c>
      <c r="T47" s="59" t="e">
        <f aca="false"/>
        <v>#VALUE!</v>
      </c>
    </row>
    <row r="48" customFormat="false" ht="15" hidden="false" customHeight="false" outlineLevel="0" collapsed="false">
      <c r="A48" s="21"/>
      <c r="B48" s="29"/>
      <c r="C48" s="29"/>
      <c r="D48" s="28" t="s">
        <v>10</v>
      </c>
      <c r="E48" s="16"/>
      <c r="F48" s="17"/>
      <c r="G48" s="18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59"/>
    </row>
    <row r="49" customFormat="false" ht="15" hidden="false" customHeight="false" outlineLevel="0" collapsed="false">
      <c r="A49" s="21"/>
      <c r="B49" s="29"/>
      <c r="C49" s="29"/>
      <c r="D49" s="29"/>
      <c r="E49" s="28" t="s">
        <v>267</v>
      </c>
      <c r="F49" s="28"/>
      <c r="G49" s="30" t="e">
        <f aca="false"/>
        <v>#VALUE!</v>
      </c>
      <c r="H49" s="27" t="e">
        <f aca="false"/>
        <v>#VALUE!</v>
      </c>
      <c r="I49" s="27" t="e">
        <f aca="false"/>
        <v>#VALUE!</v>
      </c>
      <c r="J49" s="27" t="e">
        <f aca="false"/>
        <v>#VALUE!</v>
      </c>
      <c r="K49" s="27" t="e">
        <f aca="false"/>
        <v>#VALUE!</v>
      </c>
      <c r="L49" s="27" t="e">
        <f aca="false"/>
        <v>#VALUE!</v>
      </c>
      <c r="M49" s="27" t="e">
        <f aca="false"/>
        <v>#VALUE!</v>
      </c>
      <c r="N49" s="27" t="e">
        <f aca="false"/>
        <v>#VALUE!</v>
      </c>
      <c r="O49" s="27" t="e">
        <f aca="false"/>
        <v>#VALUE!</v>
      </c>
      <c r="P49" s="27" t="e">
        <f aca="false"/>
        <v>#VALUE!</v>
      </c>
      <c r="Q49" s="27"/>
      <c r="R49" s="61" t="n">
        <v>0</v>
      </c>
      <c r="S49" s="27" t="e">
        <f aca="false"/>
        <v>#VALUE!</v>
      </c>
      <c r="T49" s="62" t="e">
        <f aca="false"/>
        <v>#VALUE!</v>
      </c>
    </row>
    <row r="50" customFormat="false" ht="15" hidden="false" customHeight="false" outlineLevel="0" collapsed="false">
      <c r="A50" s="21"/>
      <c r="B50" s="29"/>
      <c r="C50" s="29"/>
      <c r="D50" s="29"/>
      <c r="E50" s="36"/>
      <c r="F50" s="36" t="s">
        <v>10</v>
      </c>
      <c r="G50" s="37" t="e">
        <f aca="false"/>
        <v>#VALUE!</v>
      </c>
      <c r="H50" s="41" t="e">
        <f aca="false"/>
        <v>#VALUE!</v>
      </c>
      <c r="I50" s="41" t="e">
        <f aca="false"/>
        <v>#VALUE!</v>
      </c>
      <c r="J50" s="41" t="e">
        <f aca="false"/>
        <v>#VALUE!</v>
      </c>
      <c r="K50" s="41" t="e">
        <f aca="false"/>
        <v>#VALUE!</v>
      </c>
      <c r="L50" s="41" t="e">
        <f aca="false"/>
        <v>#VALUE!</v>
      </c>
      <c r="M50" s="41" t="e">
        <f aca="false"/>
        <v>#VALUE!</v>
      </c>
      <c r="N50" s="41" t="e">
        <f aca="false"/>
        <v>#VALUE!</v>
      </c>
      <c r="O50" s="41" t="e">
        <f aca="false"/>
        <v>#VALUE!</v>
      </c>
      <c r="P50" s="41" t="e">
        <f aca="false"/>
        <v>#VALUE!</v>
      </c>
      <c r="Q50" s="41"/>
      <c r="R50" s="63" t="n">
        <v>0</v>
      </c>
      <c r="S50" s="41" t="e">
        <f aca="false"/>
        <v>#VALUE!</v>
      </c>
      <c r="T50" s="64" t="e">
        <f aca="false"/>
        <v>#VALUE!</v>
      </c>
    </row>
    <row r="51" customFormat="false" ht="15" hidden="false" customHeight="false" outlineLevel="0" collapsed="false">
      <c r="A51" s="21"/>
      <c r="B51" s="29"/>
      <c r="C51" s="29"/>
      <c r="D51" s="29"/>
      <c r="E51" s="28" t="s">
        <v>268</v>
      </c>
      <c r="F51" s="28"/>
      <c r="G51" s="30" t="e">
        <f aca="false"/>
        <v>#VALUE!</v>
      </c>
      <c r="H51" s="27" t="e">
        <f aca="false"/>
        <v>#VALUE!</v>
      </c>
      <c r="I51" s="27" t="e">
        <f aca="false"/>
        <v>#VALUE!</v>
      </c>
      <c r="J51" s="27" t="e">
        <f aca="false"/>
        <v>#VALUE!</v>
      </c>
      <c r="K51" s="27" t="e">
        <f aca="false"/>
        <v>#VALUE!</v>
      </c>
      <c r="L51" s="27" t="e">
        <f aca="false"/>
        <v>#VALUE!</v>
      </c>
      <c r="M51" s="27" t="e">
        <f aca="false"/>
        <v>#VALUE!</v>
      </c>
      <c r="N51" s="27" t="e">
        <f aca="false"/>
        <v>#VALUE!</v>
      </c>
      <c r="O51" s="27" t="e">
        <f aca="false"/>
        <v>#VALUE!</v>
      </c>
      <c r="P51" s="27" t="e">
        <f aca="false"/>
        <v>#VALUE!</v>
      </c>
      <c r="Q51" s="61" t="n">
        <v>5</v>
      </c>
      <c r="R51" s="61" t="n">
        <v>0</v>
      </c>
      <c r="S51" s="27" t="e">
        <f aca="false"/>
        <v>#VALUE!</v>
      </c>
      <c r="T51" s="62" t="e">
        <f aca="false"/>
        <v>#VALUE!</v>
      </c>
    </row>
    <row r="52" customFormat="false" ht="15" hidden="false" customHeight="false" outlineLevel="0" collapsed="false">
      <c r="A52" s="26"/>
      <c r="B52" s="36"/>
      <c r="C52" s="36"/>
      <c r="D52" s="36"/>
      <c r="E52" s="36"/>
      <c r="F52" s="36" t="s">
        <v>10</v>
      </c>
      <c r="G52" s="37" t="e">
        <f aca="false"/>
        <v>#VALUE!</v>
      </c>
      <c r="H52" s="41" t="e">
        <f aca="false"/>
        <v>#VALUE!</v>
      </c>
      <c r="I52" s="41" t="e">
        <f aca="false"/>
        <v>#VALUE!</v>
      </c>
      <c r="J52" s="41" t="e">
        <f aca="false"/>
        <v>#VALUE!</v>
      </c>
      <c r="K52" s="41" t="e">
        <f aca="false"/>
        <v>#VALUE!</v>
      </c>
      <c r="L52" s="41" t="e">
        <f aca="false"/>
        <v>#VALUE!</v>
      </c>
      <c r="M52" s="41" t="e">
        <f aca="false"/>
        <v>#VALUE!</v>
      </c>
      <c r="N52" s="41" t="e">
        <f aca="false"/>
        <v>#VALUE!</v>
      </c>
      <c r="O52" s="41" t="e">
        <f aca="false"/>
        <v>#VALUE!</v>
      </c>
      <c r="P52" s="41" t="e">
        <f aca="false"/>
        <v>#VALUE!</v>
      </c>
      <c r="Q52" s="63" t="n">
        <v>5</v>
      </c>
      <c r="R52" s="63" t="n">
        <v>0</v>
      </c>
      <c r="S52" s="41" t="e">
        <f aca="false"/>
        <v>#VALUE!</v>
      </c>
      <c r="T52" s="64" t="e">
        <f aca="false"/>
        <v>#VALUE!</v>
      </c>
    </row>
    <row r="53" customFormat="false" ht="15" hidden="false" customHeight="false" outlineLevel="0" collapsed="false">
      <c r="A53" s="15" t="s">
        <v>233</v>
      </c>
      <c r="B53" s="16"/>
      <c r="C53" s="16"/>
      <c r="D53" s="16"/>
      <c r="E53" s="16"/>
      <c r="F53" s="17"/>
      <c r="G53" s="18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59"/>
    </row>
    <row r="54" customFormat="false" ht="15" hidden="false" customHeight="false" outlineLevel="0" collapsed="false">
      <c r="A54" s="21"/>
      <c r="B54" s="28" t="s">
        <v>10</v>
      </c>
      <c r="C54" s="16"/>
      <c r="D54" s="16"/>
      <c r="E54" s="16"/>
      <c r="F54" s="17"/>
      <c r="G54" s="18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59"/>
    </row>
    <row r="55" customFormat="false" ht="15" hidden="false" customHeight="false" outlineLevel="0" collapsed="false">
      <c r="A55" s="21"/>
      <c r="B55" s="29"/>
      <c r="C55" s="28" t="s">
        <v>210</v>
      </c>
      <c r="D55" s="16"/>
      <c r="E55" s="16"/>
      <c r="F55" s="17"/>
      <c r="G55" s="18" t="e">
        <f aca="false"/>
        <v>#VALUE!</v>
      </c>
      <c r="H55" s="25" t="e">
        <f aca="false"/>
        <v>#VALUE!</v>
      </c>
      <c r="I55" s="25" t="e">
        <f aca="false"/>
        <v>#VALUE!</v>
      </c>
      <c r="J55" s="25" t="e">
        <f aca="false"/>
        <v>#VALUE!</v>
      </c>
      <c r="K55" s="25" t="e">
        <f aca="false"/>
        <v>#VALUE!</v>
      </c>
      <c r="L55" s="25" t="e">
        <f aca="false"/>
        <v>#VALUE!</v>
      </c>
      <c r="M55" s="25" t="e">
        <f aca="false"/>
        <v>#VALUE!</v>
      </c>
      <c r="N55" s="25" t="e">
        <f aca="false"/>
        <v>#VALUE!</v>
      </c>
      <c r="O55" s="25" t="e">
        <f aca="false"/>
        <v>#VALUE!</v>
      </c>
      <c r="P55" s="25" t="e">
        <f aca="false"/>
        <v>#VALUE!</v>
      </c>
      <c r="Q55" s="60" t="n">
        <v>161</v>
      </c>
      <c r="R55" s="60" t="n">
        <v>0</v>
      </c>
      <c r="S55" s="25" t="e">
        <f aca="false"/>
        <v>#VALUE!</v>
      </c>
      <c r="T55" s="59" t="e">
        <f aca="false"/>
        <v>#VALUE!</v>
      </c>
    </row>
    <row r="56" customFormat="false" ht="15" hidden="false" customHeight="false" outlineLevel="0" collapsed="false">
      <c r="A56" s="21"/>
      <c r="B56" s="29"/>
      <c r="C56" s="29"/>
      <c r="D56" s="28" t="s">
        <v>10</v>
      </c>
      <c r="E56" s="16"/>
      <c r="F56" s="17"/>
      <c r="G56" s="18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59"/>
    </row>
    <row r="57" customFormat="false" ht="15" hidden="false" customHeight="false" outlineLevel="0" collapsed="false">
      <c r="A57" s="21"/>
      <c r="B57" s="29"/>
      <c r="C57" s="29"/>
      <c r="D57" s="29"/>
      <c r="E57" s="28" t="s">
        <v>234</v>
      </c>
      <c r="F57" s="28"/>
      <c r="G57" s="30" t="e">
        <f aca="false"/>
        <v>#VALUE!</v>
      </c>
      <c r="H57" s="27" t="e">
        <f aca="false"/>
        <v>#VALUE!</v>
      </c>
      <c r="I57" s="27" t="e">
        <f aca="false"/>
        <v>#VALUE!</v>
      </c>
      <c r="J57" s="27" t="e">
        <f aca="false"/>
        <v>#VALUE!</v>
      </c>
      <c r="K57" s="27" t="e">
        <f aca="false"/>
        <v>#VALUE!</v>
      </c>
      <c r="L57" s="27" t="e">
        <f aca="false"/>
        <v>#VALUE!</v>
      </c>
      <c r="M57" s="27" t="e">
        <f aca="false"/>
        <v>#VALUE!</v>
      </c>
      <c r="N57" s="27" t="e">
        <f aca="false"/>
        <v>#VALUE!</v>
      </c>
      <c r="O57" s="27" t="e">
        <f aca="false"/>
        <v>#VALUE!</v>
      </c>
      <c r="P57" s="27" t="e">
        <f aca="false"/>
        <v>#VALUE!</v>
      </c>
      <c r="Q57" s="27"/>
      <c r="R57" s="61" t="n">
        <v>0</v>
      </c>
      <c r="S57" s="27" t="e">
        <f aca="false"/>
        <v>#VALUE!</v>
      </c>
      <c r="T57" s="62" t="e">
        <f aca="false"/>
        <v>#VALUE!</v>
      </c>
    </row>
    <row r="58" customFormat="false" ht="15" hidden="false" customHeight="false" outlineLevel="0" collapsed="false">
      <c r="A58" s="21"/>
      <c r="B58" s="29"/>
      <c r="C58" s="29"/>
      <c r="D58" s="29"/>
      <c r="E58" s="36"/>
      <c r="F58" s="36" t="s">
        <v>10</v>
      </c>
      <c r="G58" s="37" t="e">
        <f aca="false"/>
        <v>#VALUE!</v>
      </c>
      <c r="H58" s="41" t="e">
        <f aca="false"/>
        <v>#VALUE!</v>
      </c>
      <c r="I58" s="41" t="e">
        <f aca="false"/>
        <v>#VALUE!</v>
      </c>
      <c r="J58" s="41" t="e">
        <f aca="false"/>
        <v>#VALUE!</v>
      </c>
      <c r="K58" s="41" t="e">
        <f aca="false"/>
        <v>#VALUE!</v>
      </c>
      <c r="L58" s="41" t="e">
        <f aca="false"/>
        <v>#VALUE!</v>
      </c>
      <c r="M58" s="41" t="e">
        <f aca="false"/>
        <v>#VALUE!</v>
      </c>
      <c r="N58" s="41" t="e">
        <f aca="false"/>
        <v>#VALUE!</v>
      </c>
      <c r="O58" s="41" t="e">
        <f aca="false"/>
        <v>#VALUE!</v>
      </c>
      <c r="P58" s="41" t="e">
        <f aca="false"/>
        <v>#VALUE!</v>
      </c>
      <c r="Q58" s="41"/>
      <c r="R58" s="63" t="n">
        <v>0</v>
      </c>
      <c r="S58" s="41" t="e">
        <f aca="false"/>
        <v>#VALUE!</v>
      </c>
      <c r="T58" s="64" t="e">
        <f aca="false"/>
        <v>#VALUE!</v>
      </c>
    </row>
    <row r="59" customFormat="false" ht="15" hidden="false" customHeight="false" outlineLevel="0" collapsed="false">
      <c r="A59" s="21"/>
      <c r="B59" s="29"/>
      <c r="C59" s="29"/>
      <c r="D59" s="29"/>
      <c r="E59" s="28" t="s">
        <v>235</v>
      </c>
      <c r="F59" s="28"/>
      <c r="G59" s="30" t="e">
        <f aca="false"/>
        <v>#VALUE!</v>
      </c>
      <c r="H59" s="27" t="e">
        <f aca="false"/>
        <v>#VALUE!</v>
      </c>
      <c r="I59" s="27" t="e">
        <f aca="false"/>
        <v>#VALUE!</v>
      </c>
      <c r="J59" s="27" t="e">
        <f aca="false"/>
        <v>#VALUE!</v>
      </c>
      <c r="K59" s="27" t="e">
        <f aca="false"/>
        <v>#VALUE!</v>
      </c>
      <c r="L59" s="27" t="e">
        <f aca="false"/>
        <v>#VALUE!</v>
      </c>
      <c r="M59" s="27" t="e">
        <f aca="false"/>
        <v>#VALUE!</v>
      </c>
      <c r="N59" s="27" t="e">
        <f aca="false"/>
        <v>#VALUE!</v>
      </c>
      <c r="O59" s="27" t="e">
        <f aca="false"/>
        <v>#VALUE!</v>
      </c>
      <c r="P59" s="27" t="e">
        <f aca="false"/>
        <v>#VALUE!</v>
      </c>
      <c r="Q59" s="61" t="n">
        <v>161</v>
      </c>
      <c r="R59" s="61" t="n">
        <v>0</v>
      </c>
      <c r="S59" s="27" t="e">
        <f aca="false"/>
        <v>#VALUE!</v>
      </c>
      <c r="T59" s="62" t="e">
        <f aca="false"/>
        <v>#VALUE!</v>
      </c>
    </row>
    <row r="60" customFormat="false" ht="15" hidden="false" customHeight="false" outlineLevel="0" collapsed="false">
      <c r="A60" s="26"/>
      <c r="B60" s="36"/>
      <c r="C60" s="36"/>
      <c r="D60" s="36"/>
      <c r="E60" s="36"/>
      <c r="F60" s="36" t="s">
        <v>10</v>
      </c>
      <c r="G60" s="37" t="e">
        <f aca="false"/>
        <v>#VALUE!</v>
      </c>
      <c r="H60" s="41" t="e">
        <f aca="false"/>
        <v>#VALUE!</v>
      </c>
      <c r="I60" s="41" t="e">
        <f aca="false"/>
        <v>#VALUE!</v>
      </c>
      <c r="J60" s="41" t="e">
        <f aca="false"/>
        <v>#VALUE!</v>
      </c>
      <c r="K60" s="41" t="e">
        <f aca="false"/>
        <v>#VALUE!</v>
      </c>
      <c r="L60" s="41" t="e">
        <f aca="false"/>
        <v>#VALUE!</v>
      </c>
      <c r="M60" s="41" t="e">
        <f aca="false"/>
        <v>#VALUE!</v>
      </c>
      <c r="N60" s="41" t="e">
        <f aca="false"/>
        <v>#VALUE!</v>
      </c>
      <c r="O60" s="41" t="e">
        <f aca="false"/>
        <v>#VALUE!</v>
      </c>
      <c r="P60" s="41" t="e">
        <f aca="false"/>
        <v>#VALUE!</v>
      </c>
      <c r="Q60" s="63" t="n">
        <v>161</v>
      </c>
      <c r="R60" s="63" t="n">
        <v>0</v>
      </c>
      <c r="S60" s="41" t="e">
        <f aca="false"/>
        <v>#VALUE!</v>
      </c>
      <c r="T60" s="64" t="e">
        <f aca="false"/>
        <v>#VALUE!</v>
      </c>
    </row>
    <row r="61" customFormat="false" ht="15" hidden="false" customHeight="false" outlineLevel="0" collapsed="false">
      <c r="A61" s="42" t="s">
        <v>236</v>
      </c>
      <c r="B61" s="23"/>
      <c r="C61" s="23"/>
      <c r="D61" s="23"/>
      <c r="E61" s="23"/>
      <c r="F61" s="24"/>
      <c r="G61" s="18" t="e">
        <f aca="false"/>
        <v>#VALUE!</v>
      </c>
      <c r="H61" s="25" t="e">
        <f aca="false"/>
        <v>#VALUE!</v>
      </c>
      <c r="I61" s="25" t="e">
        <f aca="false"/>
        <v>#VALUE!</v>
      </c>
      <c r="J61" s="25" t="e">
        <f aca="false"/>
        <v>#VALUE!</v>
      </c>
      <c r="K61" s="25" t="e">
        <f aca="false"/>
        <v>#VALUE!</v>
      </c>
      <c r="L61" s="25" t="e">
        <f aca="false"/>
        <v>#VALUE!</v>
      </c>
      <c r="M61" s="25" t="e">
        <f aca="false"/>
        <v>#VALUE!</v>
      </c>
      <c r="N61" s="25" t="e">
        <f aca="false"/>
        <v>#VALUE!</v>
      </c>
      <c r="O61" s="25" t="e">
        <f aca="false"/>
        <v>#VALUE!</v>
      </c>
      <c r="P61" s="25" t="e">
        <f aca="false"/>
        <v>#VALUE!</v>
      </c>
      <c r="Q61" s="60" t="n">
        <v>99.38</v>
      </c>
      <c r="R61" s="60" t="n">
        <v>0</v>
      </c>
      <c r="S61" s="25" t="e">
        <f aca="false"/>
        <v>#VALUE!</v>
      </c>
      <c r="T61" s="59" t="e">
        <f aca="false"/>
        <v>#VALUE!</v>
      </c>
    </row>
    <row r="62" customFormat="false" ht="15" hidden="false" customHeight="false" outlineLevel="0" collapsed="false">
      <c r="A62" s="42" t="s">
        <v>237</v>
      </c>
      <c r="B62" s="23"/>
      <c r="C62" s="23"/>
      <c r="D62" s="23"/>
      <c r="E62" s="23"/>
      <c r="F62" s="24"/>
      <c r="G62" s="18" t="e">
        <f aca="false"/>
        <v>#VALUE!</v>
      </c>
      <c r="H62" s="25" t="e">
        <f aca="false"/>
        <v>#VALUE!</v>
      </c>
      <c r="I62" s="25" t="e">
        <f aca="false"/>
        <v>#VALUE!</v>
      </c>
      <c r="J62" s="25" t="e">
        <f aca="false"/>
        <v>#VALUE!</v>
      </c>
      <c r="K62" s="25" t="e">
        <f aca="false"/>
        <v>#VALUE!</v>
      </c>
      <c r="L62" s="25" t="e">
        <f aca="false"/>
        <v>#VALUE!</v>
      </c>
      <c r="M62" s="25" t="e">
        <f aca="false"/>
        <v>#VALUE!</v>
      </c>
      <c r="N62" s="25" t="e">
        <f aca="false"/>
        <v>#VALUE!</v>
      </c>
      <c r="O62" s="25" t="e">
        <f aca="false"/>
        <v>#VALUE!</v>
      </c>
      <c r="P62" s="25" t="e">
        <f aca="false"/>
        <v>#VALUE!</v>
      </c>
      <c r="Q62" s="60" t="n">
        <v>905.55</v>
      </c>
      <c r="R62" s="60" t="n">
        <v>0</v>
      </c>
      <c r="S62" s="25" t="e">
        <f aca="false"/>
        <v>#VALUE!</v>
      </c>
      <c r="T62" s="59" t="e">
        <f aca="false"/>
        <v>#VALUE!</v>
      </c>
    </row>
    <row r="63" customFormat="false" ht="15" hidden="false" customHeight="false" outlineLevel="0" collapsed="false">
      <c r="A63" s="42" t="s">
        <v>238</v>
      </c>
      <c r="B63" s="23"/>
      <c r="C63" s="23"/>
      <c r="D63" s="23"/>
      <c r="E63" s="23"/>
      <c r="F63" s="24"/>
      <c r="G63" s="18" t="e">
        <f aca="false"/>
        <v>#VALUE!</v>
      </c>
      <c r="H63" s="25" t="e">
        <f aca="false"/>
        <v>#VALUE!</v>
      </c>
      <c r="I63" s="25" t="e">
        <f aca="false"/>
        <v>#VALUE!</v>
      </c>
      <c r="J63" s="25" t="e">
        <f aca="false"/>
        <v>#VALUE!</v>
      </c>
      <c r="K63" s="25" t="e">
        <f aca="false"/>
        <v>#VALUE!</v>
      </c>
      <c r="L63" s="25" t="e">
        <f aca="false"/>
        <v>#VALUE!</v>
      </c>
      <c r="M63" s="25" t="e">
        <f aca="false"/>
        <v>#VALUE!</v>
      </c>
      <c r="N63" s="25" t="e">
        <f aca="false"/>
        <v>#VALUE!</v>
      </c>
      <c r="O63" s="25" t="e">
        <f aca="false"/>
        <v>#VALUE!</v>
      </c>
      <c r="P63" s="25" t="e">
        <f aca="false"/>
        <v>#VALUE!</v>
      </c>
      <c r="Q63" s="60" t="n">
        <v>215.51</v>
      </c>
      <c r="R63" s="60" t="n">
        <v>0</v>
      </c>
      <c r="S63" s="25" t="e">
        <f aca="false"/>
        <v>#VALUE!</v>
      </c>
      <c r="T63" s="59" t="e">
        <f aca="false"/>
        <v>#VALUE!</v>
      </c>
    </row>
    <row r="64" customFormat="false" ht="15" hidden="false" customHeight="false" outlineLevel="0" collapsed="false">
      <c r="A64" s="42" t="s">
        <v>239</v>
      </c>
      <c r="B64" s="23"/>
      <c r="C64" s="23"/>
      <c r="D64" s="23"/>
      <c r="E64" s="23"/>
      <c r="F64" s="24"/>
      <c r="G64" s="18" t="e">
        <f aca="false"/>
        <v>#VALUE!</v>
      </c>
      <c r="H64" s="25" t="e">
        <f aca="false"/>
        <v>#VALUE!</v>
      </c>
      <c r="I64" s="25" t="e">
        <f aca="false"/>
        <v>#VALUE!</v>
      </c>
      <c r="J64" s="25" t="e">
        <f aca="false"/>
        <v>#VALUE!</v>
      </c>
      <c r="K64" s="25" t="e">
        <f aca="false"/>
        <v>#VALUE!</v>
      </c>
      <c r="L64" s="25" t="e">
        <f aca="false"/>
        <v>#VALUE!</v>
      </c>
      <c r="M64" s="25" t="e">
        <f aca="false"/>
        <v>#VALUE!</v>
      </c>
      <c r="N64" s="25" t="e">
        <f aca="false"/>
        <v>#VALUE!</v>
      </c>
      <c r="O64" s="25" t="e">
        <f aca="false"/>
        <v>#VALUE!</v>
      </c>
      <c r="P64" s="25" t="e">
        <f aca="false"/>
        <v>#VALUE!</v>
      </c>
      <c r="Q64" s="60" t="n">
        <v>29.95</v>
      </c>
      <c r="R64" s="60" t="n">
        <v>0</v>
      </c>
      <c r="S64" s="25" t="e">
        <f aca="false"/>
        <v>#VALUE!</v>
      </c>
      <c r="T64" s="59" t="e">
        <f aca="false"/>
        <v>#VALUE!</v>
      </c>
    </row>
    <row r="65" customFormat="false" ht="15" hidden="false" customHeight="false" outlineLevel="0" collapsed="false">
      <c r="A65" s="43" t="s">
        <v>11</v>
      </c>
      <c r="B65" s="44"/>
      <c r="C65" s="44"/>
      <c r="D65" s="44"/>
      <c r="E65" s="44"/>
      <c r="F65" s="45"/>
      <c r="G65" s="46" t="e">
        <f aca="false"/>
        <v>#VALUE!</v>
      </c>
      <c r="H65" s="65" t="e">
        <f aca="false"/>
        <v>#VALUE!</v>
      </c>
      <c r="I65" s="65" t="e">
        <f aca="false"/>
        <v>#VALUE!</v>
      </c>
      <c r="J65" s="65" t="e">
        <f aca="false"/>
        <v>#VALUE!</v>
      </c>
      <c r="K65" s="65" t="e">
        <f aca="false"/>
        <v>#VALUE!</v>
      </c>
      <c r="L65" s="65" t="e">
        <f aca="false"/>
        <v>#VALUE!</v>
      </c>
      <c r="M65" s="65" t="e">
        <f aca="false"/>
        <v>#VALUE!</v>
      </c>
      <c r="N65" s="65" t="e">
        <f aca="false"/>
        <v>#VALUE!</v>
      </c>
      <c r="O65" s="65" t="e">
        <f aca="false"/>
        <v>#VALUE!</v>
      </c>
      <c r="P65" s="65" t="e">
        <f aca="false"/>
        <v>#VALUE!</v>
      </c>
      <c r="Q65" s="66" t="n">
        <v>4148.04</v>
      </c>
      <c r="R65" s="66" t="n">
        <v>0</v>
      </c>
      <c r="S65" s="65" t="e">
        <f aca="false"/>
        <v>#VALUE!</v>
      </c>
      <c r="T65" s="67" t="e">
        <f aca="false"/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W1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0" activeCellId="0" sqref="I10"/>
    </sheetView>
  </sheetViews>
  <sheetFormatPr defaultRowHeight="15"/>
  <cols>
    <col collapsed="false" hidden="false" max="1" min="1" style="0" width="15.1376518218623"/>
    <col collapsed="false" hidden="false" max="2" min="2" style="0" width="30.7125506072874"/>
    <col collapsed="false" hidden="false" max="3" min="3" style="0" width="12.8542510121458"/>
    <col collapsed="false" hidden="false" max="4" min="4" style="0" width="12.4251012145749"/>
    <col collapsed="false" hidden="false" max="5" min="5" style="0" width="10.8542510121457"/>
    <col collapsed="false" hidden="false" max="6" min="6" style="0" width="8.1417004048583"/>
    <col collapsed="false" hidden="false" max="8" min="7" style="0" width="8.85425101214575"/>
    <col collapsed="false" hidden="false" max="9" min="9" style="0" width="34.5708502024291"/>
    <col collapsed="false" hidden="false" max="10" min="10" style="0" width="8.71255060728745"/>
    <col collapsed="false" hidden="false" max="11" min="11" style="52" width="12.7125506072875"/>
    <col collapsed="false" hidden="false" max="12" min="12" style="0" width="9.99595141700405"/>
    <col collapsed="false" hidden="false" max="13" min="13" style="52" width="5.71255060728745"/>
    <col collapsed="false" hidden="false" max="15" min="14" style="68" width="35.7125506072874"/>
    <col collapsed="false" hidden="false" max="16" min="16" style="0" width="15.7125506072875"/>
    <col collapsed="false" hidden="false" max="17" min="17" style="0" width="9.1417004048583"/>
    <col collapsed="false" hidden="false" max="18" min="18" style="69" width="7"/>
    <col collapsed="false" hidden="false" max="19" min="19" style="0" width="8.1417004048583"/>
    <col collapsed="false" hidden="false" max="20" min="20" style="0" width="11.1417004048583"/>
    <col collapsed="false" hidden="false" max="21" min="21" style="0" width="8.85425101214575"/>
    <col collapsed="false" hidden="false" max="22" min="22" style="0" width="13.2834008097166"/>
    <col collapsed="false" hidden="false" max="23" min="23" style="0" width="12.1417004048583"/>
    <col collapsed="false" hidden="false" max="40" min="24" style="0" width="10.995951417004"/>
    <col collapsed="false" hidden="false" max="41" min="41" style="0" width="6.71255060728745"/>
    <col collapsed="false" hidden="false" max="42" min="42" style="0" width="8.71255060728745"/>
    <col collapsed="false" hidden="false" max="43" min="43" style="0" width="8.2834008097166"/>
    <col collapsed="false" hidden="false" max="44" min="44" style="0" width="9.4251012145749"/>
    <col collapsed="false" hidden="false" max="1025" min="45" style="0" width="8.71255060728745"/>
  </cols>
  <sheetData>
    <row r="1" customFormat="false" ht="15" hidden="false" customHeight="false" outlineLevel="0" collapsed="false">
      <c r="A1" s="70" t="s">
        <v>269</v>
      </c>
      <c r="B1" s="71" t="n">
        <v>0.2</v>
      </c>
      <c r="K1" s="72" t="s">
        <v>270</v>
      </c>
      <c r="L1" s="73" t="s">
        <v>271</v>
      </c>
      <c r="M1" s="0"/>
      <c r="N1" s="74" t="s">
        <v>272</v>
      </c>
      <c r="O1" s="74" t="s">
        <v>273</v>
      </c>
      <c r="P1" s="0" t="s">
        <v>274</v>
      </c>
      <c r="R1" s="0"/>
      <c r="T1" s="0" t="s">
        <v>275</v>
      </c>
      <c r="U1" s="0" t="s">
        <v>276</v>
      </c>
      <c r="V1" s="0" t="s">
        <v>277</v>
      </c>
      <c r="W1" s="0" t="s">
        <v>278</v>
      </c>
    </row>
    <row r="2" customFormat="false" ht="15" hidden="false" customHeight="false" outlineLevel="0" collapsed="false">
      <c r="A2" s="75" t="s">
        <v>279</v>
      </c>
      <c r="B2" s="76" t="n">
        <f aca="true">TODAY()</f>
        <v>42885</v>
      </c>
      <c r="K2" s="77"/>
      <c r="L2" s="78"/>
      <c r="M2" s="0"/>
      <c r="N2" s="79" t="n">
        <v>42874</v>
      </c>
      <c r="O2" s="79" t="e">
        <f aca="false">Releases[[#this row],[release date]]-WEEKDAY(Releases[[#this row],[release date]],3)</f>
        <v>#VALUE!</v>
      </c>
      <c r="P2" s="80" t="s">
        <v>280</v>
      </c>
      <c r="R2" s="0"/>
      <c r="T2" s="0" t="s">
        <v>281</v>
      </c>
      <c r="U2" s="0" t="s">
        <v>282</v>
      </c>
      <c r="V2" s="52" t="n">
        <v>42878</v>
      </c>
      <c r="W2" s="0" t="n">
        <v>0.408510638297872</v>
      </c>
    </row>
    <row r="3" customFormat="false" ht="15" hidden="false" customHeight="false" outlineLevel="0" collapsed="false">
      <c r="A3" s="75" t="s">
        <v>283</v>
      </c>
      <c r="B3" s="81" t="e">
        <f aca="false">COUNTA(Holydays[holyday])</f>
        <v>#VALUE!</v>
      </c>
      <c r="K3" s="82"/>
      <c r="L3" s="83"/>
      <c r="M3" s="0"/>
      <c r="N3" s="79"/>
      <c r="O3" s="79"/>
      <c r="P3" s="80"/>
      <c r="R3" s="0"/>
      <c r="T3" s="0" t="s">
        <v>284</v>
      </c>
      <c r="U3" s="0" t="s">
        <v>285</v>
      </c>
      <c r="V3" s="52" t="n">
        <v>42877</v>
      </c>
      <c r="W3" s="0" t="n">
        <v>0.680851063829787</v>
      </c>
    </row>
    <row r="4" customFormat="false" ht="15" hidden="false" customHeight="false" outlineLevel="0" collapsed="false">
      <c r="A4" s="75" t="s">
        <v>286</v>
      </c>
      <c r="B4" s="84" t="e">
        <f aca="false">Timeline[[#totals],[working days]]</f>
        <v>#VALUE!</v>
      </c>
      <c r="K4" s="85"/>
      <c r="L4" s="86"/>
      <c r="M4" s="0"/>
      <c r="N4" s="79"/>
      <c r="O4" s="79"/>
      <c r="P4" s="80"/>
      <c r="R4" s="0"/>
      <c r="T4" s="0" t="s">
        <v>287</v>
      </c>
      <c r="U4" s="0" t="s">
        <v>285</v>
      </c>
      <c r="V4" s="52" t="n">
        <v>42878</v>
      </c>
      <c r="W4" s="0" t="n">
        <v>0.676595744680851</v>
      </c>
    </row>
    <row r="5" customFormat="false" ht="15" hidden="false" customHeight="false" outlineLevel="0" collapsed="false">
      <c r="A5" s="75" t="s">
        <v>288</v>
      </c>
      <c r="B5" s="76" t="e">
        <f aca="false">Timeline[[#totals],[last day of work]]</f>
        <v>#VALUE!</v>
      </c>
      <c r="K5" s="87"/>
      <c r="L5" s="88"/>
      <c r="M5" s="0"/>
      <c r="N5" s="79"/>
      <c r="O5" s="79"/>
      <c r="P5" s="80"/>
      <c r="R5" s="0"/>
    </row>
    <row r="6" customFormat="false" ht="15" hidden="false" customHeight="false" outlineLevel="0" collapsed="false">
      <c r="A6" s="75" t="s">
        <v>289</v>
      </c>
      <c r="B6" s="89" t="e">
        <f aca="false">(B5-B2)/30</f>
        <v>#VALUE!</v>
      </c>
      <c r="K6" s="90"/>
      <c r="L6" s="75"/>
      <c r="M6" s="0"/>
      <c r="N6" s="79"/>
      <c r="O6" s="79"/>
      <c r="P6" s="80"/>
      <c r="R6" s="0"/>
    </row>
    <row r="7" customFormat="false" ht="15" hidden="false" customHeight="false" outlineLevel="0" collapsed="false">
      <c r="K7" s="0"/>
      <c r="M7" s="0"/>
      <c r="N7" s="79"/>
      <c r="O7" s="79"/>
      <c r="P7" s="80"/>
      <c r="R7" s="0"/>
    </row>
    <row r="8" customFormat="false" ht="15" hidden="false" customHeight="false" outlineLevel="0" collapsed="false">
      <c r="A8" s="91"/>
      <c r="B8" s="91"/>
      <c r="C8" s="91"/>
      <c r="D8" s="91"/>
      <c r="E8" s="92" t="e">
        <f aca="false">SUM(Activities!L:L)-Timeline[[#totals],[cycle hours  on backlog]]</f>
        <v>#VALUE!</v>
      </c>
      <c r="F8" s="92"/>
      <c r="G8" s="92" t="e">
        <f aca="false">Timeline[[#totals],[total]]-SUM(Activities!N:N)</f>
        <v>#VALUE!</v>
      </c>
      <c r="H8" s="92"/>
      <c r="I8" s="93"/>
      <c r="J8" s="88"/>
      <c r="K8" s="0"/>
      <c r="M8" s="0"/>
      <c r="N8" s="79"/>
      <c r="O8" s="79"/>
      <c r="P8" s="80"/>
      <c r="R8" s="0"/>
    </row>
    <row r="9" s="55" customFormat="true" ht="45" hidden="false" customHeight="false" outlineLevel="0" collapsed="false">
      <c r="A9" s="94" t="s">
        <v>276</v>
      </c>
      <c r="B9" s="94" t="s">
        <v>290</v>
      </c>
      <c r="C9" s="94" t="s">
        <v>291</v>
      </c>
      <c r="D9" s="94" t="s">
        <v>292</v>
      </c>
      <c r="E9" s="94" t="s">
        <v>293</v>
      </c>
      <c r="F9" s="94" t="s">
        <v>269</v>
      </c>
      <c r="G9" s="94" t="s">
        <v>294</v>
      </c>
      <c r="H9" s="94" t="s">
        <v>295</v>
      </c>
      <c r="I9" s="94" t="s">
        <v>296</v>
      </c>
      <c r="J9" s="95"/>
      <c r="K9" s="96"/>
      <c r="L9" s="96"/>
      <c r="M9" s="97"/>
      <c r="N9" s="79"/>
      <c r="O9" s="79"/>
      <c r="P9" s="98"/>
      <c r="R9" s="99"/>
    </row>
    <row r="10" customFormat="false" ht="15" hidden="false" customHeight="false" outlineLevel="0" collapsed="false">
      <c r="A10" s="0" t="s">
        <v>282</v>
      </c>
      <c r="B10" s="100" t="n">
        <v>1</v>
      </c>
      <c r="C10" s="100" t="n">
        <v>8</v>
      </c>
      <c r="D10" s="100" t="n">
        <f aca="false">B10*C10</f>
        <v>8</v>
      </c>
      <c r="E10" s="100" t="e">
        <f aca="false">SUMIFS(IssueTypeVsRoleMapping[cycle on backlog],IssueTypeVsRoleMapping[role],Timeline[[#this row],[role]])</f>
        <v>#VALUE!</v>
      </c>
      <c r="F10" s="100" t="e">
        <f aca="false">Timeline[[#this row],[cycle hours  on backlog]]*$B$1</f>
        <v>#VALUE!</v>
      </c>
      <c r="G10" s="100" t="e">
        <f aca="false">Timeline[[#this row],[cycle hours  on backlog]]+Timeline[[#this row],[risk]]</f>
        <v>#VALUE!</v>
      </c>
      <c r="H10" s="100" t="e">
        <f aca="false">IF(D10=0,0,G10/D10)</f>
        <v>#VALUE!</v>
      </c>
      <c r="I10" s="77" t="e">
        <f aca="false">IF(Timeline[[#this row],[people]]&lt;=0,"",WORKDAY($B$2,Timeline[[#this row],[working days]],Holydays[holyday]))</f>
        <v>#VALUE!</v>
      </c>
      <c r="J10" s="88"/>
      <c r="K10" s="0"/>
      <c r="M10" s="0"/>
      <c r="N10" s="79"/>
      <c r="O10" s="79"/>
      <c r="P10" s="80"/>
      <c r="R10" s="0"/>
    </row>
    <row r="11" customFormat="false" ht="15" hidden="false" customHeight="false" outlineLevel="0" collapsed="false">
      <c r="A11" s="0" t="s">
        <v>285</v>
      </c>
      <c r="B11" s="100" t="n">
        <v>2.5</v>
      </c>
      <c r="C11" s="100" t="n">
        <v>8</v>
      </c>
      <c r="D11" s="100" t="n">
        <f aca="false">B11*C11</f>
        <v>20</v>
      </c>
      <c r="E11" s="100" t="e">
        <f aca="false">SUMIFS(IssueTypeVsRoleMapping[cycle on backlog],IssueTypeVsRoleMapping[role],Timeline[[#this row],[role]])</f>
        <v>#VALUE!</v>
      </c>
      <c r="F11" s="100" t="e">
        <f aca="false">Timeline[[#this row],[cycle hours  on backlog]]*$B$1</f>
        <v>#VALUE!</v>
      </c>
      <c r="G11" s="100" t="e">
        <f aca="false">Timeline[[#this row],[cycle hours  on backlog]]+Timeline[[#this row],[risk]]</f>
        <v>#VALUE!</v>
      </c>
      <c r="H11" s="100" t="e">
        <f aca="false">IF(D11=0,0,G11/D11)</f>
        <v>#VALUE!</v>
      </c>
      <c r="I11" s="77" t="e">
        <f aca="false">IF(Timeline[[#this row],[people]]&lt;=0,"",WORKDAY($B$2,Timeline[[#this row],[working days]],Holydays[holyday]))</f>
        <v>#VALUE!</v>
      </c>
      <c r="J11" s="88"/>
      <c r="K11" s="0"/>
      <c r="M11" s="0"/>
      <c r="N11" s="0"/>
      <c r="O11" s="0"/>
      <c r="R11" s="0"/>
    </row>
    <row r="12" customFormat="false" ht="15" hidden="false" customHeight="false" outlineLevel="0" collapsed="false">
      <c r="B12" s="100"/>
      <c r="C12" s="100"/>
      <c r="D12" s="100" t="n">
        <f aca="false">B12*C12</f>
        <v>0</v>
      </c>
      <c r="E12" s="100" t="e">
        <f aca="false">SUMIFS(IssueTypeVsRoleMapping[cycle on backlog],IssueTypeVsRoleMapping[role],Timeline[[#this row],[role]])</f>
        <v>#VALUE!</v>
      </c>
      <c r="F12" s="100" t="e">
        <f aca="false">Timeline[[#this row],[cycle hours  on backlog]]*$B$1</f>
        <v>#VALUE!</v>
      </c>
      <c r="G12" s="100" t="e">
        <f aca="false">Timeline[[#this row],[cycle hours  on backlog]]+Timeline[[#this row],[risk]]</f>
        <v>#VALUE!</v>
      </c>
      <c r="H12" s="100" t="n">
        <f aca="false">IF(D12=0,0,G12/D12)</f>
        <v>0</v>
      </c>
      <c r="I12" s="77" t="e">
        <f aca="false">IF(Timeline[[#this row],[people]]&lt;=0,"",WORKDAY($B$2,Timeline[[#this row],[working days]],Holydays[holyday]))</f>
        <v>#VALUE!</v>
      </c>
      <c r="J12" s="88"/>
      <c r="K12" s="0"/>
      <c r="M12" s="0"/>
      <c r="N12" s="0"/>
      <c r="O12" s="0"/>
      <c r="R12" s="0"/>
    </row>
    <row r="13" customFormat="false" ht="15" hidden="false" customHeight="false" outlineLevel="0" collapsed="false">
      <c r="B13" s="100"/>
      <c r="C13" s="100"/>
      <c r="D13" s="100" t="n">
        <f aca="false">B13*C13</f>
        <v>0</v>
      </c>
      <c r="E13" s="100" t="e">
        <f aca="false">SUMIFS(IssueTypeVsRoleMapping[cycle on backlog],IssueTypeVsRoleMapping[role],Timeline[[#this row],[role]])</f>
        <v>#VALUE!</v>
      </c>
      <c r="F13" s="100" t="e">
        <f aca="false">Timeline[[#this row],[cycle hours  on backlog]]*$B$1</f>
        <v>#VALUE!</v>
      </c>
      <c r="G13" s="100" t="e">
        <f aca="false">Timeline[[#this row],[cycle hours  on backlog]]+Timeline[[#this row],[risk]]</f>
        <v>#VALUE!</v>
      </c>
      <c r="H13" s="100" t="n">
        <f aca="false">IF(D13=0,0,G13/D13)</f>
        <v>0</v>
      </c>
      <c r="I13" s="77" t="e">
        <f aca="false">IF(Timeline[[#this row],[people]]&lt;=0,"",WORKDAY($B$2,Timeline[[#this row],[working days]],Holydays[holyday]))</f>
        <v>#VALUE!</v>
      </c>
      <c r="J13" s="88"/>
      <c r="K13" s="0"/>
      <c r="M13" s="0"/>
      <c r="N13" s="0"/>
      <c r="O13" s="0"/>
      <c r="R13" s="0"/>
    </row>
    <row r="14" customFormat="false" ht="15" hidden="false" customHeight="false" outlineLevel="0" collapsed="false">
      <c r="B14" s="100"/>
      <c r="C14" s="100"/>
      <c r="D14" s="100" t="n">
        <f aca="false">B14*C14</f>
        <v>0</v>
      </c>
      <c r="E14" s="100" t="e">
        <f aca="false">SUMIFS(IssueTypeVsRoleMapping[cycle on backlog],IssueTypeVsRoleMapping[role],Timeline[[#this row],[role]])</f>
        <v>#VALUE!</v>
      </c>
      <c r="F14" s="100" t="e">
        <f aca="false">Timeline[[#this row],[cycle hours  on backlog]]*$B$1</f>
        <v>#VALUE!</v>
      </c>
      <c r="G14" s="100" t="e">
        <f aca="false">Timeline[[#this row],[cycle hours  on backlog]]+Timeline[[#this row],[risk]]</f>
        <v>#VALUE!</v>
      </c>
      <c r="H14" s="100" t="n">
        <f aca="false">IF(D14=0,0,G14/D14)</f>
        <v>0</v>
      </c>
      <c r="I14" s="77" t="e">
        <f aca="false">IF(Timeline[[#this row],[people]]&lt;=0,"",WORKDAY($B$2,Timeline[[#this row],[working days]],Holydays[holyday]))</f>
        <v>#VALUE!</v>
      </c>
      <c r="J14" s="88"/>
      <c r="K14" s="0"/>
      <c r="M14" s="0"/>
      <c r="N14" s="0"/>
      <c r="O14" s="0"/>
      <c r="R14" s="0"/>
    </row>
    <row r="15" customFormat="false" ht="15" hidden="false" customHeight="false" outlineLevel="0" collapsed="false">
      <c r="B15" s="100"/>
      <c r="C15" s="100"/>
      <c r="D15" s="100" t="n">
        <f aca="false">B15*C15</f>
        <v>0</v>
      </c>
      <c r="E15" s="100" t="e">
        <f aca="false">SUMIFS(IssueTypeVsRoleMapping[cycle on backlog],IssueTypeVsRoleMapping[role],Timeline[[#this row],[role]])</f>
        <v>#VALUE!</v>
      </c>
      <c r="F15" s="100" t="e">
        <f aca="false">Timeline[[#this row],[cycle hours  on backlog]]*$B$1</f>
        <v>#VALUE!</v>
      </c>
      <c r="G15" s="100" t="e">
        <f aca="false">Timeline[[#this row],[cycle hours  on backlog]]+Timeline[[#this row],[risk]]</f>
        <v>#VALUE!</v>
      </c>
      <c r="H15" s="100" t="n">
        <f aca="false">IF(D15=0,0,G15/D15)</f>
        <v>0</v>
      </c>
      <c r="I15" s="77" t="e">
        <f aca="false">IF(Timeline[[#this row],[people]]&lt;=0,"",WORKDAY($B$2,Timeline[[#this row],[working days]],Holydays[holyday]))</f>
        <v>#VALUE!</v>
      </c>
      <c r="J15" s="88"/>
      <c r="K15" s="0"/>
      <c r="M15" s="0"/>
      <c r="N15" s="0"/>
      <c r="O15" s="0"/>
      <c r="R15" s="0"/>
    </row>
    <row r="16" customFormat="false" ht="15" hidden="false" customHeight="false" outlineLevel="0" collapsed="false">
      <c r="A16" s="0" t="s">
        <v>297</v>
      </c>
      <c r="B16" s="101" t="e">
        <f aca="false">SUBTOTAL(109,Timeline[people])</f>
        <v>#VALUE!</v>
      </c>
      <c r="C16" s="101"/>
      <c r="D16" s="101" t="e">
        <f aca="false">SUBTOTAL(109,Timeline[team daily capability])</f>
        <v>#VALUE!</v>
      </c>
      <c r="E16" s="101" t="e">
        <f aca="false">SUBTOTAL(109,Timeline[cycle hours  on backlog])</f>
        <v>#VALUE!</v>
      </c>
      <c r="F16" s="101" t="e">
        <f aca="false">SUBTOTAL(109,Timeline[risk])</f>
        <v>#VALUE!</v>
      </c>
      <c r="G16" s="101" t="e">
        <f aca="false">SUBTOTAL(109,Timeline[total])</f>
        <v>#VALUE!</v>
      </c>
      <c r="H16" s="101" t="e">
        <f aca="false">SUBTOTAL(104,Timeline[working days])</f>
        <v>#VALUE!</v>
      </c>
      <c r="I16" s="77" t="e">
        <f aca="false">SUBTOTAL(104,Timeline[last day of work])</f>
        <v>#VALUE!</v>
      </c>
      <c r="J16" s="75"/>
      <c r="K16" s="0"/>
      <c r="M16" s="0"/>
      <c r="N16" s="0"/>
      <c r="O16" s="0"/>
      <c r="R16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203864"/>
    <pageSetUpPr fitToPage="false"/>
  </sheetPr>
  <dimension ref="A1:J26"/>
  <sheetViews>
    <sheetView windowProtection="false" showFormulas="false" showGridLines="true" showRowColHeaders="true" showZeros="true" rightToLeft="false" tabSelected="false" showOutlineSymbols="true" defaultGridColor="true" view="normal" topLeftCell="A4" colorId="64" zoomScale="115" zoomScaleNormal="115" zoomScalePageLayoutView="100" workbookViewId="0">
      <selection pane="topLeft" activeCell="E26" activeCellId="0" sqref="E26"/>
    </sheetView>
  </sheetViews>
  <sheetFormatPr defaultRowHeight="15"/>
  <cols>
    <col collapsed="false" hidden="false" max="1" min="1" style="0" width="46.4251012145749"/>
    <col collapsed="false" hidden="false" max="2" min="2" style="0" width="18.5748987854251"/>
    <col collapsed="false" hidden="false" max="4" min="3" style="0" width="7.85425101214575"/>
    <col collapsed="false" hidden="false" max="5" min="5" style="0" width="9.57085020242915"/>
    <col collapsed="false" hidden="false" max="6" min="6" style="0" width="7.85425101214575"/>
    <col collapsed="false" hidden="false" max="9" min="7" style="0" width="9.57085020242915"/>
    <col collapsed="false" hidden="false" max="10" min="10" style="0" width="5.85425101214575"/>
    <col collapsed="false" hidden="false" max="13" min="11" style="0" width="7"/>
    <col collapsed="false" hidden="false" max="14" min="14" style="0" width="5.2834008097166"/>
    <col collapsed="false" hidden="false" max="19" min="15" style="0" width="6.2834008097166"/>
    <col collapsed="false" hidden="false" max="22" min="20" style="0" width="7.2834008097166"/>
    <col collapsed="false" hidden="false" max="23" min="23" style="0" width="6.1417004048583"/>
    <col collapsed="false" hidden="false" max="26" min="24" style="0" width="7.2834008097166"/>
    <col collapsed="false" hidden="false" max="28" min="27" style="0" width="6"/>
    <col collapsed="false" hidden="false" max="31" min="29" style="0" width="7.1417004048583"/>
    <col collapsed="false" hidden="false" max="32" min="32" style="0" width="6.2834008097166"/>
    <col collapsed="false" hidden="false" max="34" min="33" style="0" width="7.4251012145749"/>
    <col collapsed="false" hidden="false" max="35" min="35" style="0" width="9.57085020242915"/>
    <col collapsed="false" hidden="false" max="36" min="36" style="0" width="7.2834008097166"/>
    <col collapsed="false" hidden="false" max="38" min="37" style="0" width="6"/>
    <col collapsed="false" hidden="false" max="41" min="39" style="0" width="7.1417004048583"/>
    <col collapsed="false" hidden="false" max="42" min="42" style="0" width="6.2834008097166"/>
    <col collapsed="false" hidden="false" max="45" min="43" style="0" width="7.4251012145749"/>
    <col collapsed="false" hidden="false" max="46" min="46" style="0" width="6.2834008097166"/>
    <col collapsed="false" hidden="false" max="47" min="47" style="0" width="7.2834008097166"/>
    <col collapsed="false" hidden="false" max="48" min="48" style="0" width="9.57085020242915"/>
    <col collapsed="false" hidden="false" max="72" min="49" style="0" width="6.2834008097166"/>
    <col collapsed="false" hidden="false" max="1025" min="73" style="0" width="8.85425101214575"/>
  </cols>
  <sheetData>
    <row r="1" customFormat="false" ht="15" hidden="false" customHeight="false" outlineLevel="0" collapsed="false">
      <c r="A1" s="2" t="s">
        <v>298</v>
      </c>
      <c r="B1" s="3" t="s">
        <v>1</v>
      </c>
    </row>
    <row r="2" customFormat="false" ht="15" hidden="false" customHeight="false" outlineLevel="0" collapsed="false">
      <c r="A2" s="2" t="s">
        <v>276</v>
      </c>
      <c r="B2" s="3" t="s">
        <v>1</v>
      </c>
      <c r="J2" s="102"/>
    </row>
    <row r="3" s="103" customFormat="true" ht="15" hidden="false" customHeight="false" outlineLevel="0" collapsed="false">
      <c r="A3" s="2" t="s">
        <v>299</v>
      </c>
      <c r="B3" s="3" t="s">
        <v>1</v>
      </c>
      <c r="C3" s="0"/>
      <c r="D3" s="0"/>
      <c r="E3" s="0"/>
      <c r="F3" s="0"/>
      <c r="G3" s="0"/>
    </row>
    <row r="4" customFormat="false" ht="65.25" hidden="false" customHeight="false" outlineLevel="0" collapsed="false"/>
    <row r="5" customFormat="false" ht="13.8" hidden="false" customHeight="false" outlineLevel="0" collapsed="false">
      <c r="A5" s="4" t="s">
        <v>300</v>
      </c>
      <c r="B5" s="5"/>
      <c r="C5" s="6"/>
      <c r="D5" s="7" t="s">
        <v>273</v>
      </c>
      <c r="E5" s="8"/>
      <c r="F5" s="8"/>
      <c r="G5" s="9"/>
    </row>
    <row r="6" s="107" customFormat="true" ht="13.8" hidden="false" customHeight="false" outlineLevel="0" collapsed="false">
      <c r="A6" s="10" t="s">
        <v>301</v>
      </c>
      <c r="B6" s="11" t="s">
        <v>302</v>
      </c>
      <c r="C6" s="11" t="s">
        <v>303</v>
      </c>
      <c r="D6" s="104" t="s">
        <v>9</v>
      </c>
      <c r="E6" s="105" t="n">
        <v>42870</v>
      </c>
      <c r="F6" s="105" t="n">
        <v>42877</v>
      </c>
      <c r="G6" s="106" t="s">
        <v>11</v>
      </c>
    </row>
    <row r="7" customFormat="false" ht="13.8" hidden="false" customHeight="false" outlineLevel="0" collapsed="false">
      <c r="A7" s="42" t="s">
        <v>9</v>
      </c>
      <c r="B7" s="23"/>
      <c r="C7" s="24"/>
      <c r="D7" s="18"/>
      <c r="E7" s="25"/>
      <c r="F7" s="19"/>
      <c r="G7" s="20"/>
    </row>
    <row r="8" customFormat="false" ht="13.8" hidden="false" customHeight="false" outlineLevel="0" collapsed="false">
      <c r="A8" s="15" t="s">
        <v>12</v>
      </c>
      <c r="B8" s="16"/>
      <c r="C8" s="17"/>
      <c r="D8" s="27"/>
      <c r="E8" s="27"/>
      <c r="F8" s="27"/>
      <c r="G8" s="20"/>
    </row>
    <row r="9" customFormat="false" ht="13.8" hidden="false" customHeight="false" outlineLevel="0" collapsed="false">
      <c r="A9" s="21"/>
      <c r="B9" s="28" t="s">
        <v>304</v>
      </c>
      <c r="C9" s="28"/>
      <c r="D9" s="30"/>
      <c r="E9" s="27"/>
      <c r="F9" s="31"/>
      <c r="G9" s="32"/>
    </row>
    <row r="10" customFormat="false" ht="13.8" hidden="false" customHeight="false" outlineLevel="0" collapsed="false">
      <c r="A10" s="21"/>
      <c r="B10" s="29"/>
      <c r="C10" s="29" t="s">
        <v>13</v>
      </c>
      <c r="D10" s="33"/>
      <c r="E10" s="108" t="n">
        <v>0.765957446808511</v>
      </c>
      <c r="F10" s="34"/>
      <c r="G10" s="109" t="n">
        <v>0.765957446808511</v>
      </c>
    </row>
    <row r="11" customFormat="false" ht="13.8" hidden="false" customHeight="false" outlineLevel="0" collapsed="false">
      <c r="A11" s="21"/>
      <c r="B11" s="29"/>
      <c r="C11" s="29" t="s">
        <v>16</v>
      </c>
      <c r="D11" s="33"/>
      <c r="E11" s="108" t="n">
        <v>0.382978723404255</v>
      </c>
      <c r="F11" s="34"/>
      <c r="G11" s="109" t="n">
        <v>0.382978723404255</v>
      </c>
    </row>
    <row r="12" customFormat="false" ht="13.8" hidden="false" customHeight="false" outlineLevel="0" collapsed="false">
      <c r="A12" s="21"/>
      <c r="B12" s="36"/>
      <c r="C12" s="36" t="s">
        <v>15</v>
      </c>
      <c r="D12" s="37"/>
      <c r="E12" s="110" t="n">
        <v>0.382978723404255</v>
      </c>
      <c r="F12" s="38"/>
      <c r="G12" s="111" t="n">
        <v>0.382978723404255</v>
      </c>
    </row>
    <row r="13" customFormat="false" ht="13.8" hidden="false" customHeight="false" outlineLevel="0" collapsed="false">
      <c r="A13" s="21"/>
      <c r="B13" s="28" t="s">
        <v>305</v>
      </c>
      <c r="C13" s="28"/>
      <c r="D13" s="27"/>
      <c r="E13" s="27"/>
      <c r="F13" s="27"/>
      <c r="G13" s="32"/>
    </row>
    <row r="14" customFormat="false" ht="13.8" hidden="false" customHeight="false" outlineLevel="0" collapsed="false">
      <c r="A14" s="21"/>
      <c r="B14" s="36"/>
      <c r="C14" s="36" t="s">
        <v>17</v>
      </c>
      <c r="D14" s="41"/>
      <c r="E14" s="110" t="n">
        <v>0.238297872340426</v>
      </c>
      <c r="F14" s="110" t="n">
        <v>0.144680851063829</v>
      </c>
      <c r="G14" s="111" t="n">
        <v>0.382978723404255</v>
      </c>
    </row>
    <row r="15" customFormat="false" ht="13.8" hidden="false" customHeight="false" outlineLevel="0" collapsed="false">
      <c r="A15" s="21"/>
      <c r="B15" s="28" t="s">
        <v>306</v>
      </c>
      <c r="C15" s="28"/>
      <c r="D15" s="30"/>
      <c r="E15" s="27"/>
      <c r="F15" s="31"/>
      <c r="G15" s="32"/>
    </row>
    <row r="16" customFormat="false" ht="13.8" hidden="false" customHeight="false" outlineLevel="0" collapsed="false">
      <c r="A16" s="26"/>
      <c r="B16" s="36"/>
      <c r="C16" s="36" t="s">
        <v>16</v>
      </c>
      <c r="D16" s="37"/>
      <c r="E16" s="110" t="n">
        <v>1.53191489361702</v>
      </c>
      <c r="F16" s="38"/>
      <c r="G16" s="111" t="n">
        <v>1.53191489361702</v>
      </c>
    </row>
    <row r="17" customFormat="false" ht="13.8" hidden="false" customHeight="false" outlineLevel="0" collapsed="false">
      <c r="A17" s="15" t="s">
        <v>18</v>
      </c>
      <c r="B17" s="16"/>
      <c r="C17" s="17"/>
      <c r="D17" s="27"/>
      <c r="E17" s="27"/>
      <c r="F17" s="27"/>
      <c r="G17" s="20"/>
    </row>
    <row r="18" customFormat="false" ht="13.8" hidden="false" customHeight="false" outlineLevel="0" collapsed="false">
      <c r="A18" s="21"/>
      <c r="B18" s="28" t="s">
        <v>304</v>
      </c>
      <c r="C18" s="28"/>
      <c r="D18" s="30"/>
      <c r="E18" s="27"/>
      <c r="F18" s="31"/>
      <c r="G18" s="32"/>
    </row>
    <row r="19" customFormat="false" ht="13.8" hidden="false" customHeight="false" outlineLevel="0" collapsed="false">
      <c r="A19" s="21"/>
      <c r="B19" s="29"/>
      <c r="C19" s="29" t="s">
        <v>15</v>
      </c>
      <c r="D19" s="33"/>
      <c r="E19" s="108" t="n">
        <v>0.153191489361702</v>
      </c>
      <c r="F19" s="112" t="n">
        <v>0.229787234042553</v>
      </c>
      <c r="G19" s="109" t="n">
        <v>0.382978723404255</v>
      </c>
    </row>
    <row r="20" customFormat="false" ht="13.8" hidden="false" customHeight="false" outlineLevel="0" collapsed="false">
      <c r="A20" s="21"/>
      <c r="B20" s="36"/>
      <c r="C20" s="36" t="s">
        <v>20</v>
      </c>
      <c r="D20" s="37"/>
      <c r="E20" s="110" t="n">
        <v>1.61702127659574</v>
      </c>
      <c r="F20" s="113" t="n">
        <v>1.25531914893617</v>
      </c>
      <c r="G20" s="111" t="n">
        <v>2.87234042553191</v>
      </c>
    </row>
    <row r="21" customFormat="false" ht="13.8" hidden="false" customHeight="false" outlineLevel="0" collapsed="false">
      <c r="A21" s="21"/>
      <c r="B21" s="28" t="s">
        <v>305</v>
      </c>
      <c r="C21" s="28"/>
      <c r="D21" s="27"/>
      <c r="E21" s="27"/>
      <c r="F21" s="27"/>
      <c r="G21" s="32"/>
    </row>
    <row r="22" customFormat="false" ht="13.8" hidden="false" customHeight="false" outlineLevel="0" collapsed="false">
      <c r="A22" s="21"/>
      <c r="B22" s="29"/>
      <c r="C22" s="29" t="s">
        <v>13</v>
      </c>
      <c r="D22" s="40"/>
      <c r="E22" s="108" t="n">
        <v>0.536170212765957</v>
      </c>
      <c r="F22" s="108" t="n">
        <v>0.229787234042553</v>
      </c>
      <c r="G22" s="109" t="n">
        <v>0.765957446808511</v>
      </c>
    </row>
    <row r="23" customFormat="false" ht="13.8" hidden="false" customHeight="false" outlineLevel="0" collapsed="false">
      <c r="A23" s="21"/>
      <c r="B23" s="36"/>
      <c r="C23" s="36" t="s">
        <v>16</v>
      </c>
      <c r="D23" s="41"/>
      <c r="E23" s="110" t="n">
        <v>0.391489361702128</v>
      </c>
      <c r="F23" s="110" t="n">
        <v>1.14042553191489</v>
      </c>
      <c r="G23" s="111" t="n">
        <v>1.53191489361702</v>
      </c>
    </row>
    <row r="24" customFormat="false" ht="13.8" hidden="false" customHeight="false" outlineLevel="0" collapsed="false">
      <c r="A24" s="21"/>
      <c r="B24" s="28" t="s">
        <v>307</v>
      </c>
      <c r="C24" s="28"/>
      <c r="D24" s="30"/>
      <c r="E24" s="27"/>
      <c r="F24" s="31"/>
      <c r="G24" s="32"/>
    </row>
    <row r="25" customFormat="false" ht="13.8" hidden="false" customHeight="false" outlineLevel="0" collapsed="false">
      <c r="A25" s="26"/>
      <c r="B25" s="36"/>
      <c r="C25" s="36" t="s">
        <v>15</v>
      </c>
      <c r="D25" s="37"/>
      <c r="E25" s="41"/>
      <c r="F25" s="113" t="n">
        <v>0.765957446808511</v>
      </c>
      <c r="G25" s="111" t="n">
        <v>0.765957446808511</v>
      </c>
    </row>
    <row r="26" customFormat="false" ht="13.8" hidden="false" customHeight="false" outlineLevel="0" collapsed="false">
      <c r="A26" s="43" t="s">
        <v>11</v>
      </c>
      <c r="B26" s="44"/>
      <c r="C26" s="45"/>
      <c r="D26" s="46"/>
      <c r="E26" s="114" t="n">
        <v>6</v>
      </c>
      <c r="F26" s="115" t="n">
        <v>3.76595744680851</v>
      </c>
      <c r="G26" s="116" t="n">
        <v>9.76595744680851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7C7C7C"/>
    <pageSetUpPr fitToPage="false"/>
  </sheetPr>
  <dimension ref="A1:M32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15" zoomScaleNormal="115" zoomScalePageLayoutView="100" workbookViewId="0">
      <selection pane="topLeft" activeCell="E30" activeCellId="0" sqref="E30"/>
    </sheetView>
  </sheetViews>
  <sheetFormatPr defaultRowHeight="15"/>
  <cols>
    <col collapsed="false" hidden="false" max="1" min="1" style="0" width="23.2793522267206"/>
    <col collapsed="false" hidden="false" max="2" min="2" style="0" width="10.7125506072875"/>
    <col collapsed="false" hidden="false" max="3" min="3" style="0" width="28.8582995951417"/>
    <col collapsed="false" hidden="false" max="4" min="4" style="0" width="16.5668016194332"/>
    <col collapsed="false" hidden="false" max="5" min="5" style="0" width="14.5668016194332"/>
    <col collapsed="false" hidden="false" max="6" min="6" style="117" width="20.004048582996"/>
    <col collapsed="false" hidden="false" max="7" min="7" style="118" width="17.2834008097166"/>
    <col collapsed="false" hidden="false" max="8" min="8" style="118" width="17.5668016194332"/>
    <col collapsed="false" hidden="false" max="9" min="9" style="0" width="8.57085020242915"/>
    <col collapsed="false" hidden="false" max="11" min="11" style="0" width="31.1417004048583"/>
    <col collapsed="false" hidden="false" max="12" min="12" style="0" width="23"/>
  </cols>
  <sheetData>
    <row r="1" s="119" customFormat="true" ht="15" hidden="false" customHeight="false" outlineLevel="0" collapsed="false">
      <c r="A1" s="119" t="s">
        <v>308</v>
      </c>
      <c r="B1" s="119" t="s">
        <v>309</v>
      </c>
      <c r="C1" s="119" t="s">
        <v>310</v>
      </c>
      <c r="D1" s="119" t="s">
        <v>276</v>
      </c>
      <c r="E1" s="119" t="s">
        <v>311</v>
      </c>
      <c r="F1" s="120" t="s">
        <v>312</v>
      </c>
      <c r="G1" s="118" t="s">
        <v>313</v>
      </c>
      <c r="H1" s="118" t="s">
        <v>314</v>
      </c>
      <c r="I1" s="119" t="s">
        <v>315</v>
      </c>
      <c r="K1" s="2" t="s">
        <v>308</v>
      </c>
      <c r="L1" s="3" t="s">
        <v>1</v>
      </c>
      <c r="M1" s="0"/>
    </row>
    <row r="2" customFormat="false" ht="15" hidden="false" customHeight="false" outlineLevel="0" collapsed="false">
      <c r="A2" s="121" t="s">
        <v>316</v>
      </c>
      <c r="B2" s="122" t="str">
        <f aca="false">IF(ISERROR(FIND("Ballpark",C2)), "Plan", "Ballpark")</f>
        <v>Ballpark</v>
      </c>
      <c r="C2" s="122" t="s">
        <v>317</v>
      </c>
      <c r="D2" s="0" t="s">
        <v>285</v>
      </c>
      <c r="E2" s="123" t="n">
        <v>1</v>
      </c>
      <c r="F2" s="124" t="e">
        <f aca="false">SUMIFS(IssueTypeVsRoleMapping[role allocation],IssueTypeVsRoleMapping[issue type],IssueTypeVsRoleMapping[[#this row],[issue type]])</f>
        <v>#VALUE!</v>
      </c>
      <c r="G2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" s="126"/>
    </row>
    <row r="3" customFormat="false" ht="14.9" hidden="false" customHeight="false" outlineLevel="0" collapsed="false">
      <c r="A3" s="121" t="s">
        <v>316</v>
      </c>
      <c r="B3" s="122" t="str">
        <f aca="false">IF(ISERROR(FIND("Ballpark",C3)), "Plan", "Ballpark")</f>
        <v>Ballpark</v>
      </c>
      <c r="C3" s="122" t="s">
        <v>318</v>
      </c>
      <c r="D3" s="0" t="s">
        <v>285</v>
      </c>
      <c r="E3" s="123" t="n">
        <v>0.2</v>
      </c>
      <c r="F3" s="124" t="e">
        <f aca="false">SUMIFS(IssueTypeVsRoleMapping[role allocation],IssueTypeVsRoleMapping[issue type],IssueTypeVsRoleMapping[[#this row],[issue type]])</f>
        <v>#VALUE!</v>
      </c>
      <c r="G3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3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3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3" s="126"/>
      <c r="K3" s="127" t="s">
        <v>309</v>
      </c>
      <c r="L3" s="7" t="s">
        <v>310</v>
      </c>
      <c r="M3" s="128" t="s">
        <v>319</v>
      </c>
    </row>
    <row r="4" customFormat="false" ht="14.9" hidden="false" customHeight="false" outlineLevel="0" collapsed="false">
      <c r="A4" s="121" t="s">
        <v>316</v>
      </c>
      <c r="B4" s="122" t="str">
        <f aca="false">IF(ISERROR(FIND("Ballpark",C4)), "Plan", "Ballpark")</f>
        <v>Ballpark</v>
      </c>
      <c r="C4" s="122" t="s">
        <v>318</v>
      </c>
      <c r="D4" s="0" t="s">
        <v>282</v>
      </c>
      <c r="E4" s="123" t="n">
        <v>0.8</v>
      </c>
      <c r="F4" s="124" t="e">
        <f aca="false">SUMIFS(IssueTypeVsRoleMapping[role allocation],IssueTypeVsRoleMapping[issue type],IssueTypeVsRoleMapping[[#this row],[issue type]])</f>
        <v>#VALUE!</v>
      </c>
      <c r="G4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4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4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4" s="126"/>
      <c r="K4" s="15" t="s">
        <v>320</v>
      </c>
      <c r="L4" s="28"/>
      <c r="M4" s="129"/>
    </row>
    <row r="5" customFormat="false" ht="14.9" hidden="false" customHeight="false" outlineLevel="0" collapsed="false">
      <c r="A5" s="121" t="s">
        <v>316</v>
      </c>
      <c r="B5" s="122" t="str">
        <f aca="false">IF(ISERROR(FIND("Ballpark",C5)), "Plan", "Ballpark")</f>
        <v>Ballpark</v>
      </c>
      <c r="C5" s="122" t="s">
        <v>321</v>
      </c>
      <c r="D5" s="0" t="s">
        <v>285</v>
      </c>
      <c r="E5" s="123" t="n">
        <v>0.7</v>
      </c>
      <c r="F5" s="124" t="e">
        <f aca="false">SUMIFS(IssueTypeVsRoleMapping[role allocation],IssueTypeVsRoleMapping[issue type],IssueTypeVsRoleMapping[[#this row],[issue type]])</f>
        <v>#VALUE!</v>
      </c>
      <c r="G5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5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5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5" s="126"/>
      <c r="K5" s="21"/>
      <c r="L5" s="29" t="s">
        <v>317</v>
      </c>
      <c r="M5" s="130" t="e">
        <f aca="false"/>
        <v>#VALUE!</v>
      </c>
    </row>
    <row r="6" customFormat="false" ht="14.9" hidden="false" customHeight="false" outlineLevel="0" collapsed="false">
      <c r="A6" s="121" t="s">
        <v>316</v>
      </c>
      <c r="B6" s="122" t="str">
        <f aca="false">IF(ISERROR(FIND("Ballpark",C6)), "Plan", "Ballpark")</f>
        <v>Ballpark</v>
      </c>
      <c r="C6" s="122" t="s">
        <v>321</v>
      </c>
      <c r="D6" s="0" t="s">
        <v>282</v>
      </c>
      <c r="E6" s="123" t="n">
        <v>0.3</v>
      </c>
      <c r="F6" s="124" t="e">
        <f aca="false">SUMIFS(IssueTypeVsRoleMapping[role allocation],IssueTypeVsRoleMapping[issue type],IssueTypeVsRoleMapping[[#this row],[issue type]])</f>
        <v>#VALUE!</v>
      </c>
      <c r="G6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6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6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6" s="126"/>
      <c r="K6" s="21"/>
      <c r="L6" s="29" t="s">
        <v>318</v>
      </c>
      <c r="M6" s="130" t="e">
        <f aca="false"/>
        <v>#VALUE!</v>
      </c>
    </row>
    <row r="7" customFormat="false" ht="14.9" hidden="false" customHeight="false" outlineLevel="0" collapsed="false">
      <c r="A7" s="121" t="s">
        <v>316</v>
      </c>
      <c r="B7" s="122" t="str">
        <f aca="false">IF(ISERROR(FIND("Ballpark",C7)), "Plan", "Ballpark")</f>
        <v>Ballpark</v>
      </c>
      <c r="C7" s="122" t="s">
        <v>322</v>
      </c>
      <c r="D7" s="0" t="s">
        <v>285</v>
      </c>
      <c r="E7" s="123" t="n">
        <v>0.7</v>
      </c>
      <c r="F7" s="124" t="e">
        <f aca="false">SUMIFS(IssueTypeVsRoleMapping[role allocation],IssueTypeVsRoleMapping[issue type],IssueTypeVsRoleMapping[[#this row],[issue type]])</f>
        <v>#VALUE!</v>
      </c>
      <c r="G7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7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7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7" s="126"/>
      <c r="K7" s="21"/>
      <c r="L7" s="29" t="s">
        <v>321</v>
      </c>
      <c r="M7" s="130" t="e">
        <f aca="false"/>
        <v>#VALUE!</v>
      </c>
    </row>
    <row r="8" customFormat="false" ht="14.9" hidden="false" customHeight="false" outlineLevel="0" collapsed="false">
      <c r="A8" s="121" t="s">
        <v>316</v>
      </c>
      <c r="B8" s="122" t="str">
        <f aca="false">IF(ISERROR(FIND("Ballpark",C8)), "Plan", "Ballpark")</f>
        <v>Ballpark</v>
      </c>
      <c r="C8" s="122" t="s">
        <v>322</v>
      </c>
      <c r="D8" s="0" t="s">
        <v>282</v>
      </c>
      <c r="E8" s="123" t="n">
        <v>0.3</v>
      </c>
      <c r="F8" s="124" t="e">
        <f aca="false">SUMIFS(IssueTypeVsRoleMapping[role allocation],IssueTypeVsRoleMapping[issue type],IssueTypeVsRoleMapping[[#this row],[issue type]])</f>
        <v>#VALUE!</v>
      </c>
      <c r="G8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8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8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8" s="126"/>
      <c r="K8" s="21"/>
      <c r="L8" s="29" t="s">
        <v>322</v>
      </c>
      <c r="M8" s="130" t="e">
        <f aca="false"/>
        <v>#VALUE!</v>
      </c>
    </row>
    <row r="9" customFormat="false" ht="14.9" hidden="false" customHeight="false" outlineLevel="0" collapsed="false">
      <c r="A9" s="121" t="s">
        <v>316</v>
      </c>
      <c r="B9" s="122" t="str">
        <f aca="false">IF(ISERROR(FIND("Ballpark",C9)), "Plan", "Ballpark")</f>
        <v>Ballpark</v>
      </c>
      <c r="C9" s="122" t="s">
        <v>323</v>
      </c>
      <c r="D9" s="0" t="s">
        <v>282</v>
      </c>
      <c r="E9" s="123" t="n">
        <v>1</v>
      </c>
      <c r="F9" s="124" t="e">
        <f aca="false">SUMIFS(IssueTypeVsRoleMapping[role allocation],IssueTypeVsRoleMapping[issue type],IssueTypeVsRoleMapping[[#this row],[issue type]])</f>
        <v>#VALUE!</v>
      </c>
      <c r="G9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9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9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9" s="126"/>
      <c r="K9" s="21"/>
      <c r="L9" s="29" t="s">
        <v>323</v>
      </c>
      <c r="M9" s="130" t="e">
        <f aca="false"/>
        <v>#VALUE!</v>
      </c>
    </row>
    <row r="10" customFormat="false" ht="14.9" hidden="false" customHeight="false" outlineLevel="0" collapsed="false">
      <c r="A10" s="121" t="s">
        <v>316</v>
      </c>
      <c r="B10" s="122" t="str">
        <f aca="false">IF(ISERROR(FIND("Ballpark",C10)), "Plan", "Ballpark")</f>
        <v>Ballpark</v>
      </c>
      <c r="C10" s="122" t="s">
        <v>324</v>
      </c>
      <c r="D10" s="0" t="s">
        <v>285</v>
      </c>
      <c r="E10" s="123" t="n">
        <v>0.3</v>
      </c>
      <c r="F10" s="124" t="e">
        <f aca="false">SUMIFS(IssueTypeVsRoleMapping[role allocation],IssueTypeVsRoleMapping[issue type],IssueTypeVsRoleMapping[[#this row],[issue type]])</f>
        <v>#VALUE!</v>
      </c>
      <c r="G10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0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0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0" s="126"/>
      <c r="K10" s="21"/>
      <c r="L10" s="29" t="s">
        <v>324</v>
      </c>
      <c r="M10" s="130" t="e">
        <f aca="false"/>
        <v>#VALUE!</v>
      </c>
    </row>
    <row r="11" customFormat="false" ht="14.9" hidden="false" customHeight="false" outlineLevel="0" collapsed="false">
      <c r="A11" s="121" t="s">
        <v>316</v>
      </c>
      <c r="B11" s="122" t="str">
        <f aca="false">IF(ISERROR(FIND("Ballpark",C11)), "Plan", "Ballpark")</f>
        <v>Ballpark</v>
      </c>
      <c r="C11" s="122" t="s">
        <v>324</v>
      </c>
      <c r="D11" s="0" t="s">
        <v>282</v>
      </c>
      <c r="E11" s="123" t="n">
        <v>0.7</v>
      </c>
      <c r="F11" s="124" t="e">
        <f aca="false">SUMIFS(IssueTypeVsRoleMapping[role allocation],IssueTypeVsRoleMapping[issue type],IssueTypeVsRoleMapping[[#this row],[issue type]])</f>
        <v>#VALUE!</v>
      </c>
      <c r="G11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1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1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1" s="126"/>
      <c r="K11" s="21"/>
      <c r="L11" s="29" t="s">
        <v>325</v>
      </c>
      <c r="M11" s="130" t="e">
        <f aca="false"/>
        <v>#VALUE!</v>
      </c>
    </row>
    <row r="12" customFormat="false" ht="14.9" hidden="false" customHeight="false" outlineLevel="0" collapsed="false">
      <c r="A12" s="121" t="s">
        <v>316</v>
      </c>
      <c r="B12" s="122" t="str">
        <f aca="false">IF(ISERROR(FIND("Ballpark",C12)), "Plan", "Ballpark")</f>
        <v>Ballpark</v>
      </c>
      <c r="C12" s="122" t="s">
        <v>325</v>
      </c>
      <c r="D12" s="0" t="s">
        <v>285</v>
      </c>
      <c r="E12" s="123" t="n">
        <v>0.7</v>
      </c>
      <c r="F12" s="124" t="e">
        <f aca="false">SUMIFS(IssueTypeVsRoleMapping[role allocation],IssueTypeVsRoleMapping[issue type],IssueTypeVsRoleMapping[[#this row],[issue type]])</f>
        <v>#VALUE!</v>
      </c>
      <c r="G12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2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2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2" s="126"/>
      <c r="K12" s="26"/>
      <c r="L12" s="36" t="s">
        <v>326</v>
      </c>
      <c r="M12" s="131" t="e">
        <f aca="false"/>
        <v>#VALUE!</v>
      </c>
    </row>
    <row r="13" customFormat="false" ht="14.9" hidden="false" customHeight="false" outlineLevel="0" collapsed="false">
      <c r="A13" s="121" t="s">
        <v>316</v>
      </c>
      <c r="B13" s="122" t="str">
        <f aca="false">IF(ISERROR(FIND("Ballpark",C13)), "Plan", "Ballpark")</f>
        <v>Ballpark</v>
      </c>
      <c r="C13" s="122" t="s">
        <v>325</v>
      </c>
      <c r="D13" s="0" t="s">
        <v>282</v>
      </c>
      <c r="E13" s="123" t="n">
        <v>0.3</v>
      </c>
      <c r="F13" s="124" t="e">
        <f aca="false">SUMIFS(IssueTypeVsRoleMapping[role allocation],IssueTypeVsRoleMapping[issue type],IssueTypeVsRoleMapping[[#this row],[issue type]])</f>
        <v>#VALUE!</v>
      </c>
      <c r="G13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3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3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3" s="126"/>
      <c r="K13" s="15" t="s">
        <v>327</v>
      </c>
      <c r="L13" s="28"/>
      <c r="M13" s="129"/>
    </row>
    <row r="14" customFormat="false" ht="14.9" hidden="false" customHeight="false" outlineLevel="0" collapsed="false">
      <c r="A14" s="121" t="s">
        <v>316</v>
      </c>
      <c r="B14" s="122" t="str">
        <f aca="false">IF(ISERROR(FIND("Ballpark",C14)), "Plan", "Ballpark")</f>
        <v>Ballpark</v>
      </c>
      <c r="C14" s="122" t="s">
        <v>326</v>
      </c>
      <c r="D14" s="0" t="s">
        <v>285</v>
      </c>
      <c r="E14" s="123" t="n">
        <v>1</v>
      </c>
      <c r="F14" s="124" t="e">
        <f aca="false">SUMIFS(IssueTypeVsRoleMapping[role allocation],IssueTypeVsRoleMapping[issue type],IssueTypeVsRoleMapping[[#this row],[issue type]])</f>
        <v>#VALUE!</v>
      </c>
      <c r="G14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4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4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4" s="126"/>
      <c r="K14" s="21"/>
      <c r="L14" s="29" t="s">
        <v>25</v>
      </c>
      <c r="M14" s="130" t="e">
        <f aca="false"/>
        <v>#VALUE!</v>
      </c>
    </row>
    <row r="15" customFormat="false" ht="14.9" hidden="false" customHeight="false" outlineLevel="0" collapsed="false">
      <c r="A15" s="121" t="s">
        <v>316</v>
      </c>
      <c r="B15" s="122" t="str">
        <f aca="false">IF(ISERROR(FIND("Ballpark",C15)), "Plan", "Ballpark")</f>
        <v>Plan</v>
      </c>
      <c r="C15" s="0" t="s">
        <v>25</v>
      </c>
      <c r="D15" s="0" t="s">
        <v>285</v>
      </c>
      <c r="E15" s="123" t="n">
        <v>1</v>
      </c>
      <c r="F15" s="124" t="e">
        <f aca="false">SUMIFS(IssueTypeVsRoleMapping[role allocation],IssueTypeVsRoleMapping[issue type],IssueTypeVsRoleMapping[[#this row],[issue type]])</f>
        <v>#VALUE!</v>
      </c>
      <c r="G15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5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5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5" s="126"/>
      <c r="K15" s="21"/>
      <c r="L15" s="29" t="s">
        <v>328</v>
      </c>
      <c r="M15" s="130" t="e">
        <f aca="false"/>
        <v>#VALUE!</v>
      </c>
    </row>
    <row r="16" customFormat="false" ht="14.9" hidden="false" customHeight="false" outlineLevel="0" collapsed="false">
      <c r="A16" s="121" t="s">
        <v>316</v>
      </c>
      <c r="B16" s="122" t="str">
        <f aca="false">IF(ISERROR(FIND("Ballpark",C16)), "Plan", "Ballpark")</f>
        <v>Plan</v>
      </c>
      <c r="C16" s="0" t="s">
        <v>328</v>
      </c>
      <c r="D16" s="0" t="s">
        <v>285</v>
      </c>
      <c r="E16" s="123" t="n">
        <v>1</v>
      </c>
      <c r="F16" s="124" t="e">
        <f aca="false">SUMIFS(IssueTypeVsRoleMapping[role allocation],IssueTypeVsRoleMapping[issue type],IssueTypeVsRoleMapping[[#this row],[issue type]])</f>
        <v>#VALUE!</v>
      </c>
      <c r="G16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6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6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6" s="126"/>
      <c r="K16" s="21"/>
      <c r="L16" s="29" t="s">
        <v>28</v>
      </c>
      <c r="M16" s="130" t="e">
        <f aca="false"/>
        <v>#VALUE!</v>
      </c>
    </row>
    <row r="17" customFormat="false" ht="14.9" hidden="false" customHeight="false" outlineLevel="0" collapsed="false">
      <c r="A17" s="121" t="s">
        <v>316</v>
      </c>
      <c r="B17" s="122" t="str">
        <f aca="false">IF(ISERROR(FIND("Ballpark",C17)), "Plan", "Ballpark")</f>
        <v>Plan</v>
      </c>
      <c r="C17" s="0" t="s">
        <v>28</v>
      </c>
      <c r="D17" s="0" t="s">
        <v>282</v>
      </c>
      <c r="E17" s="123" t="n">
        <v>0.3</v>
      </c>
      <c r="F17" s="124" t="e">
        <f aca="false">SUMIFS(IssueTypeVsRoleMapping[role allocation],IssueTypeVsRoleMapping[issue type],IssueTypeVsRoleMapping[[#this row],[issue type]])</f>
        <v>#VALUE!</v>
      </c>
      <c r="G17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7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7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7" s="126"/>
      <c r="K17" s="21"/>
      <c r="L17" s="29" t="s">
        <v>35</v>
      </c>
      <c r="M17" s="130" t="e">
        <f aca="false"/>
        <v>#VALUE!</v>
      </c>
    </row>
    <row r="18" customFormat="false" ht="14.9" hidden="false" customHeight="false" outlineLevel="0" collapsed="false">
      <c r="A18" s="121" t="s">
        <v>316</v>
      </c>
      <c r="B18" s="122" t="str">
        <f aca="false">IF(ISERROR(FIND("Ballpark",C18)), "Plan", "Ballpark")</f>
        <v>Plan</v>
      </c>
      <c r="C18" s="0" t="s">
        <v>28</v>
      </c>
      <c r="D18" s="0" t="s">
        <v>285</v>
      </c>
      <c r="E18" s="123" t="n">
        <v>0.7</v>
      </c>
      <c r="F18" s="124" t="e">
        <f aca="false">SUMIFS(IssueTypeVsRoleMapping[role allocation],IssueTypeVsRoleMapping[issue type],IssueTypeVsRoleMapping[[#this row],[issue type]])</f>
        <v>#VALUE!</v>
      </c>
      <c r="G18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8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8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8" s="126"/>
      <c r="K18" s="21"/>
      <c r="L18" s="29" t="s">
        <v>27</v>
      </c>
      <c r="M18" s="130" t="e">
        <f aca="false"/>
        <v>#VALUE!</v>
      </c>
    </row>
    <row r="19" customFormat="false" ht="14.9" hidden="false" customHeight="false" outlineLevel="0" collapsed="false">
      <c r="A19" s="121" t="s">
        <v>316</v>
      </c>
      <c r="B19" s="122" t="str">
        <f aca="false">IF(ISERROR(FIND("Ballpark",C19)), "Plan", "Ballpark")</f>
        <v>Plan</v>
      </c>
      <c r="C19" s="0" t="s">
        <v>35</v>
      </c>
      <c r="D19" s="0" t="s">
        <v>282</v>
      </c>
      <c r="E19" s="123" t="n">
        <v>0.3</v>
      </c>
      <c r="F19" s="124" t="e">
        <f aca="false">SUMIFS(IssueTypeVsRoleMapping[role allocation],IssueTypeVsRoleMapping[issue type],IssueTypeVsRoleMapping[[#this row],[issue type]])</f>
        <v>#VALUE!</v>
      </c>
      <c r="G19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19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19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19" s="126"/>
      <c r="K19" s="21"/>
      <c r="L19" s="29" t="s">
        <v>34</v>
      </c>
      <c r="M19" s="130" t="e">
        <f aca="false"/>
        <v>#VALUE!</v>
      </c>
    </row>
    <row r="20" customFormat="false" ht="14.9" hidden="false" customHeight="false" outlineLevel="0" collapsed="false">
      <c r="A20" s="121" t="s">
        <v>316</v>
      </c>
      <c r="B20" s="122" t="str">
        <f aca="false">IF(ISERROR(FIND("Ballpark",C20)), "Plan", "Ballpark")</f>
        <v>Plan</v>
      </c>
      <c r="C20" s="0" t="s">
        <v>35</v>
      </c>
      <c r="D20" s="0" t="s">
        <v>285</v>
      </c>
      <c r="E20" s="123" t="n">
        <v>0.7</v>
      </c>
      <c r="F20" s="132" t="e">
        <f aca="false">SUMIFS(IssueTypeVsRoleMapping[role allocation],IssueTypeVsRoleMapping[issue type],IssueTypeVsRoleMapping[[#this row],[issue type]])</f>
        <v>#VALUE!</v>
      </c>
      <c r="G20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0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0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0" s="126"/>
      <c r="K20" s="21"/>
      <c r="L20" s="29" t="s">
        <v>30</v>
      </c>
      <c r="M20" s="130" t="e">
        <f aca="false"/>
        <v>#VALUE!</v>
      </c>
    </row>
    <row r="21" customFormat="false" ht="14.9" hidden="false" customHeight="false" outlineLevel="0" collapsed="false">
      <c r="A21" s="121" t="s">
        <v>316</v>
      </c>
      <c r="B21" s="122" t="str">
        <f aca="false">IF(ISERROR(FIND("Ballpark",C21)), "Plan", "Ballpark")</f>
        <v>Plan</v>
      </c>
      <c r="C21" s="0" t="s">
        <v>27</v>
      </c>
      <c r="D21" s="0" t="s">
        <v>282</v>
      </c>
      <c r="E21" s="123" t="n">
        <v>1</v>
      </c>
      <c r="F21" s="132" t="e">
        <f aca="false">SUMIFS(IssueTypeVsRoleMapping[role allocation],IssueTypeVsRoleMapping[issue type],IssueTypeVsRoleMapping[[#this row],[issue type]])</f>
        <v>#VALUE!</v>
      </c>
      <c r="G21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1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1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1" s="126"/>
      <c r="K21" s="21"/>
      <c r="L21" s="29" t="s">
        <v>50</v>
      </c>
      <c r="M21" s="130" t="e">
        <f aca="false"/>
        <v>#VALUE!</v>
      </c>
    </row>
    <row r="22" customFormat="false" ht="14.9" hidden="false" customHeight="false" outlineLevel="0" collapsed="false">
      <c r="A22" s="121" t="s">
        <v>316</v>
      </c>
      <c r="B22" s="122" t="str">
        <f aca="false">IF(ISERROR(FIND("Ballpark",C22)), "Plan", "Ballpark")</f>
        <v>Plan</v>
      </c>
      <c r="C22" s="0" t="s">
        <v>34</v>
      </c>
      <c r="D22" s="0" t="s">
        <v>285</v>
      </c>
      <c r="E22" s="123" t="n">
        <v>1</v>
      </c>
      <c r="F22" s="132" t="e">
        <f aca="false">SUMIFS(IssueTypeVsRoleMapping[role allocation],IssueTypeVsRoleMapping[issue type],IssueTypeVsRoleMapping[[#this row],[issue type]])</f>
        <v>#VALUE!</v>
      </c>
      <c r="G22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2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2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2" s="126"/>
      <c r="K22" s="21"/>
      <c r="L22" s="29" t="s">
        <v>26</v>
      </c>
      <c r="M22" s="130" t="e">
        <f aca="false"/>
        <v>#VALUE!</v>
      </c>
    </row>
    <row r="23" customFormat="false" ht="14.9" hidden="false" customHeight="false" outlineLevel="0" collapsed="false">
      <c r="A23" s="121" t="s">
        <v>316</v>
      </c>
      <c r="B23" s="122" t="str">
        <f aca="false">IF(ISERROR(FIND("Ballpark",C23)), "Plan", "Ballpark")</f>
        <v>Plan</v>
      </c>
      <c r="C23" s="0" t="s">
        <v>30</v>
      </c>
      <c r="D23" s="0" t="s">
        <v>282</v>
      </c>
      <c r="E23" s="123" t="n">
        <v>0.4</v>
      </c>
      <c r="F23" s="132" t="e">
        <f aca="false">SUMIFS(IssueTypeVsRoleMapping[role allocation],IssueTypeVsRoleMapping[issue type],IssueTypeVsRoleMapping[[#this row],[issue type]])</f>
        <v>#VALUE!</v>
      </c>
      <c r="G23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3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3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3" s="126"/>
      <c r="K23" s="21"/>
      <c r="L23" s="29" t="s">
        <v>329</v>
      </c>
      <c r="M23" s="130" t="e">
        <f aca="false"/>
        <v>#VALUE!</v>
      </c>
    </row>
    <row r="24" customFormat="false" ht="14.9" hidden="false" customHeight="false" outlineLevel="0" collapsed="false">
      <c r="A24" s="121" t="s">
        <v>316</v>
      </c>
      <c r="B24" s="122" t="str">
        <f aca="false">IF(ISERROR(FIND("Ballpark",C24)), "Plan", "Ballpark")</f>
        <v>Plan</v>
      </c>
      <c r="C24" s="0" t="s">
        <v>30</v>
      </c>
      <c r="D24" s="0" t="s">
        <v>285</v>
      </c>
      <c r="E24" s="123" t="n">
        <v>0.6</v>
      </c>
      <c r="F24" s="132" t="e">
        <f aca="false">SUMIFS(IssueTypeVsRoleMapping[role allocation],IssueTypeVsRoleMapping[issue type],IssueTypeVsRoleMapping[[#this row],[issue type]])</f>
        <v>#VALUE!</v>
      </c>
      <c r="G24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4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4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4" s="126"/>
      <c r="K24" s="26"/>
      <c r="L24" s="36" t="s">
        <v>36</v>
      </c>
      <c r="M24" s="131" t="e">
        <f aca="false"/>
        <v>#VALUE!</v>
      </c>
    </row>
    <row r="25" customFormat="false" ht="14.9" hidden="false" customHeight="false" outlineLevel="0" collapsed="false">
      <c r="A25" s="121" t="s">
        <v>316</v>
      </c>
      <c r="B25" s="122" t="str">
        <f aca="false">IF(ISERROR(FIND("Ballpark",C25)), "Plan", "Ballpark")</f>
        <v>Plan</v>
      </c>
      <c r="C25" s="0" t="s">
        <v>50</v>
      </c>
      <c r="D25" s="0" t="s">
        <v>282</v>
      </c>
      <c r="E25" s="123" t="n">
        <v>0.6</v>
      </c>
      <c r="F25" s="132" t="e">
        <f aca="false">SUMIFS(IssueTypeVsRoleMapping[role allocation],IssueTypeVsRoleMapping[issue type],IssueTypeVsRoleMapping[[#this row],[issue type]])</f>
        <v>#VALUE!</v>
      </c>
      <c r="G25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5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5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5" s="126"/>
      <c r="K25" s="43" t="s">
        <v>11</v>
      </c>
      <c r="L25" s="45"/>
      <c r="M25" s="48" t="e">
        <f aca="false"/>
        <v>#VALUE!</v>
      </c>
    </row>
    <row r="26" customFormat="false" ht="15" hidden="false" customHeight="false" outlineLevel="0" collapsed="false">
      <c r="A26" s="121" t="s">
        <v>316</v>
      </c>
      <c r="B26" s="122" t="str">
        <f aca="false">IF(ISERROR(FIND("Ballpark",C26)), "Plan", "Ballpark")</f>
        <v>Plan</v>
      </c>
      <c r="C26" s="0" t="s">
        <v>50</v>
      </c>
      <c r="D26" s="0" t="s">
        <v>285</v>
      </c>
      <c r="E26" s="123" t="n">
        <v>0.4</v>
      </c>
      <c r="F26" s="132" t="e">
        <f aca="false">SUMIFS(IssueTypeVsRoleMapping[role allocation],IssueTypeVsRoleMapping[issue type],IssueTypeVsRoleMapping[[#this row],[issue type]])</f>
        <v>#VALUE!</v>
      </c>
      <c r="G26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6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6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6" s="126"/>
    </row>
    <row r="27" customFormat="false" ht="15" hidden="false" customHeight="false" outlineLevel="0" collapsed="false">
      <c r="A27" s="121" t="s">
        <v>316</v>
      </c>
      <c r="B27" s="122" t="str">
        <f aca="false">IF(ISERROR(FIND("Ballpark",C27)), "Plan", "Ballpark")</f>
        <v>Plan</v>
      </c>
      <c r="C27" s="0" t="s">
        <v>26</v>
      </c>
      <c r="D27" s="0" t="s">
        <v>285</v>
      </c>
      <c r="E27" s="123" t="n">
        <v>0.7</v>
      </c>
      <c r="F27" s="132" t="e">
        <f aca="false">SUMIFS(IssueTypeVsRoleMapping[role allocation],IssueTypeVsRoleMapping[issue type],IssueTypeVsRoleMapping[[#this row],[issue type]])</f>
        <v>#VALUE!</v>
      </c>
      <c r="G27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7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7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7" s="126"/>
    </row>
    <row r="28" customFormat="false" ht="15" hidden="false" customHeight="false" outlineLevel="0" collapsed="false">
      <c r="A28" s="121" t="s">
        <v>316</v>
      </c>
      <c r="B28" s="122" t="str">
        <f aca="false">IF(ISERROR(FIND("Ballpark",C28)), "Plan", "Ballpark")</f>
        <v>Plan</v>
      </c>
      <c r="C28" s="0" t="s">
        <v>26</v>
      </c>
      <c r="D28" s="0" t="s">
        <v>282</v>
      </c>
      <c r="E28" s="123" t="n">
        <v>0.3</v>
      </c>
      <c r="F28" s="132" t="e">
        <f aca="false">SUMIFS(IssueTypeVsRoleMapping[role allocation],IssueTypeVsRoleMapping[issue type],IssueTypeVsRoleMapping[[#this row],[issue type]])</f>
        <v>#VALUE!</v>
      </c>
      <c r="G28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8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8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8" s="126"/>
    </row>
    <row r="29" customFormat="false" ht="15" hidden="false" customHeight="false" outlineLevel="0" collapsed="false">
      <c r="A29" s="121" t="s">
        <v>316</v>
      </c>
      <c r="B29" s="122" t="str">
        <f aca="false">IF(ISERROR(FIND("Ballpark",C29)), "Plan", "Ballpark")</f>
        <v>Plan</v>
      </c>
      <c r="C29" s="0" t="s">
        <v>329</v>
      </c>
      <c r="D29" s="0" t="s">
        <v>282</v>
      </c>
      <c r="E29" s="123" t="n">
        <v>0.4</v>
      </c>
      <c r="F29" s="132" t="e">
        <f aca="false">SUMIFS(IssueTypeVsRoleMapping[role allocation],IssueTypeVsRoleMapping[issue type],IssueTypeVsRoleMapping[[#this row],[issue type]])</f>
        <v>#VALUE!</v>
      </c>
      <c r="G29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29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29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29" s="126"/>
    </row>
    <row r="30" customFormat="false" ht="15" hidden="false" customHeight="false" outlineLevel="0" collapsed="false">
      <c r="A30" s="121" t="s">
        <v>316</v>
      </c>
      <c r="B30" s="122" t="str">
        <f aca="false">IF(ISERROR(FIND("Ballpark",C30)), "Plan", "Ballpark")</f>
        <v>Plan</v>
      </c>
      <c r="C30" s="0" t="s">
        <v>329</v>
      </c>
      <c r="D30" s="0" t="s">
        <v>285</v>
      </c>
      <c r="E30" s="123" t="n">
        <v>0.6</v>
      </c>
      <c r="F30" s="132" t="e">
        <f aca="false">SUMIFS(IssueTypeVsRoleMapping[role allocation],IssueTypeVsRoleMapping[issue type],IssueTypeVsRoleMapping[[#this row],[issue type]])</f>
        <v>#VALUE!</v>
      </c>
      <c r="G30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30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30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30" s="126"/>
    </row>
    <row r="31" customFormat="false" ht="15" hidden="false" customHeight="false" outlineLevel="0" collapsed="false">
      <c r="A31" s="121" t="s">
        <v>316</v>
      </c>
      <c r="B31" s="122" t="str">
        <f aca="false">IF(ISERROR(FIND("Ballpark",C31)), "Plan", "Ballpark")</f>
        <v>Plan</v>
      </c>
      <c r="C31" s="0" t="s">
        <v>36</v>
      </c>
      <c r="D31" s="0" t="s">
        <v>285</v>
      </c>
      <c r="E31" s="123" t="n">
        <v>1</v>
      </c>
      <c r="F31" s="124" t="e">
        <f aca="false">SUMIFS(IssueTypeVsRoleMapping[role allocation],IssueTypeVsRoleMapping[issue type],IssueTypeVsRoleMapping[[#this row],[issue type]])</f>
        <v>#VALUE!</v>
      </c>
      <c r="G31" s="125" t="e">
        <f aca="false">SUMIFS(AllIssues[cycleonbacklog],AllIssues[project],'Progress by Demand'!$B$3,AllIssues[subtask_type],IssueTypeVsRoleMapping[[#this row],[issue type]])*IssueTypeVsRoleMapping[[#this row],[role allocation]]</f>
        <v>#VALUE!</v>
      </c>
      <c r="H31" s="118" t="e">
        <f aca="false">SUMIFS(AllIssues[effortonbacklog],AllIssues[project],'Progress by Demand'!$B$3,AllIssues[subtask_type],IssueTypeVsRoleMapping[[#this row],[issue type]])*IssueTypeVsRoleMapping[[#this row],[role allocation]]</f>
        <v>#VALUE!</v>
      </c>
      <c r="I31" s="120" t="e">
        <f aca="false">SUMIFS(IssueTypeVsRoleMapping[effort on backlog],IssueTypeVsRoleMapping[issue type],IssueTypeVsRoleMapping[issue type])/SUMIFS(IssueTypeVsRoleMapping[effort on backlog],IssueTypeVsRoleMapping[group],IssueTypeVsRoleMapping[group])</f>
        <v>#VALUE!</v>
      </c>
      <c r="J31" s="126"/>
    </row>
    <row r="32" customFormat="false" ht="15" hidden="false" customHeight="false" outlineLevel="0" collapsed="false">
      <c r="A32" s="121" t="s">
        <v>294</v>
      </c>
      <c r="B32" s="121" t="e">
        <f aca="false">SUBTOTAL(103,IssueTypeVsRoleMapping[group])</f>
        <v>#VALUE!</v>
      </c>
      <c r="C32" s="121"/>
      <c r="F32" s="133"/>
      <c r="G32" s="134" t="e">
        <f aca="false">SUBTOTAL(109,IssueTypeVsRoleMapping[cycle on backlog])</f>
        <v>#VALUE!</v>
      </c>
      <c r="H32" s="135" t="e">
        <f aca="false">SUBTOTAL(109,IssueTypeVsRoleMapping[effort on backlog])</f>
        <v>#VALUE!</v>
      </c>
      <c r="I32" s="126"/>
      <c r="J32" s="12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808080"/>
    <pageSetUpPr fitToPage="false"/>
  </sheetPr>
  <dimension ref="A1:J101"/>
  <sheetViews>
    <sheetView windowProtection="false" showFormulas="false" showGridLines="tru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A58" activeCellId="0" sqref="A58"/>
    </sheetView>
  </sheetViews>
  <sheetFormatPr defaultRowHeight="15"/>
  <cols>
    <col collapsed="false" hidden="false" max="1" min="1" style="0" width="29.1417004048583"/>
    <col collapsed="false" hidden="false" max="3" min="2" style="0" width="16.4251012145749"/>
    <col collapsed="false" hidden="false" max="4" min="4" style="69" width="16.004048582996"/>
    <col collapsed="false" hidden="false" max="5" min="5" style="136" width="14.1417004048583"/>
    <col collapsed="false" hidden="false" max="6" min="6" style="0" width="11.4251012145749"/>
    <col collapsed="false" hidden="false" max="7" min="7" style="0" width="12.7125506072875"/>
    <col collapsed="false" hidden="false" max="8" min="8" style="120" width="26.2874493927125"/>
    <col collapsed="false" hidden="false" max="9" min="9" style="0" width="12.995951417004"/>
    <col collapsed="false" hidden="false" max="10" min="10" style="0" width="17.7085020242915"/>
    <col collapsed="false" hidden="false" max="1025" min="11" style="0" width="8.71255060728745"/>
  </cols>
  <sheetData>
    <row r="1" customFormat="false" ht="15.75" hidden="false" customHeight="false" outlineLevel="0" collapsed="false">
      <c r="A1" s="137" t="s">
        <v>330</v>
      </c>
      <c r="B1" s="137" t="s">
        <v>331</v>
      </c>
      <c r="C1" s="137" t="s">
        <v>298</v>
      </c>
      <c r="D1" s="138" t="s">
        <v>332</v>
      </c>
      <c r="E1" s="139" t="s">
        <v>333</v>
      </c>
      <c r="G1" s="0" t="s">
        <v>309</v>
      </c>
      <c r="H1" s="0" t="s">
        <v>334</v>
      </c>
      <c r="I1" s="120" t="s">
        <v>335</v>
      </c>
      <c r="J1" s="0" t="s">
        <v>336</v>
      </c>
    </row>
    <row r="2" customFormat="false" ht="15" hidden="false" customHeight="false" outlineLevel="0" collapsed="false">
      <c r="A2" s="0" t="s">
        <v>25</v>
      </c>
      <c r="B2" s="0" t="s">
        <v>337</v>
      </c>
      <c r="C2" s="0" t="s">
        <v>338</v>
      </c>
      <c r="D2" s="69" t="n">
        <v>1.06382978723404</v>
      </c>
      <c r="E2" s="140" t="e">
        <f aca="false">Clusters[[#this row],[effort]]*1.2</f>
        <v>#VALUE!</v>
      </c>
      <c r="G2" s="0" t="s">
        <v>320</v>
      </c>
      <c r="H2" s="0" t="s">
        <v>71</v>
      </c>
      <c r="I2" s="120" t="n">
        <v>0.1</v>
      </c>
      <c r="J2" s="120" t="e">
        <f aca="false">SUMIFS(EffortDistribution[distribution],EffortDistribution[group],EffortDistribution[group])</f>
        <v>#VALUE!</v>
      </c>
    </row>
    <row r="3" customFormat="false" ht="30" hidden="false" customHeight="false" outlineLevel="0" collapsed="false">
      <c r="A3" s="0" t="s">
        <v>25</v>
      </c>
      <c r="B3" s="0" t="s">
        <v>339</v>
      </c>
      <c r="C3" s="0" t="s">
        <v>338</v>
      </c>
      <c r="D3" s="69" t="n">
        <v>2.12765957446808</v>
      </c>
      <c r="E3" s="140" t="e">
        <f aca="false">Clusters[[#this row],[effort]]*1.2</f>
        <v>#VALUE!</v>
      </c>
      <c r="G3" s="0" t="s">
        <v>320</v>
      </c>
      <c r="H3" s="122" t="s">
        <v>84</v>
      </c>
      <c r="I3" s="120" t="n">
        <v>0.05</v>
      </c>
      <c r="J3" s="120" t="e">
        <f aca="false">SUMIFS(EffortDistribution[distribution],EffortDistribution[group],EffortDistribution[group])</f>
        <v>#VALUE!</v>
      </c>
    </row>
    <row r="4" customFormat="false" ht="15" hidden="false" customHeight="false" outlineLevel="0" collapsed="false">
      <c r="A4" s="0" t="s">
        <v>25</v>
      </c>
      <c r="B4" s="0" t="s">
        <v>340</v>
      </c>
      <c r="C4" s="0" t="s">
        <v>338</v>
      </c>
      <c r="D4" s="69" t="n">
        <v>4.25531914893617</v>
      </c>
      <c r="E4" s="140" t="e">
        <f aca="false">Clusters[[#this row],[effort]]*1.2</f>
        <v>#VALUE!</v>
      </c>
      <c r="G4" s="0" t="s">
        <v>320</v>
      </c>
      <c r="H4" s="0" t="s">
        <v>82</v>
      </c>
      <c r="I4" s="120" t="n">
        <v>0.5</v>
      </c>
      <c r="J4" s="120" t="e">
        <f aca="false">SUMIFS(EffortDistribution[distribution],EffortDistribution[group],EffortDistribution[group])</f>
        <v>#VALUE!</v>
      </c>
    </row>
    <row r="5" customFormat="false" ht="15" hidden="false" customHeight="false" outlineLevel="0" collapsed="false">
      <c r="A5" s="0" t="s">
        <v>25</v>
      </c>
      <c r="B5" s="0" t="s">
        <v>341</v>
      </c>
      <c r="C5" s="0" t="s">
        <v>338</v>
      </c>
      <c r="D5" s="69" t="n">
        <v>8.51063829787234</v>
      </c>
      <c r="E5" s="140" t="e">
        <f aca="false">Clusters[[#this row],[effort]]*1.2</f>
        <v>#VALUE!</v>
      </c>
      <c r="G5" s="0" t="s">
        <v>320</v>
      </c>
      <c r="H5" s="0" t="s">
        <v>72</v>
      </c>
      <c r="I5" s="120" t="n">
        <v>0.05</v>
      </c>
      <c r="J5" s="120" t="e">
        <f aca="false">SUMIFS(EffortDistribution[distribution],EffortDistribution[group],EffortDistribution[group])</f>
        <v>#VALUE!</v>
      </c>
    </row>
    <row r="6" customFormat="false" ht="15" hidden="false" customHeight="false" outlineLevel="0" collapsed="false">
      <c r="A6" s="0" t="s">
        <v>25</v>
      </c>
      <c r="B6" s="0" t="s">
        <v>342</v>
      </c>
      <c r="C6" s="0" t="s">
        <v>338</v>
      </c>
      <c r="D6" s="69" t="n">
        <v>16</v>
      </c>
      <c r="E6" s="140" t="e">
        <f aca="false">Clusters[[#this row],[effort]]*1.2</f>
        <v>#VALUE!</v>
      </c>
      <c r="G6" s="0" t="s">
        <v>320</v>
      </c>
      <c r="H6" s="0" t="s">
        <v>343</v>
      </c>
      <c r="I6" s="120" t="n">
        <v>0.1</v>
      </c>
      <c r="J6" s="120" t="e">
        <f aca="false">SUMIFS(EffortDistribution[distribution],EffortDistribution[group],EffortDistribution[group])</f>
        <v>#VALUE!</v>
      </c>
    </row>
    <row r="7" customFormat="false" ht="30" hidden="false" customHeight="false" outlineLevel="0" collapsed="false">
      <c r="A7" s="0" t="s">
        <v>32</v>
      </c>
      <c r="B7" s="0" t="s">
        <v>337</v>
      </c>
      <c r="C7" s="0" t="s">
        <v>338</v>
      </c>
      <c r="D7" s="69" t="n">
        <v>1.06382978723404</v>
      </c>
      <c r="E7" s="140" t="e">
        <f aca="false">Clusters[[#this row],[effort]]*1.2</f>
        <v>#VALUE!</v>
      </c>
      <c r="G7" s="0" t="s">
        <v>320</v>
      </c>
      <c r="H7" s="122" t="s">
        <v>73</v>
      </c>
      <c r="I7" s="120" t="n">
        <v>0.05</v>
      </c>
      <c r="J7" s="120" t="e">
        <f aca="false">SUMIFS(EffortDistribution[distribution],EffortDistribution[group],EffortDistribution[group])</f>
        <v>#VALUE!</v>
      </c>
    </row>
    <row r="8" customFormat="false" ht="15" hidden="false" customHeight="false" outlineLevel="0" collapsed="false">
      <c r="A8" s="0" t="s">
        <v>32</v>
      </c>
      <c r="B8" s="0" t="s">
        <v>339</v>
      </c>
      <c r="C8" s="0" t="s">
        <v>338</v>
      </c>
      <c r="D8" s="69" t="n">
        <v>2.12765957446808</v>
      </c>
      <c r="E8" s="140" t="e">
        <f aca="false">Clusters[[#this row],[effort]]*1.2</f>
        <v>#VALUE!</v>
      </c>
      <c r="G8" s="0" t="s">
        <v>320</v>
      </c>
      <c r="H8" s="0" t="s">
        <v>344</v>
      </c>
      <c r="I8" s="120" t="n">
        <v>0.1</v>
      </c>
      <c r="J8" s="120" t="e">
        <f aca="false">SUMIFS(EffortDistribution[distribution],EffortDistribution[group],EffortDistribution[group])</f>
        <v>#VALUE!</v>
      </c>
    </row>
    <row r="9" customFormat="false" ht="15" hidden="false" customHeight="false" outlineLevel="0" collapsed="false">
      <c r="A9" s="0" t="s">
        <v>32</v>
      </c>
      <c r="B9" s="0" t="s">
        <v>340</v>
      </c>
      <c r="C9" s="0" t="s">
        <v>338</v>
      </c>
      <c r="D9" s="69" t="n">
        <v>3.19148936170213</v>
      </c>
      <c r="E9" s="140" t="e">
        <f aca="false">Clusters[[#this row],[effort]]*1.2</f>
        <v>#VALUE!</v>
      </c>
      <c r="G9" s="0" t="s">
        <v>320</v>
      </c>
      <c r="H9" s="0" t="s">
        <v>83</v>
      </c>
      <c r="I9" s="120" t="n">
        <v>0.05</v>
      </c>
      <c r="J9" s="120" t="e">
        <f aca="false">SUMIFS(EffortDistribution[distribution],EffortDistribution[group],EffortDistribution[group])</f>
        <v>#VALUE!</v>
      </c>
    </row>
    <row r="10" customFormat="false" ht="15" hidden="false" customHeight="false" outlineLevel="0" collapsed="false">
      <c r="A10" s="0" t="s">
        <v>32</v>
      </c>
      <c r="B10" s="0" t="s">
        <v>341</v>
      </c>
      <c r="C10" s="0" t="s">
        <v>338</v>
      </c>
      <c r="D10" s="69" t="n">
        <v>4.25531914893617</v>
      </c>
      <c r="E10" s="140" t="e">
        <f aca="false">Clusters[[#this row],[effort]]*1.2</f>
        <v>#VALUE!</v>
      </c>
      <c r="G10" s="0" t="s">
        <v>320</v>
      </c>
      <c r="H10" s="0" t="s">
        <v>345</v>
      </c>
      <c r="I10" s="120" t="n">
        <v>1</v>
      </c>
      <c r="J10" s="120" t="e">
        <f aca="false">SUMIFS(EffortDistribution[distribution],EffortDistribution[group],EffortDistribution[group])</f>
        <v>#VALUE!</v>
      </c>
    </row>
    <row r="11" customFormat="false" ht="15" hidden="false" customHeight="false" outlineLevel="0" collapsed="false">
      <c r="A11" s="0" t="s">
        <v>32</v>
      </c>
      <c r="B11" s="0" t="s">
        <v>342</v>
      </c>
      <c r="C11" s="0" t="s">
        <v>338</v>
      </c>
      <c r="D11" s="69" t="n">
        <v>5.31914893617021</v>
      </c>
      <c r="E11" s="140" t="e">
        <f aca="false">Clusters[[#this row],[effort]]*1.2</f>
        <v>#VALUE!</v>
      </c>
      <c r="G11" s="0" t="s">
        <v>327</v>
      </c>
      <c r="H11" s="120" t="s">
        <v>32</v>
      </c>
      <c r="I11" s="120" t="n">
        <v>0.05</v>
      </c>
      <c r="J11" s="120" t="e">
        <f aca="false">SUMIFS(EffortDistribution[distribution],EffortDistribution[group],EffortDistribution[group])</f>
        <v>#VALUE!</v>
      </c>
    </row>
    <row r="12" customFormat="false" ht="15" hidden="false" customHeight="false" outlineLevel="0" collapsed="false">
      <c r="A12" s="0" t="s">
        <v>28</v>
      </c>
      <c r="B12" s="0" t="s">
        <v>337</v>
      </c>
      <c r="C12" s="0" t="s">
        <v>338</v>
      </c>
      <c r="D12" s="69" t="n">
        <v>2.12765957446808</v>
      </c>
      <c r="E12" s="140" t="e">
        <f aca="false">Clusters[[#this row],[effort]]*1.2</f>
        <v>#VALUE!</v>
      </c>
      <c r="G12" s="0" t="s">
        <v>327</v>
      </c>
      <c r="H12" s="120" t="s">
        <v>25</v>
      </c>
      <c r="I12" s="120" t="n">
        <v>0.05</v>
      </c>
      <c r="J12" s="120" t="e">
        <f aca="false">SUMIFS(EffortDistribution[distribution],EffortDistribution[group],EffortDistribution[group])</f>
        <v>#VALUE!</v>
      </c>
    </row>
    <row r="13" customFormat="false" ht="15" hidden="false" customHeight="false" outlineLevel="0" collapsed="false">
      <c r="A13" s="0" t="s">
        <v>28</v>
      </c>
      <c r="B13" s="0" t="s">
        <v>339</v>
      </c>
      <c r="C13" s="0" t="s">
        <v>338</v>
      </c>
      <c r="D13" s="69" t="n">
        <v>8.51063829787234</v>
      </c>
      <c r="E13" s="140" t="e">
        <f aca="false">Clusters[[#this row],[effort]]*1.2</f>
        <v>#VALUE!</v>
      </c>
      <c r="G13" s="0" t="s">
        <v>327</v>
      </c>
      <c r="H13" s="0" t="s">
        <v>28</v>
      </c>
      <c r="I13" s="120" t="n">
        <v>0.3</v>
      </c>
      <c r="J13" s="120" t="e">
        <f aca="false">SUMIFS(EffortDistribution[distribution],EffortDistribution[group],EffortDistribution[group])</f>
        <v>#VALUE!</v>
      </c>
    </row>
    <row r="14" customFormat="false" ht="15" hidden="false" customHeight="false" outlineLevel="0" collapsed="false">
      <c r="A14" s="0" t="s">
        <v>28</v>
      </c>
      <c r="B14" s="0" t="s">
        <v>340</v>
      </c>
      <c r="C14" s="0" t="s">
        <v>338</v>
      </c>
      <c r="D14" s="69" t="n">
        <v>10.6382978723404</v>
      </c>
      <c r="E14" s="140" t="e">
        <f aca="false">Clusters[[#this row],[effort]]*1.2</f>
        <v>#VALUE!</v>
      </c>
      <c r="G14" s="0" t="s">
        <v>327</v>
      </c>
      <c r="H14" s="0" t="s">
        <v>35</v>
      </c>
      <c r="I14" s="120" t="n">
        <v>0.15</v>
      </c>
      <c r="J14" s="120" t="e">
        <f aca="false">SUMIFS(EffortDistribution[distribution],EffortDistribution[group],EffortDistribution[group])</f>
        <v>#VALUE!</v>
      </c>
    </row>
    <row r="15" customFormat="false" ht="15" hidden="false" customHeight="false" outlineLevel="0" collapsed="false">
      <c r="A15" s="0" t="s">
        <v>28</v>
      </c>
      <c r="B15" s="0" t="s">
        <v>341</v>
      </c>
      <c r="C15" s="0" t="s">
        <v>338</v>
      </c>
      <c r="D15" s="69" t="n">
        <v>19.1489361702128</v>
      </c>
      <c r="E15" s="140" t="e">
        <f aca="false">Clusters[[#this row],[effort]]*1.2</f>
        <v>#VALUE!</v>
      </c>
      <c r="G15" s="0" t="s">
        <v>327</v>
      </c>
      <c r="H15" s="0" t="s">
        <v>27</v>
      </c>
      <c r="I15" s="120" t="n">
        <v>0.05</v>
      </c>
      <c r="J15" s="120" t="e">
        <f aca="false">SUMIFS(EffortDistribution[distribution],EffortDistribution[group],EffortDistribution[group])</f>
        <v>#VALUE!</v>
      </c>
    </row>
    <row r="16" customFormat="false" ht="15" hidden="false" customHeight="false" outlineLevel="0" collapsed="false">
      <c r="A16" s="0" t="s">
        <v>28</v>
      </c>
      <c r="B16" s="0" t="s">
        <v>342</v>
      </c>
      <c r="C16" s="0" t="s">
        <v>338</v>
      </c>
      <c r="D16" s="69" t="n">
        <v>29.7872340425532</v>
      </c>
      <c r="E16" s="140" t="e">
        <f aca="false">Clusters[[#this row],[effort]]*1.2</f>
        <v>#VALUE!</v>
      </c>
      <c r="G16" s="0" t="s">
        <v>327</v>
      </c>
      <c r="H16" s="0" t="s">
        <v>34</v>
      </c>
      <c r="I16" s="120" t="n">
        <v>0.15</v>
      </c>
      <c r="J16" s="120" t="e">
        <f aca="false">SUMIFS(EffortDistribution[distribution],EffortDistribution[group],EffortDistribution[group])</f>
        <v>#VALUE!</v>
      </c>
    </row>
    <row r="17" customFormat="false" ht="15" hidden="false" customHeight="false" outlineLevel="0" collapsed="false">
      <c r="A17" s="0" t="s">
        <v>35</v>
      </c>
      <c r="B17" s="0" t="s">
        <v>337</v>
      </c>
      <c r="C17" s="0" t="s">
        <v>338</v>
      </c>
      <c r="D17" s="69" t="n">
        <v>1.06382978723404</v>
      </c>
      <c r="E17" s="140" t="e">
        <f aca="false">Clusters[[#this row],[effort]]*1.2</f>
        <v>#VALUE!</v>
      </c>
      <c r="G17" s="0" t="s">
        <v>327</v>
      </c>
      <c r="H17" s="120" t="s">
        <v>30</v>
      </c>
      <c r="I17" s="120" t="n">
        <v>0.05</v>
      </c>
      <c r="J17" s="120" t="e">
        <f aca="false">SUMIFS(EffortDistribution[distribution],EffortDistribution[group],EffortDistribution[group])</f>
        <v>#VALUE!</v>
      </c>
    </row>
    <row r="18" customFormat="false" ht="15" hidden="false" customHeight="false" outlineLevel="0" collapsed="false">
      <c r="A18" s="0" t="s">
        <v>35</v>
      </c>
      <c r="B18" s="0" t="s">
        <v>339</v>
      </c>
      <c r="C18" s="0" t="s">
        <v>338</v>
      </c>
      <c r="D18" s="69" t="n">
        <v>2.12765957446808</v>
      </c>
      <c r="E18" s="140" t="e">
        <f aca="false">Clusters[[#this row],[effort]]*1.2</f>
        <v>#VALUE!</v>
      </c>
      <c r="G18" s="0" t="s">
        <v>327</v>
      </c>
      <c r="H18" s="0" t="s">
        <v>50</v>
      </c>
      <c r="I18" s="120" t="n">
        <v>0.1</v>
      </c>
      <c r="J18" s="120" t="e">
        <f aca="false">SUMIFS(EffortDistribution[distribution],EffortDistribution[group],EffortDistribution[group])</f>
        <v>#VALUE!</v>
      </c>
    </row>
    <row r="19" customFormat="false" ht="15" hidden="false" customHeight="false" outlineLevel="0" collapsed="false">
      <c r="A19" s="0" t="s">
        <v>35</v>
      </c>
      <c r="B19" s="0" t="s">
        <v>340</v>
      </c>
      <c r="C19" s="0" t="s">
        <v>338</v>
      </c>
      <c r="D19" s="69" t="n">
        <v>4.25531914893617</v>
      </c>
      <c r="E19" s="140" t="e">
        <f aca="false">Clusters[[#this row],[effort]]*1.2</f>
        <v>#VALUE!</v>
      </c>
      <c r="G19" s="0" t="s">
        <v>327</v>
      </c>
      <c r="H19" s="0" t="s">
        <v>26</v>
      </c>
      <c r="I19" s="120" t="n">
        <v>0.05</v>
      </c>
      <c r="J19" s="120" t="e">
        <f aca="false">SUMIFS(EffortDistribution[distribution],EffortDistribution[group],EffortDistribution[group])</f>
        <v>#VALUE!</v>
      </c>
    </row>
    <row r="20" customFormat="false" ht="15" hidden="false" customHeight="false" outlineLevel="0" collapsed="false">
      <c r="A20" s="0" t="s">
        <v>35</v>
      </c>
      <c r="B20" s="0" t="s">
        <v>341</v>
      </c>
      <c r="C20" s="0" t="s">
        <v>338</v>
      </c>
      <c r="D20" s="69" t="n">
        <v>8.51063829787234</v>
      </c>
      <c r="E20" s="140" t="e">
        <f aca="false">Clusters[[#this row],[effort]]*1.2</f>
        <v>#VALUE!</v>
      </c>
      <c r="G20" s="0" t="s">
        <v>327</v>
      </c>
      <c r="H20" s="120" t="s">
        <v>36</v>
      </c>
      <c r="I20" s="120" t="n">
        <v>0.05</v>
      </c>
      <c r="J20" s="120" t="e">
        <f aca="false">SUMIFS(EffortDistribution[distribution],EffortDistribution[group],EffortDistribution[group])</f>
        <v>#VALUE!</v>
      </c>
    </row>
    <row r="21" customFormat="false" ht="15" hidden="false" customHeight="false" outlineLevel="0" collapsed="false">
      <c r="A21" s="0" t="s">
        <v>35</v>
      </c>
      <c r="B21" s="0" t="s">
        <v>342</v>
      </c>
      <c r="C21" s="0" t="s">
        <v>338</v>
      </c>
      <c r="D21" s="69" t="n">
        <v>16</v>
      </c>
      <c r="E21" s="140" t="e">
        <f aca="false">Clusters[[#this row],[effort]]*1.2</f>
        <v>#VALUE!</v>
      </c>
      <c r="I21" s="120"/>
      <c r="J21" s="120"/>
    </row>
    <row r="22" customFormat="false" ht="15" hidden="false" customHeight="false" outlineLevel="0" collapsed="false">
      <c r="A22" s="0" t="s">
        <v>27</v>
      </c>
      <c r="B22" s="0" t="s">
        <v>337</v>
      </c>
      <c r="C22" s="0" t="s">
        <v>338</v>
      </c>
      <c r="D22" s="69" t="n">
        <v>1.06382978723404</v>
      </c>
      <c r="E22" s="140" t="e">
        <f aca="false">Clusters[[#this row],[effort]]*1.2</f>
        <v>#VALUE!</v>
      </c>
      <c r="I22" s="120"/>
      <c r="J22" s="120"/>
    </row>
    <row r="23" customFormat="false" ht="15" hidden="false" customHeight="false" outlineLevel="0" collapsed="false">
      <c r="A23" s="0" t="s">
        <v>27</v>
      </c>
      <c r="B23" s="0" t="s">
        <v>339</v>
      </c>
      <c r="C23" s="0" t="s">
        <v>338</v>
      </c>
      <c r="D23" s="69" t="n">
        <v>2.12765957446808</v>
      </c>
      <c r="E23" s="140" t="e">
        <f aca="false">Clusters[[#this row],[effort]]*1.2</f>
        <v>#VALUE!</v>
      </c>
    </row>
    <row r="24" customFormat="false" ht="15" hidden="false" customHeight="false" outlineLevel="0" collapsed="false">
      <c r="A24" s="0" t="s">
        <v>27</v>
      </c>
      <c r="B24" s="0" t="s">
        <v>340</v>
      </c>
      <c r="C24" s="0" t="s">
        <v>338</v>
      </c>
      <c r="D24" s="69" t="n">
        <v>3.19148936170213</v>
      </c>
      <c r="E24" s="140" t="e">
        <f aca="false">Clusters[[#this row],[effort]]*1.2</f>
        <v>#VALUE!</v>
      </c>
    </row>
    <row r="25" customFormat="false" ht="15" hidden="false" customHeight="false" outlineLevel="0" collapsed="false">
      <c r="A25" s="0" t="s">
        <v>27</v>
      </c>
      <c r="B25" s="0" t="s">
        <v>341</v>
      </c>
      <c r="C25" s="0" t="s">
        <v>338</v>
      </c>
      <c r="D25" s="69" t="n">
        <v>4.25531914893617</v>
      </c>
      <c r="E25" s="140" t="e">
        <f aca="false">Clusters[[#this row],[effort]]*1.2</f>
        <v>#VALUE!</v>
      </c>
    </row>
    <row r="26" customFormat="false" ht="15" hidden="false" customHeight="false" outlineLevel="0" collapsed="false">
      <c r="A26" s="0" t="s">
        <v>27</v>
      </c>
      <c r="B26" s="0" t="s">
        <v>342</v>
      </c>
      <c r="C26" s="0" t="s">
        <v>338</v>
      </c>
      <c r="D26" s="69" t="n">
        <v>8</v>
      </c>
      <c r="E26" s="140" t="e">
        <f aca="false">Clusters[[#this row],[effort]]*1.2</f>
        <v>#VALUE!</v>
      </c>
    </row>
    <row r="27" customFormat="false" ht="15" hidden="false" customHeight="false" outlineLevel="0" collapsed="false">
      <c r="A27" s="0" t="s">
        <v>34</v>
      </c>
      <c r="B27" s="0" t="s">
        <v>337</v>
      </c>
      <c r="C27" s="0" t="s">
        <v>338</v>
      </c>
      <c r="D27" s="69" t="n">
        <v>1.06382978723404</v>
      </c>
      <c r="E27" s="140" t="e">
        <f aca="false">Clusters[[#this row],[effort]]*1.2</f>
        <v>#VALUE!</v>
      </c>
    </row>
    <row r="28" customFormat="false" ht="15" hidden="false" customHeight="false" outlineLevel="0" collapsed="false">
      <c r="A28" s="0" t="s">
        <v>34</v>
      </c>
      <c r="B28" s="0" t="s">
        <v>339</v>
      </c>
      <c r="C28" s="0" t="s">
        <v>338</v>
      </c>
      <c r="D28" s="69" t="n">
        <v>4.25531914893617</v>
      </c>
      <c r="E28" s="140" t="e">
        <f aca="false">Clusters[[#this row],[effort]]*1.2</f>
        <v>#VALUE!</v>
      </c>
    </row>
    <row r="29" customFormat="false" ht="15" hidden="false" customHeight="false" outlineLevel="0" collapsed="false">
      <c r="A29" s="0" t="s">
        <v>34</v>
      </c>
      <c r="B29" s="0" t="s">
        <v>340</v>
      </c>
      <c r="C29" s="0" t="s">
        <v>338</v>
      </c>
      <c r="D29" s="69" t="n">
        <v>5.31914893617021</v>
      </c>
      <c r="E29" s="140" t="e">
        <f aca="false">Clusters[[#this row],[effort]]*1.2</f>
        <v>#VALUE!</v>
      </c>
    </row>
    <row r="30" customFormat="false" ht="15" hidden="false" customHeight="false" outlineLevel="0" collapsed="false">
      <c r="A30" s="0" t="s">
        <v>34</v>
      </c>
      <c r="B30" s="0" t="s">
        <v>341</v>
      </c>
      <c r="C30" s="0" t="s">
        <v>338</v>
      </c>
      <c r="D30" s="69" t="n">
        <v>9.57446808510638</v>
      </c>
      <c r="E30" s="140" t="e">
        <f aca="false">Clusters[[#this row],[effort]]*1.2</f>
        <v>#VALUE!</v>
      </c>
    </row>
    <row r="31" customFormat="false" ht="15" hidden="false" customHeight="false" outlineLevel="0" collapsed="false">
      <c r="A31" s="0" t="s">
        <v>34</v>
      </c>
      <c r="B31" s="0" t="s">
        <v>342</v>
      </c>
      <c r="C31" s="0" t="s">
        <v>338</v>
      </c>
      <c r="D31" s="69" t="n">
        <v>14.8936170212766</v>
      </c>
      <c r="E31" s="140" t="e">
        <f aca="false">Clusters[[#this row],[effort]]*1.2</f>
        <v>#VALUE!</v>
      </c>
    </row>
    <row r="32" customFormat="false" ht="15" hidden="false" customHeight="false" outlineLevel="0" collapsed="false">
      <c r="A32" s="0" t="s">
        <v>50</v>
      </c>
      <c r="B32" s="0" t="s">
        <v>337</v>
      </c>
      <c r="C32" s="0" t="s">
        <v>338</v>
      </c>
      <c r="D32" s="69" t="n">
        <v>2.12765957446808</v>
      </c>
      <c r="E32" s="140" t="e">
        <f aca="false">Clusters[[#this row],[effort]]*1.2</f>
        <v>#VALUE!</v>
      </c>
    </row>
    <row r="33" customFormat="false" ht="15" hidden="false" customHeight="false" outlineLevel="0" collapsed="false">
      <c r="A33" s="0" t="s">
        <v>50</v>
      </c>
      <c r="B33" s="0" t="s">
        <v>339</v>
      </c>
      <c r="C33" s="0" t="s">
        <v>338</v>
      </c>
      <c r="D33" s="69" t="n">
        <v>4.25531914893617</v>
      </c>
      <c r="E33" s="140" t="e">
        <f aca="false">Clusters[[#this row],[effort]]*1.2</f>
        <v>#VALUE!</v>
      </c>
    </row>
    <row r="34" customFormat="false" ht="15" hidden="false" customHeight="false" outlineLevel="0" collapsed="false">
      <c r="A34" s="0" t="s">
        <v>50</v>
      </c>
      <c r="B34" s="0" t="s">
        <v>340</v>
      </c>
      <c r="C34" s="0" t="s">
        <v>338</v>
      </c>
      <c r="D34" s="69" t="n">
        <v>8.51063829787234</v>
      </c>
      <c r="E34" s="140" t="e">
        <f aca="false">Clusters[[#this row],[effort]]*1.2</f>
        <v>#VALUE!</v>
      </c>
    </row>
    <row r="35" customFormat="false" ht="15" hidden="false" customHeight="false" outlineLevel="0" collapsed="false">
      <c r="A35" s="0" t="s">
        <v>50</v>
      </c>
      <c r="B35" s="0" t="s">
        <v>341</v>
      </c>
      <c r="C35" s="0" t="s">
        <v>338</v>
      </c>
      <c r="D35" s="69" t="n">
        <v>17.0212765957447</v>
      </c>
      <c r="E35" s="140" t="e">
        <f aca="false">Clusters[[#this row],[effort]]*1.2</f>
        <v>#VALUE!</v>
      </c>
    </row>
    <row r="36" customFormat="false" ht="15" hidden="false" customHeight="false" outlineLevel="0" collapsed="false">
      <c r="A36" s="0" t="s">
        <v>50</v>
      </c>
      <c r="B36" s="0" t="s">
        <v>342</v>
      </c>
      <c r="C36" s="0" t="s">
        <v>338</v>
      </c>
      <c r="D36" s="69" t="n">
        <v>35</v>
      </c>
      <c r="E36" s="140" t="e">
        <f aca="false">Clusters[[#this row],[effort]]*1.2</f>
        <v>#VALUE!</v>
      </c>
    </row>
    <row r="37" customFormat="false" ht="15" hidden="false" customHeight="false" outlineLevel="0" collapsed="false">
      <c r="A37" s="0" t="s">
        <v>26</v>
      </c>
      <c r="B37" s="0" t="s">
        <v>337</v>
      </c>
      <c r="C37" s="0" t="s">
        <v>338</v>
      </c>
      <c r="D37" s="69" t="n">
        <v>1.06382978723404</v>
      </c>
      <c r="E37" s="140" t="e">
        <f aca="false">Clusters[[#this row],[effort]]*1.2</f>
        <v>#VALUE!</v>
      </c>
    </row>
    <row r="38" customFormat="false" ht="15" hidden="false" customHeight="false" outlineLevel="0" collapsed="false">
      <c r="A38" s="0" t="s">
        <v>26</v>
      </c>
      <c r="B38" s="0" t="s">
        <v>339</v>
      </c>
      <c r="C38" s="0" t="s">
        <v>338</v>
      </c>
      <c r="D38" s="69" t="n">
        <v>2.12765957446808</v>
      </c>
      <c r="E38" s="140" t="e">
        <f aca="false">Clusters[[#this row],[effort]]*1.2</f>
        <v>#VALUE!</v>
      </c>
    </row>
    <row r="39" customFormat="false" ht="15" hidden="false" customHeight="false" outlineLevel="0" collapsed="false">
      <c r="A39" s="0" t="s">
        <v>26</v>
      </c>
      <c r="B39" s="0" t="s">
        <v>340</v>
      </c>
      <c r="C39" s="0" t="s">
        <v>338</v>
      </c>
      <c r="D39" s="69" t="n">
        <v>4.25531914893617</v>
      </c>
      <c r="E39" s="140" t="e">
        <f aca="false">Clusters[[#this row],[effort]]*1.2</f>
        <v>#VALUE!</v>
      </c>
    </row>
    <row r="40" customFormat="false" ht="15" hidden="false" customHeight="false" outlineLevel="0" collapsed="false">
      <c r="A40" s="0" t="s">
        <v>26</v>
      </c>
      <c r="B40" s="0" t="s">
        <v>341</v>
      </c>
      <c r="C40" s="0" t="s">
        <v>338</v>
      </c>
      <c r="D40" s="69" t="n">
        <v>8.51063829787234</v>
      </c>
      <c r="E40" s="140" t="e">
        <f aca="false">Clusters[[#this row],[effort]]*1.2</f>
        <v>#VALUE!</v>
      </c>
    </row>
    <row r="41" customFormat="false" ht="15" hidden="false" customHeight="false" outlineLevel="0" collapsed="false">
      <c r="A41" s="0" t="s">
        <v>26</v>
      </c>
      <c r="B41" s="0" t="s">
        <v>342</v>
      </c>
      <c r="C41" s="0" t="s">
        <v>338</v>
      </c>
      <c r="D41" s="69" t="n">
        <v>16</v>
      </c>
      <c r="E41" s="140" t="e">
        <f aca="false">Clusters[[#this row],[effort]]*1.2</f>
        <v>#VALUE!</v>
      </c>
    </row>
    <row r="42" customFormat="false" ht="15" hidden="false" customHeight="false" outlineLevel="0" collapsed="false">
      <c r="A42" s="0" t="s">
        <v>329</v>
      </c>
      <c r="B42" s="0" t="s">
        <v>337</v>
      </c>
      <c r="C42" s="0" t="s">
        <v>338</v>
      </c>
      <c r="D42" s="69" t="n">
        <v>1.06382978723404</v>
      </c>
      <c r="E42" s="140" t="e">
        <f aca="false">Clusters[[#this row],[effort]]*1.2</f>
        <v>#VALUE!</v>
      </c>
    </row>
    <row r="43" customFormat="false" ht="15" hidden="false" customHeight="false" outlineLevel="0" collapsed="false">
      <c r="A43" s="0" t="s">
        <v>329</v>
      </c>
      <c r="B43" s="0" t="s">
        <v>339</v>
      </c>
      <c r="C43" s="0" t="s">
        <v>338</v>
      </c>
      <c r="D43" s="69" t="n">
        <v>2.12765957446808</v>
      </c>
      <c r="E43" s="140" t="e">
        <f aca="false">Clusters[[#this row],[effort]]*1.2</f>
        <v>#VALUE!</v>
      </c>
    </row>
    <row r="44" customFormat="false" ht="15" hidden="false" customHeight="false" outlineLevel="0" collapsed="false">
      <c r="A44" s="0" t="s">
        <v>329</v>
      </c>
      <c r="B44" s="0" t="s">
        <v>340</v>
      </c>
      <c r="C44" s="0" t="s">
        <v>338</v>
      </c>
      <c r="D44" s="69" t="n">
        <v>3.19148936170213</v>
      </c>
      <c r="E44" s="140" t="e">
        <f aca="false">Clusters[[#this row],[effort]]*1.2</f>
        <v>#VALUE!</v>
      </c>
    </row>
    <row r="45" customFormat="false" ht="15" hidden="false" customHeight="false" outlineLevel="0" collapsed="false">
      <c r="A45" s="0" t="s">
        <v>329</v>
      </c>
      <c r="B45" s="0" t="s">
        <v>341</v>
      </c>
      <c r="C45" s="0" t="s">
        <v>338</v>
      </c>
      <c r="D45" s="69" t="n">
        <v>5.31914893617021</v>
      </c>
      <c r="E45" s="140" t="e">
        <f aca="false">Clusters[[#this row],[effort]]*1.2</f>
        <v>#VALUE!</v>
      </c>
    </row>
    <row r="46" customFormat="false" ht="15" hidden="false" customHeight="false" outlineLevel="0" collapsed="false">
      <c r="A46" s="0" t="s">
        <v>329</v>
      </c>
      <c r="B46" s="0" t="s">
        <v>342</v>
      </c>
      <c r="C46" s="0" t="s">
        <v>338</v>
      </c>
      <c r="D46" s="69" t="n">
        <v>8</v>
      </c>
      <c r="E46" s="140" t="e">
        <f aca="false">Clusters[[#this row],[effort]]*1.2</f>
        <v>#VALUE!</v>
      </c>
    </row>
    <row r="47" customFormat="false" ht="15" hidden="false" customHeight="false" outlineLevel="0" collapsed="false">
      <c r="A47" s="0" t="s">
        <v>36</v>
      </c>
      <c r="B47" s="0" t="s">
        <v>337</v>
      </c>
      <c r="C47" s="0" t="s">
        <v>338</v>
      </c>
      <c r="D47" s="69" t="n">
        <v>2.12765957446808</v>
      </c>
      <c r="E47" s="140" t="e">
        <f aca="false">Clusters[[#this row],[effort]]*1.2</f>
        <v>#VALUE!</v>
      </c>
    </row>
    <row r="48" customFormat="false" ht="15" hidden="false" customHeight="false" outlineLevel="0" collapsed="false">
      <c r="A48" s="0" t="s">
        <v>36</v>
      </c>
      <c r="B48" s="0" t="s">
        <v>339</v>
      </c>
      <c r="C48" s="0" t="s">
        <v>338</v>
      </c>
      <c r="D48" s="69" t="n">
        <v>4.25531914893617</v>
      </c>
      <c r="E48" s="140" t="e">
        <f aca="false">Clusters[[#this row],[effort]]*1.2</f>
        <v>#VALUE!</v>
      </c>
    </row>
    <row r="49" customFormat="false" ht="15" hidden="false" customHeight="false" outlineLevel="0" collapsed="false">
      <c r="A49" s="0" t="s">
        <v>36</v>
      </c>
      <c r="B49" s="0" t="s">
        <v>340</v>
      </c>
      <c r="C49" s="0" t="s">
        <v>338</v>
      </c>
      <c r="D49" s="69" t="n">
        <v>8.51063829787234</v>
      </c>
      <c r="E49" s="140" t="e">
        <f aca="false">Clusters[[#this row],[effort]]*1.2</f>
        <v>#VALUE!</v>
      </c>
    </row>
    <row r="50" customFormat="false" ht="15" hidden="false" customHeight="false" outlineLevel="0" collapsed="false">
      <c r="A50" s="0" t="s">
        <v>36</v>
      </c>
      <c r="B50" s="0" t="s">
        <v>341</v>
      </c>
      <c r="C50" s="0" t="s">
        <v>338</v>
      </c>
      <c r="D50" s="69" t="n">
        <v>17.0212765957447</v>
      </c>
      <c r="E50" s="140" t="e">
        <f aca="false">Clusters[[#this row],[effort]]*1.2</f>
        <v>#VALUE!</v>
      </c>
    </row>
    <row r="51" customFormat="false" ht="15" hidden="false" customHeight="false" outlineLevel="0" collapsed="false">
      <c r="A51" s="0" t="s">
        <v>36</v>
      </c>
      <c r="B51" s="0" t="s">
        <v>342</v>
      </c>
      <c r="C51" s="0" t="s">
        <v>338</v>
      </c>
      <c r="D51" s="69" t="n">
        <v>35</v>
      </c>
      <c r="E51" s="140" t="e">
        <f aca="false">Clusters[[#this row],[effort]]*1.2</f>
        <v>#VALUE!</v>
      </c>
    </row>
    <row r="52" customFormat="false" ht="15" hidden="false" customHeight="false" outlineLevel="0" collapsed="false">
      <c r="A52" s="0" t="s">
        <v>30</v>
      </c>
      <c r="B52" s="0" t="s">
        <v>337</v>
      </c>
      <c r="C52" s="0" t="s">
        <v>338</v>
      </c>
      <c r="D52" s="69" t="n">
        <v>1.06382978723404</v>
      </c>
      <c r="E52" s="140" t="e">
        <f aca="false">Clusters[[#this row],[effort]]*1.2</f>
        <v>#VALUE!</v>
      </c>
    </row>
    <row r="53" customFormat="false" ht="15" hidden="false" customHeight="false" outlineLevel="0" collapsed="false">
      <c r="A53" s="0" t="s">
        <v>30</v>
      </c>
      <c r="B53" s="0" t="s">
        <v>339</v>
      </c>
      <c r="C53" s="0" t="s">
        <v>338</v>
      </c>
      <c r="D53" s="69" t="n">
        <v>2.12765957446808</v>
      </c>
      <c r="E53" s="140" t="e">
        <f aca="false">Clusters[[#this row],[effort]]*1.2</f>
        <v>#VALUE!</v>
      </c>
    </row>
    <row r="54" customFormat="false" ht="15" hidden="false" customHeight="false" outlineLevel="0" collapsed="false">
      <c r="A54" s="0" t="s">
        <v>30</v>
      </c>
      <c r="B54" s="0" t="s">
        <v>340</v>
      </c>
      <c r="C54" s="0" t="s">
        <v>338</v>
      </c>
      <c r="D54" s="69" t="n">
        <v>3.19148936170213</v>
      </c>
      <c r="E54" s="140" t="e">
        <f aca="false">Clusters[[#this row],[effort]]*1.2</f>
        <v>#VALUE!</v>
      </c>
    </row>
    <row r="55" customFormat="false" ht="15" hidden="false" customHeight="false" outlineLevel="0" collapsed="false">
      <c r="A55" s="0" t="s">
        <v>30</v>
      </c>
      <c r="B55" s="0" t="s">
        <v>341</v>
      </c>
      <c r="C55" s="0" t="s">
        <v>338</v>
      </c>
      <c r="D55" s="69" t="n">
        <v>5.31914893617021</v>
      </c>
      <c r="E55" s="140" t="e">
        <f aca="false">Clusters[[#this row],[effort]]*1.2</f>
        <v>#VALUE!</v>
      </c>
    </row>
    <row r="56" customFormat="false" ht="15" hidden="false" customHeight="false" outlineLevel="0" collapsed="false">
      <c r="A56" s="0" t="s">
        <v>30</v>
      </c>
      <c r="B56" s="0" t="s">
        <v>342</v>
      </c>
      <c r="C56" s="0" t="s">
        <v>338</v>
      </c>
      <c r="D56" s="69" t="n">
        <v>8</v>
      </c>
      <c r="E56" s="140" t="e">
        <f aca="false">Clusters[[#this row],[effort]]*1.2</f>
        <v>#VALUE!</v>
      </c>
    </row>
    <row r="57" customFormat="false" ht="15" hidden="false" customHeight="false" outlineLevel="0" collapsed="false">
      <c r="A57" s="122" t="s">
        <v>81</v>
      </c>
      <c r="B57" s="0" t="s">
        <v>337</v>
      </c>
      <c r="C57" s="0" t="s">
        <v>338</v>
      </c>
      <c r="D57" s="69" t="n">
        <v>1.06382978723404</v>
      </c>
      <c r="E57" s="140" t="e">
        <f aca="false">Clusters[[#this row],[effort]]*1.2</f>
        <v>#VALUE!</v>
      </c>
    </row>
    <row r="58" customFormat="false" ht="15" hidden="false" customHeight="false" outlineLevel="0" collapsed="false">
      <c r="A58" s="122" t="s">
        <v>81</v>
      </c>
      <c r="B58" s="0" t="s">
        <v>339</v>
      </c>
      <c r="C58" s="0" t="s">
        <v>338</v>
      </c>
      <c r="D58" s="69" t="n">
        <v>2.12765957446808</v>
      </c>
      <c r="E58" s="140" t="e">
        <f aca="false">Clusters[[#this row],[effort]]*1.2</f>
        <v>#VALUE!</v>
      </c>
    </row>
    <row r="59" customFormat="false" ht="15" hidden="false" customHeight="false" outlineLevel="0" collapsed="false">
      <c r="A59" s="122" t="s">
        <v>81</v>
      </c>
      <c r="B59" s="0" t="s">
        <v>340</v>
      </c>
      <c r="C59" s="0" t="s">
        <v>338</v>
      </c>
      <c r="D59" s="69" t="n">
        <v>4.25531914893617</v>
      </c>
      <c r="E59" s="140" t="e">
        <f aca="false">Clusters[[#this row],[effort]]*1.2</f>
        <v>#VALUE!</v>
      </c>
    </row>
    <row r="60" customFormat="false" ht="15" hidden="false" customHeight="false" outlineLevel="0" collapsed="false">
      <c r="A60" s="122" t="s">
        <v>81</v>
      </c>
      <c r="B60" s="0" t="s">
        <v>341</v>
      </c>
      <c r="C60" s="0" t="s">
        <v>338</v>
      </c>
      <c r="D60" s="69" t="n">
        <v>8.51063829787234</v>
      </c>
      <c r="E60" s="140" t="e">
        <f aca="false">Clusters[[#this row],[effort]]*1.2</f>
        <v>#VALUE!</v>
      </c>
    </row>
    <row r="61" customFormat="false" ht="15" hidden="false" customHeight="false" outlineLevel="0" collapsed="false">
      <c r="A61" s="122" t="s">
        <v>81</v>
      </c>
      <c r="B61" s="0" t="s">
        <v>342</v>
      </c>
      <c r="C61" s="0" t="s">
        <v>338</v>
      </c>
      <c r="D61" s="69" t="n">
        <v>16</v>
      </c>
      <c r="E61" s="140" t="e">
        <f aca="false">Clusters[[#this row],[effort]]*1.2</f>
        <v>#VALUE!</v>
      </c>
    </row>
    <row r="62" customFormat="false" ht="15" hidden="false" customHeight="false" outlineLevel="0" collapsed="false">
      <c r="A62" s="122" t="s">
        <v>72</v>
      </c>
      <c r="B62" s="0" t="s">
        <v>337</v>
      </c>
      <c r="C62" s="0" t="s">
        <v>346</v>
      </c>
      <c r="D62" s="69" t="n">
        <v>0.0531914893617021</v>
      </c>
      <c r="E62" s="140" t="e">
        <f aca="false">Clusters[[#this row],[effort]]*1.2</f>
        <v>#VALUE!</v>
      </c>
    </row>
    <row r="63" customFormat="false" ht="15" hidden="false" customHeight="false" outlineLevel="0" collapsed="false">
      <c r="A63" s="122" t="s">
        <v>72</v>
      </c>
      <c r="B63" s="0" t="s">
        <v>339</v>
      </c>
      <c r="C63" s="0" t="s">
        <v>346</v>
      </c>
      <c r="D63" s="69" t="n">
        <v>0.106382978723404</v>
      </c>
      <c r="E63" s="140" t="e">
        <f aca="false">Clusters[[#this row],[effort]]*1.2</f>
        <v>#VALUE!</v>
      </c>
    </row>
    <row r="64" customFormat="false" ht="15" hidden="false" customHeight="false" outlineLevel="0" collapsed="false">
      <c r="A64" s="122" t="s">
        <v>72</v>
      </c>
      <c r="B64" s="0" t="s">
        <v>340</v>
      </c>
      <c r="C64" s="0" t="s">
        <v>346</v>
      </c>
      <c r="D64" s="69" t="n">
        <v>0.159574468085106</v>
      </c>
      <c r="E64" s="140" t="e">
        <f aca="false">Clusters[[#this row],[effort]]*1.2</f>
        <v>#VALUE!</v>
      </c>
    </row>
    <row r="65" customFormat="false" ht="15" hidden="false" customHeight="false" outlineLevel="0" collapsed="false">
      <c r="A65" s="122" t="s">
        <v>72</v>
      </c>
      <c r="B65" s="0" t="s">
        <v>341</v>
      </c>
      <c r="C65" s="0" t="s">
        <v>346</v>
      </c>
      <c r="D65" s="69" t="n">
        <v>0.212765957446808</v>
      </c>
      <c r="E65" s="140" t="e">
        <f aca="false">Clusters[[#this row],[effort]]*1.2</f>
        <v>#VALUE!</v>
      </c>
    </row>
    <row r="66" customFormat="false" ht="15" hidden="false" customHeight="false" outlineLevel="0" collapsed="false">
      <c r="A66" s="122" t="s">
        <v>72</v>
      </c>
      <c r="B66" s="0" t="s">
        <v>342</v>
      </c>
      <c r="C66" s="0" t="s">
        <v>346</v>
      </c>
      <c r="D66" s="69" t="n">
        <v>0.3</v>
      </c>
      <c r="E66" s="140" t="e">
        <f aca="false">Clusters[[#this row],[effort]]*1.2</f>
        <v>#VALUE!</v>
      </c>
    </row>
    <row r="67" customFormat="false" ht="15" hidden="false" customHeight="false" outlineLevel="0" collapsed="false">
      <c r="A67" s="122" t="s">
        <v>83</v>
      </c>
      <c r="B67" s="0" t="s">
        <v>337</v>
      </c>
      <c r="C67" s="0" t="s">
        <v>338</v>
      </c>
      <c r="D67" s="69" t="n">
        <v>2.12765957446808</v>
      </c>
      <c r="E67" s="140" t="e">
        <f aca="false">Clusters[[#this row],[effort]]*1.2</f>
        <v>#VALUE!</v>
      </c>
    </row>
    <row r="68" customFormat="false" ht="15" hidden="false" customHeight="false" outlineLevel="0" collapsed="false">
      <c r="A68" s="122" t="s">
        <v>83</v>
      </c>
      <c r="B68" s="0" t="s">
        <v>339</v>
      </c>
      <c r="C68" s="0" t="s">
        <v>338</v>
      </c>
      <c r="D68" s="69" t="n">
        <v>4.25531914893617</v>
      </c>
      <c r="E68" s="140" t="e">
        <f aca="false">Clusters[[#this row],[effort]]*1.2</f>
        <v>#VALUE!</v>
      </c>
    </row>
    <row r="69" customFormat="false" ht="15" hidden="false" customHeight="false" outlineLevel="0" collapsed="false">
      <c r="A69" s="122" t="s">
        <v>83</v>
      </c>
      <c r="B69" s="0" t="s">
        <v>340</v>
      </c>
      <c r="C69" s="0" t="s">
        <v>338</v>
      </c>
      <c r="D69" s="69" t="n">
        <v>8.51063829787234</v>
      </c>
      <c r="E69" s="140" t="e">
        <f aca="false">Clusters[[#this row],[effort]]*1.2</f>
        <v>#VALUE!</v>
      </c>
    </row>
    <row r="70" customFormat="false" ht="15" hidden="false" customHeight="false" outlineLevel="0" collapsed="false">
      <c r="A70" s="122" t="s">
        <v>83</v>
      </c>
      <c r="B70" s="0" t="s">
        <v>341</v>
      </c>
      <c r="C70" s="0" t="s">
        <v>338</v>
      </c>
      <c r="D70" s="69" t="n">
        <v>17.0212765957447</v>
      </c>
      <c r="E70" s="140" t="e">
        <f aca="false">Clusters[[#this row],[effort]]*1.2</f>
        <v>#VALUE!</v>
      </c>
    </row>
    <row r="71" customFormat="false" ht="15" hidden="false" customHeight="false" outlineLevel="0" collapsed="false">
      <c r="A71" s="122" t="s">
        <v>83</v>
      </c>
      <c r="B71" s="0" t="s">
        <v>342</v>
      </c>
      <c r="C71" s="0" t="s">
        <v>338</v>
      </c>
      <c r="D71" s="69" t="n">
        <v>35</v>
      </c>
      <c r="E71" s="140" t="e">
        <f aca="false">Clusters[[#this row],[effort]]*1.2</f>
        <v>#VALUE!</v>
      </c>
    </row>
    <row r="72" customFormat="false" ht="15" hidden="false" customHeight="false" outlineLevel="0" collapsed="false">
      <c r="A72" s="122" t="s">
        <v>344</v>
      </c>
      <c r="B72" s="0" t="s">
        <v>337</v>
      </c>
      <c r="C72" s="0" t="s">
        <v>338</v>
      </c>
      <c r="D72" s="69" t="n">
        <v>1.06382978723404</v>
      </c>
      <c r="E72" s="140" t="e">
        <f aca="false">Clusters[[#this row],[effort]]*1.2</f>
        <v>#VALUE!</v>
      </c>
    </row>
    <row r="73" customFormat="false" ht="15" hidden="false" customHeight="false" outlineLevel="0" collapsed="false">
      <c r="A73" s="122" t="s">
        <v>344</v>
      </c>
      <c r="B73" s="0" t="s">
        <v>339</v>
      </c>
      <c r="C73" s="0" t="s">
        <v>338</v>
      </c>
      <c r="D73" s="69" t="n">
        <v>2.12765957446808</v>
      </c>
      <c r="E73" s="140" t="e">
        <f aca="false">Clusters[[#this row],[effort]]*1.2</f>
        <v>#VALUE!</v>
      </c>
    </row>
    <row r="74" customFormat="false" ht="15" hidden="false" customHeight="false" outlineLevel="0" collapsed="false">
      <c r="A74" s="122" t="s">
        <v>344</v>
      </c>
      <c r="B74" s="0" t="s">
        <v>340</v>
      </c>
      <c r="C74" s="0" t="s">
        <v>338</v>
      </c>
      <c r="D74" s="69" t="n">
        <v>4.25531914893617</v>
      </c>
      <c r="E74" s="140" t="e">
        <f aca="false">Clusters[[#this row],[effort]]*1.2</f>
        <v>#VALUE!</v>
      </c>
    </row>
    <row r="75" customFormat="false" ht="15" hidden="false" customHeight="false" outlineLevel="0" collapsed="false">
      <c r="A75" s="122" t="s">
        <v>344</v>
      </c>
      <c r="B75" s="0" t="s">
        <v>341</v>
      </c>
      <c r="C75" s="0" t="s">
        <v>338</v>
      </c>
      <c r="D75" s="69" t="n">
        <v>8.51063829787234</v>
      </c>
      <c r="E75" s="140" t="e">
        <f aca="false">Clusters[[#this row],[effort]]*1.2</f>
        <v>#VALUE!</v>
      </c>
    </row>
    <row r="76" customFormat="false" ht="15" hidden="false" customHeight="false" outlineLevel="0" collapsed="false">
      <c r="A76" s="122" t="s">
        <v>344</v>
      </c>
      <c r="B76" s="0" t="s">
        <v>342</v>
      </c>
      <c r="C76" s="0" t="s">
        <v>338</v>
      </c>
      <c r="D76" s="69" t="n">
        <v>16</v>
      </c>
      <c r="E76" s="140" t="e">
        <f aca="false">Clusters[[#this row],[effort]]*1.2</f>
        <v>#VALUE!</v>
      </c>
    </row>
    <row r="77" customFormat="false" ht="15" hidden="false" customHeight="false" outlineLevel="0" collapsed="false">
      <c r="A77" s="122" t="s">
        <v>82</v>
      </c>
      <c r="B77" s="0" t="s">
        <v>337</v>
      </c>
      <c r="C77" s="0" t="s">
        <v>338</v>
      </c>
      <c r="D77" s="69" t="n">
        <v>4.25531914893617</v>
      </c>
      <c r="E77" s="140" t="e">
        <f aca="false">Clusters[[#this row],[effort]]*1.2</f>
        <v>#VALUE!</v>
      </c>
    </row>
    <row r="78" customFormat="false" ht="15" hidden="false" customHeight="false" outlineLevel="0" collapsed="false">
      <c r="A78" s="122" t="s">
        <v>82</v>
      </c>
      <c r="B78" s="0" t="s">
        <v>339</v>
      </c>
      <c r="C78" s="0" t="s">
        <v>338</v>
      </c>
      <c r="D78" s="69" t="n">
        <v>17.0212765957447</v>
      </c>
      <c r="E78" s="140" t="e">
        <f aca="false">Clusters[[#this row],[effort]]*1.2</f>
        <v>#VALUE!</v>
      </c>
    </row>
    <row r="79" customFormat="false" ht="15" hidden="false" customHeight="false" outlineLevel="0" collapsed="false">
      <c r="A79" s="122" t="s">
        <v>82</v>
      </c>
      <c r="B79" s="0" t="s">
        <v>340</v>
      </c>
      <c r="C79" s="0" t="s">
        <v>338</v>
      </c>
      <c r="D79" s="69" t="n">
        <v>25.531914893617</v>
      </c>
      <c r="E79" s="140" t="e">
        <f aca="false">Clusters[[#this row],[effort]]*1.2</f>
        <v>#VALUE!</v>
      </c>
    </row>
    <row r="80" customFormat="false" ht="15" hidden="false" customHeight="false" outlineLevel="0" collapsed="false">
      <c r="A80" s="122" t="s">
        <v>82</v>
      </c>
      <c r="B80" s="0" t="s">
        <v>341</v>
      </c>
      <c r="C80" s="0" t="s">
        <v>338</v>
      </c>
      <c r="D80" s="69" t="n">
        <v>42.5531914893617</v>
      </c>
      <c r="E80" s="140" t="e">
        <f aca="false">Clusters[[#this row],[effort]]*1.2</f>
        <v>#VALUE!</v>
      </c>
    </row>
    <row r="81" customFormat="false" ht="15" hidden="false" customHeight="false" outlineLevel="0" collapsed="false">
      <c r="A81" s="122" t="s">
        <v>82</v>
      </c>
      <c r="B81" s="0" t="s">
        <v>342</v>
      </c>
      <c r="C81" s="0" t="s">
        <v>338</v>
      </c>
      <c r="D81" s="69" t="n">
        <v>51.063829787234</v>
      </c>
      <c r="E81" s="140" t="e">
        <f aca="false">Clusters[[#this row],[effort]]*1.2</f>
        <v>#VALUE!</v>
      </c>
    </row>
    <row r="82" customFormat="false" ht="15" hidden="false" customHeight="false" outlineLevel="0" collapsed="false">
      <c r="A82" s="0" t="s">
        <v>71</v>
      </c>
      <c r="B82" s="0" t="s">
        <v>337</v>
      </c>
      <c r="C82" s="0" t="s">
        <v>338</v>
      </c>
      <c r="D82" s="69" t="n">
        <v>1.06382978723404</v>
      </c>
      <c r="E82" s="140" t="e">
        <f aca="false">Clusters[[#this row],[effort]]*1.2</f>
        <v>#VALUE!</v>
      </c>
    </row>
    <row r="83" customFormat="false" ht="15" hidden="false" customHeight="false" outlineLevel="0" collapsed="false">
      <c r="A83" s="122" t="s">
        <v>71</v>
      </c>
      <c r="B83" s="0" t="s">
        <v>339</v>
      </c>
      <c r="C83" s="0" t="s">
        <v>338</v>
      </c>
      <c r="D83" s="69" t="n">
        <v>2.12765957446808</v>
      </c>
      <c r="E83" s="140" t="e">
        <f aca="false">Clusters[[#this row],[effort]]*1.2</f>
        <v>#VALUE!</v>
      </c>
    </row>
    <row r="84" customFormat="false" ht="15" hidden="false" customHeight="false" outlineLevel="0" collapsed="false">
      <c r="A84" s="122" t="s">
        <v>71</v>
      </c>
      <c r="B84" s="0" t="s">
        <v>340</v>
      </c>
      <c r="C84" s="0" t="s">
        <v>338</v>
      </c>
      <c r="D84" s="69" t="n">
        <v>4.25531914893617</v>
      </c>
      <c r="E84" s="140" t="e">
        <f aca="false">Clusters[[#this row],[effort]]*1.2</f>
        <v>#VALUE!</v>
      </c>
    </row>
    <row r="85" customFormat="false" ht="15" hidden="false" customHeight="false" outlineLevel="0" collapsed="false">
      <c r="A85" s="122" t="s">
        <v>71</v>
      </c>
      <c r="B85" s="0" t="s">
        <v>341</v>
      </c>
      <c r="C85" s="0" t="s">
        <v>338</v>
      </c>
      <c r="D85" s="69" t="n">
        <v>8.51063829787234</v>
      </c>
      <c r="E85" s="140" t="e">
        <f aca="false">Clusters[[#this row],[effort]]*1.2</f>
        <v>#VALUE!</v>
      </c>
    </row>
    <row r="86" customFormat="false" ht="15" hidden="false" customHeight="false" outlineLevel="0" collapsed="false">
      <c r="A86" s="122" t="s">
        <v>71</v>
      </c>
      <c r="B86" s="0" t="s">
        <v>342</v>
      </c>
      <c r="C86" s="0" t="s">
        <v>338</v>
      </c>
      <c r="D86" s="69" t="n">
        <v>16</v>
      </c>
      <c r="E86" s="140" t="e">
        <f aca="false">Clusters[[#this row],[effort]]*1.2</f>
        <v>#VALUE!</v>
      </c>
    </row>
    <row r="87" customFormat="false" ht="15" hidden="false" customHeight="false" outlineLevel="0" collapsed="false">
      <c r="A87" s="122" t="s">
        <v>84</v>
      </c>
      <c r="B87" s="0" t="s">
        <v>337</v>
      </c>
      <c r="C87" s="0" t="s">
        <v>347</v>
      </c>
      <c r="D87" s="69" t="n">
        <v>0.0531914893617021</v>
      </c>
      <c r="E87" s="140" t="e">
        <f aca="false">Clusters[[#this row],[effort]]*1.2</f>
        <v>#VALUE!</v>
      </c>
    </row>
    <row r="88" customFormat="false" ht="15" hidden="false" customHeight="false" outlineLevel="0" collapsed="false">
      <c r="A88" s="122" t="s">
        <v>84</v>
      </c>
      <c r="B88" s="0" t="s">
        <v>339</v>
      </c>
      <c r="C88" s="0" t="s">
        <v>347</v>
      </c>
      <c r="D88" s="69" t="n">
        <v>0.106382978723404</v>
      </c>
      <c r="E88" s="140" t="e">
        <f aca="false">Clusters[[#this row],[effort]]*1.2</f>
        <v>#VALUE!</v>
      </c>
    </row>
    <row r="89" customFormat="false" ht="15" hidden="false" customHeight="false" outlineLevel="0" collapsed="false">
      <c r="A89" s="122" t="s">
        <v>84</v>
      </c>
      <c r="B89" s="0" t="s">
        <v>340</v>
      </c>
      <c r="C89" s="0" t="s">
        <v>347</v>
      </c>
      <c r="D89" s="69" t="n">
        <v>0.159574468085106</v>
      </c>
      <c r="E89" s="140" t="e">
        <f aca="false">Clusters[[#this row],[effort]]*1.2</f>
        <v>#VALUE!</v>
      </c>
    </row>
    <row r="90" customFormat="false" ht="15" hidden="false" customHeight="false" outlineLevel="0" collapsed="false">
      <c r="A90" s="122" t="s">
        <v>84</v>
      </c>
      <c r="B90" s="0" t="s">
        <v>341</v>
      </c>
      <c r="C90" s="0" t="s">
        <v>347</v>
      </c>
      <c r="D90" s="69" t="n">
        <v>0.212765957446808</v>
      </c>
      <c r="E90" s="140" t="e">
        <f aca="false">Clusters[[#this row],[effort]]*1.2</f>
        <v>#VALUE!</v>
      </c>
    </row>
    <row r="91" customFormat="false" ht="15" hidden="false" customHeight="false" outlineLevel="0" collapsed="false">
      <c r="A91" s="122" t="s">
        <v>84</v>
      </c>
      <c r="B91" s="0" t="s">
        <v>342</v>
      </c>
      <c r="C91" s="0" t="s">
        <v>347</v>
      </c>
      <c r="D91" s="69" t="n">
        <v>0.3</v>
      </c>
      <c r="E91" s="140" t="e">
        <f aca="false">Clusters[[#this row],[effort]]*1.2</f>
        <v>#VALUE!</v>
      </c>
    </row>
    <row r="92" customFormat="false" ht="15" hidden="false" customHeight="false" outlineLevel="0" collapsed="false">
      <c r="A92" s="122" t="s">
        <v>73</v>
      </c>
      <c r="B92" s="0" t="s">
        <v>337</v>
      </c>
      <c r="C92" s="0" t="s">
        <v>346</v>
      </c>
      <c r="D92" s="69" t="n">
        <v>0.0106382978723404</v>
      </c>
      <c r="E92" s="140" t="e">
        <f aca="false">Clusters[[#this row],[effort]]*1.2</f>
        <v>#VALUE!</v>
      </c>
    </row>
    <row r="93" customFormat="false" ht="15" hidden="false" customHeight="false" outlineLevel="0" collapsed="false">
      <c r="A93" s="122" t="s">
        <v>73</v>
      </c>
      <c r="B93" s="0" t="s">
        <v>339</v>
      </c>
      <c r="C93" s="0" t="s">
        <v>346</v>
      </c>
      <c r="D93" s="69" t="n">
        <v>0.0531914893617021</v>
      </c>
      <c r="E93" s="140" t="e">
        <f aca="false">Clusters[[#this row],[effort]]*1.2</f>
        <v>#VALUE!</v>
      </c>
    </row>
    <row r="94" customFormat="false" ht="15" hidden="false" customHeight="false" outlineLevel="0" collapsed="false">
      <c r="A94" s="122" t="s">
        <v>73</v>
      </c>
      <c r="B94" s="0" t="s">
        <v>340</v>
      </c>
      <c r="C94" s="0" t="s">
        <v>346</v>
      </c>
      <c r="D94" s="69" t="n">
        <v>0.106382978723404</v>
      </c>
      <c r="E94" s="140" t="e">
        <f aca="false">Clusters[[#this row],[effort]]*1.2</f>
        <v>#VALUE!</v>
      </c>
    </row>
    <row r="95" customFormat="false" ht="15" hidden="false" customHeight="false" outlineLevel="0" collapsed="false">
      <c r="A95" s="122" t="s">
        <v>73</v>
      </c>
      <c r="B95" s="0" t="s">
        <v>341</v>
      </c>
      <c r="C95" s="0" t="s">
        <v>346</v>
      </c>
      <c r="D95" s="69" t="n">
        <v>0.212765957446808</v>
      </c>
      <c r="E95" s="140" t="e">
        <f aca="false">Clusters[[#this row],[effort]]*1.2</f>
        <v>#VALUE!</v>
      </c>
    </row>
    <row r="96" customFormat="false" ht="15" hidden="false" customHeight="false" outlineLevel="0" collapsed="false">
      <c r="A96" s="122" t="s">
        <v>73</v>
      </c>
      <c r="B96" s="0" t="s">
        <v>342</v>
      </c>
      <c r="C96" s="0" t="s">
        <v>346</v>
      </c>
      <c r="D96" s="69" t="n">
        <v>0.3</v>
      </c>
      <c r="E96" s="140" t="e">
        <f aca="false">Clusters[[#this row],[effort]]*1.2</f>
        <v>#VALUE!</v>
      </c>
    </row>
    <row r="97" customFormat="false" ht="15" hidden="false" customHeight="false" outlineLevel="0" collapsed="false">
      <c r="A97" s="0" t="s">
        <v>85</v>
      </c>
      <c r="B97" s="0" t="s">
        <v>337</v>
      </c>
      <c r="C97" s="0" t="s">
        <v>338</v>
      </c>
      <c r="D97" s="69" t="n">
        <v>2.12765957446808</v>
      </c>
      <c r="E97" s="140" t="e">
        <f aca="false">Clusters[[#this row],[effort]]*1.2</f>
        <v>#VALUE!</v>
      </c>
    </row>
    <row r="98" customFormat="false" ht="15" hidden="false" customHeight="false" outlineLevel="0" collapsed="false">
      <c r="A98" s="0" t="s">
        <v>85</v>
      </c>
      <c r="B98" s="0" t="s">
        <v>339</v>
      </c>
      <c r="C98" s="0" t="s">
        <v>338</v>
      </c>
      <c r="D98" s="69" t="n">
        <v>4.25531914893617</v>
      </c>
      <c r="E98" s="140" t="e">
        <f aca="false">Clusters[[#this row],[effort]]*1.2</f>
        <v>#VALUE!</v>
      </c>
    </row>
    <row r="99" customFormat="false" ht="15" hidden="false" customHeight="false" outlineLevel="0" collapsed="false">
      <c r="A99" s="0" t="s">
        <v>85</v>
      </c>
      <c r="B99" s="0" t="s">
        <v>340</v>
      </c>
      <c r="C99" s="0" t="s">
        <v>338</v>
      </c>
      <c r="D99" s="69" t="n">
        <v>8.51063829787234</v>
      </c>
      <c r="E99" s="140" t="e">
        <f aca="false">Clusters[[#this row],[effort]]*1.2</f>
        <v>#VALUE!</v>
      </c>
    </row>
    <row r="100" customFormat="false" ht="15" hidden="false" customHeight="false" outlineLevel="0" collapsed="false">
      <c r="A100" s="0" t="s">
        <v>85</v>
      </c>
      <c r="B100" s="0" t="s">
        <v>341</v>
      </c>
      <c r="C100" s="0" t="s">
        <v>338</v>
      </c>
      <c r="D100" s="69" t="n">
        <v>17.0212765957447</v>
      </c>
      <c r="E100" s="140" t="e">
        <f aca="false">Clusters[[#this row],[effort]]*1.2</f>
        <v>#VALUE!</v>
      </c>
    </row>
    <row r="101" customFormat="false" ht="15" hidden="false" customHeight="false" outlineLevel="0" collapsed="false">
      <c r="A101" s="0" t="s">
        <v>85</v>
      </c>
      <c r="B101" s="0" t="s">
        <v>342</v>
      </c>
      <c r="C101" s="0" t="s">
        <v>338</v>
      </c>
      <c r="D101" s="69" t="n">
        <v>35</v>
      </c>
      <c r="E101" s="140" t="e">
        <f aca="false">Clusters[[#this row],[effort]]*1.2</f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AW3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35.2834008097166"/>
    <col collapsed="false" hidden="false" max="2" min="2" style="0" width="15.7125506072875"/>
    <col collapsed="false" hidden="false" max="3" min="3" style="0" width="17.004048582996"/>
    <col collapsed="false" hidden="false" max="4" min="4" style="0" width="15.7125506072875"/>
    <col collapsed="false" hidden="false" max="5" min="5" style="0" width="47.5668016194332"/>
    <col collapsed="false" hidden="false" max="6" min="6" style="0" width="54.2793522267206"/>
    <col collapsed="false" hidden="false" max="7" min="7" style="0" width="17.4251012145749"/>
    <col collapsed="false" hidden="false" max="8" min="8" style="0" width="24.7165991902834"/>
    <col collapsed="false" hidden="false" max="9" min="9" style="0" width="17.4251012145749"/>
    <col collapsed="false" hidden="false" max="10" min="10" style="0" width="81.1376518218624"/>
    <col collapsed="false" hidden="true" max="12" min="11" style="0" width="0"/>
    <col collapsed="false" hidden="false" max="13" min="13" style="0" width="28.7165991902834"/>
    <col collapsed="false" hidden="false" max="14" min="14" style="0" width="24.7165991902834"/>
    <col collapsed="false" hidden="false" max="15" min="15" style="0" width="17.4251012145749"/>
    <col collapsed="false" hidden="false" max="16" min="16" style="0" width="81.1376518218624"/>
    <col collapsed="false" hidden="true" max="22" min="17" style="0" width="0"/>
    <col collapsed="false" hidden="false" max="23" min="23" style="0" width="14.4251012145749"/>
    <col collapsed="false" hidden="false" max="24" min="24" style="0" width="10.4251012145749"/>
    <col collapsed="false" hidden="false" max="25" min="25" style="141" width="17.1376518218624"/>
    <col collapsed="false" hidden="false" max="26" min="26" style="0" width="19.004048582996"/>
    <col collapsed="false" hidden="false" max="27" min="27" style="0" width="17.7085020242915"/>
    <col collapsed="false" hidden="false" max="28" min="28" style="0" width="12.4251012145749"/>
    <col collapsed="false" hidden="false" max="29" min="29" style="0" width="19.2834008097166"/>
    <col collapsed="false" hidden="false" max="30" min="30" style="0" width="16.1376518218624"/>
    <col collapsed="false" hidden="false" max="31" min="31" style="0" width="15.8542510121457"/>
    <col collapsed="false" hidden="false" max="32" min="32" style="0" width="17.7085020242915"/>
    <col collapsed="false" hidden="false" max="33" min="33" style="0" width="17.4251012145749"/>
    <col collapsed="false" hidden="false" max="34" min="34" style="0" width="15.5668016194332"/>
    <col collapsed="false" hidden="false" max="35" min="35" style="0" width="15.7125506072875"/>
    <col collapsed="false" hidden="false" max="36" min="36" style="0" width="12.995951417004"/>
    <col collapsed="false" hidden="false" max="37" min="37" style="0" width="12.7125506072875"/>
    <col collapsed="false" hidden="false" max="38" min="38" style="0" width="15.7125506072875"/>
    <col collapsed="false" hidden="false" max="39" min="39" style="0" width="16.1376518218624"/>
    <col collapsed="false" hidden="false" max="40" min="40" style="0" width="13.2834008097166"/>
    <col collapsed="false" hidden="false" max="41" min="41" style="0" width="17.004048582996"/>
    <col collapsed="false" hidden="false" max="42" min="42" style="0" width="16.4251012145749"/>
    <col collapsed="false" hidden="false" max="43" min="43" style="0" width="36.1417004048583"/>
    <col collapsed="false" hidden="false" max="44" min="44" style="0" width="24"/>
    <col collapsed="false" hidden="false" max="45" min="45" style="0" width="20.2793522267206"/>
    <col collapsed="false" hidden="false" max="46" min="46" style="0" width="23.2793522267206"/>
    <col collapsed="false" hidden="false" max="47" min="47" style="0" width="81.1376518218624"/>
    <col collapsed="false" hidden="false" max="48" min="48" style="0" width="21.7085020242915"/>
    <col collapsed="false" hidden="false" max="51" min="49" style="0" width="16.8542510121458"/>
    <col collapsed="false" hidden="false" max="52" min="52" style="0" width="22.1457489878542"/>
    <col collapsed="false" hidden="false" max="53" min="53" style="0" width="80.7085020242915"/>
    <col collapsed="false" hidden="false" max="54" min="54" style="0" width="13.4251012145749"/>
    <col collapsed="false" hidden="false" max="55" min="55" style="0" width="20.7085020242915"/>
    <col collapsed="false" hidden="false" max="56" min="56" style="0" width="16.1376518218624"/>
    <col collapsed="false" hidden="false" max="57" min="57" style="0" width="22.1457489878542"/>
    <col collapsed="false" hidden="false" max="58" min="58" style="0" width="17.4251012145749"/>
    <col collapsed="false" hidden="false" max="59" min="59" style="0" width="22.7085020242915"/>
    <col collapsed="false" hidden="false" max="60" min="60" style="0" width="19.1376518218624"/>
    <col collapsed="false" hidden="false" max="61" min="61" style="0" width="22.1457489878542"/>
    <col collapsed="false" hidden="false" max="62" min="62" style="0" width="80.7085020242915"/>
    <col collapsed="false" hidden="false" max="63" min="63" style="0" width="13.4251012145749"/>
    <col collapsed="false" hidden="false" max="64" min="64" style="0" width="20.7085020242915"/>
    <col collapsed="false" hidden="false" max="65" min="65" style="0" width="16.1376518218624"/>
    <col collapsed="false" hidden="false" max="66" min="66" style="0" width="22.1457489878542"/>
    <col collapsed="false" hidden="false" max="68" min="67" style="0" width="17.4251012145749"/>
    <col collapsed="false" hidden="false" max="69" min="69" style="0" width="11.4251012145749"/>
    <col collapsed="false" hidden="false" max="71" min="70" style="0" width="80.7085020242915"/>
    <col collapsed="false" hidden="false" max="72" min="72" style="0" width="11.4251012145749"/>
    <col collapsed="false" hidden="false" max="73" min="73" style="0" width="15.2834008097166"/>
    <col collapsed="false" hidden="false" max="74" min="74" style="0" width="19.7085020242915"/>
    <col collapsed="false" hidden="false" max="75" min="75" style="0" width="16.7125506072875"/>
    <col collapsed="false" hidden="false" max="76" min="76" style="0" width="13.2834008097166"/>
    <col collapsed="false" hidden="false" max="77" min="77" style="0" width="14.9959514170041"/>
    <col collapsed="false" hidden="false" max="78" min="78" style="0" width="16.2834008097166"/>
    <col collapsed="false" hidden="false" max="79" min="79" style="0" width="15.1376518218623"/>
    <col collapsed="false" hidden="false" max="80" min="80" style="0" width="45.4251012145749"/>
    <col collapsed="false" hidden="false" max="81" min="81" style="0" width="52.2793522267206"/>
    <col collapsed="false" hidden="false" max="82" min="82" style="0" width="20.2793522267206"/>
    <col collapsed="false" hidden="false" max="83" min="83" style="0" width="21.7085020242915"/>
    <col collapsed="false" hidden="false" max="84" min="84" style="0" width="15.2834008097166"/>
    <col collapsed="false" hidden="false" max="85" min="85" style="0" width="11.4251012145749"/>
    <col collapsed="false" hidden="false" max="87" min="86" style="0" width="80.7085020242915"/>
    <col collapsed="false" hidden="false" max="89" min="88" style="0" width="57.2793522267206"/>
    <col collapsed="false" hidden="false" max="90" min="90" style="0" width="80.7085020242915"/>
    <col collapsed="false" hidden="false" max="91" min="91" style="0" width="24.1457489878543"/>
    <col collapsed="false" hidden="false" max="92" min="92" style="0" width="80.7085020242915"/>
    <col collapsed="false" hidden="false" max="93" min="93" style="0" width="22.7085020242915"/>
    <col collapsed="false" hidden="false" max="94" min="94" style="0" width="10.7125506072875"/>
    <col collapsed="false" hidden="false" max="95" min="95" style="0" width="15.7125506072875"/>
    <col collapsed="false" hidden="false" max="96" min="96" style="0" width="10.1417004048583"/>
    <col collapsed="false" hidden="false" max="97" min="97" style="0" width="22.7085020242915"/>
    <col collapsed="false" hidden="false" max="98" min="98" style="0" width="14.7125506072875"/>
    <col collapsed="false" hidden="false" max="1025" min="99" style="0" width="8.71255060728745"/>
  </cols>
  <sheetData>
    <row r="1" customFormat="false" ht="15" hidden="false" customHeight="false" outlineLevel="0" collapsed="false">
      <c r="A1" s="142" t="s">
        <v>0</v>
      </c>
      <c r="B1" s="0" t="s">
        <v>243</v>
      </c>
      <c r="C1" s="0" t="s">
        <v>244</v>
      </c>
      <c r="D1" s="0" t="s">
        <v>242</v>
      </c>
      <c r="E1" s="0" t="s">
        <v>348</v>
      </c>
      <c r="F1" s="0" t="s">
        <v>6</v>
      </c>
      <c r="G1" s="0" t="s">
        <v>245</v>
      </c>
      <c r="H1" s="0" t="s">
        <v>246</v>
      </c>
      <c r="I1" s="0" t="s">
        <v>247</v>
      </c>
      <c r="J1" s="0" t="s">
        <v>349</v>
      </c>
      <c r="K1" s="0" t="s">
        <v>350</v>
      </c>
      <c r="L1" s="0" t="s">
        <v>7</v>
      </c>
      <c r="M1" s="0" t="s">
        <v>8</v>
      </c>
      <c r="N1" s="0" t="s">
        <v>248</v>
      </c>
      <c r="O1" s="0" t="s">
        <v>249</v>
      </c>
      <c r="P1" s="0" t="s">
        <v>351</v>
      </c>
      <c r="Q1" s="0" t="s">
        <v>352</v>
      </c>
      <c r="R1" s="0" t="s">
        <v>353</v>
      </c>
      <c r="S1" s="142" t="s">
        <v>354</v>
      </c>
      <c r="T1" s="142" t="s">
        <v>355</v>
      </c>
      <c r="U1" s="142" t="s">
        <v>356</v>
      </c>
      <c r="V1" s="142" t="s">
        <v>357</v>
      </c>
      <c r="W1" s="142" t="s">
        <v>5</v>
      </c>
      <c r="X1" s="142" t="s">
        <v>358</v>
      </c>
      <c r="Y1" s="142" t="s">
        <v>359</v>
      </c>
      <c r="Z1" s="142" t="s">
        <v>360</v>
      </c>
      <c r="AA1" s="142" t="s">
        <v>361</v>
      </c>
      <c r="AB1" s="142" t="s">
        <v>362</v>
      </c>
      <c r="AC1" s="142" t="s">
        <v>363</v>
      </c>
      <c r="AD1" s="142" t="s">
        <v>364</v>
      </c>
      <c r="AE1" s="142" t="s">
        <v>365</v>
      </c>
      <c r="AF1" s="142" t="s">
        <v>366</v>
      </c>
      <c r="AG1" s="142" t="s">
        <v>367</v>
      </c>
      <c r="AH1" s="142" t="s">
        <v>368</v>
      </c>
      <c r="AI1" s="142" t="s">
        <v>369</v>
      </c>
      <c r="AJ1" s="0" t="s">
        <v>370</v>
      </c>
      <c r="AK1" s="0" t="s">
        <v>371</v>
      </c>
      <c r="AL1" s="0" t="s">
        <v>372</v>
      </c>
      <c r="AM1" s="0" t="s">
        <v>373</v>
      </c>
      <c r="AN1" s="0" t="s">
        <v>374</v>
      </c>
      <c r="AO1" s="0" t="s">
        <v>375</v>
      </c>
      <c r="AP1" s="0" t="s">
        <v>376</v>
      </c>
      <c r="AQ1" s="0" t="s">
        <v>377</v>
      </c>
      <c r="AR1" s="0" t="s">
        <v>2</v>
      </c>
      <c r="AS1" s="0" t="s">
        <v>251</v>
      </c>
      <c r="AT1" s="0" t="s">
        <v>4</v>
      </c>
      <c r="AU1" s="0" t="s">
        <v>252</v>
      </c>
      <c r="AV1" s="0" t="s">
        <v>378</v>
      </c>
      <c r="AW1" s="0" t="s">
        <v>379</v>
      </c>
    </row>
    <row r="2" customFormat="false" ht="15" hidden="false" customHeight="false" outlineLevel="0" collapsed="false">
      <c r="A2" s="0" t="s">
        <v>380</v>
      </c>
      <c r="G2" s="0" t="s">
        <v>381</v>
      </c>
      <c r="H2" s="0" t="s">
        <v>382</v>
      </c>
      <c r="I2" s="0" t="s">
        <v>383</v>
      </c>
      <c r="J2" s="0" t="s">
        <v>384</v>
      </c>
      <c r="K2" s="0" t="s">
        <v>385</v>
      </c>
      <c r="L2" s="0" t="s">
        <v>386</v>
      </c>
      <c r="M2" s="0" t="s">
        <v>50</v>
      </c>
      <c r="N2" s="141" t="s">
        <v>387</v>
      </c>
      <c r="O2" s="0" t="s">
        <v>388</v>
      </c>
      <c r="P2" s="0" t="s">
        <v>389</v>
      </c>
      <c r="Q2" s="0" t="s">
        <v>390</v>
      </c>
      <c r="R2" s="0" t="s">
        <v>391</v>
      </c>
      <c r="T2" s="0" t="n">
        <v>355481</v>
      </c>
      <c r="U2" s="0" t="n">
        <v>356083</v>
      </c>
      <c r="V2" s="0" t="s">
        <v>327</v>
      </c>
      <c r="W2" s="0" t="s">
        <v>22</v>
      </c>
      <c r="Y2" s="141" t="n">
        <v>0</v>
      </c>
      <c r="AC2" s="0" t="s">
        <v>392</v>
      </c>
      <c r="AD2" s="0" t="e">
        <f aca="false">SUMIFS(Clusters[effort],Clusters[cluster name],AllIssues[[#this row],[subtask_type]],Clusters[t-shirt size],AllIssues[tshirt_size])</f>
        <v>#VALUE!</v>
      </c>
      <c r="AE2" s="0" t="e">
        <f aca="false">SUMIFS(Clusters[cycle],Clusters[cluster name],AllIssues[[#this row],[subtask_type]],Clusters[t-shirt size],AllIssues[tshirt_size])</f>
        <v>#VALUE!</v>
      </c>
      <c r="AF2" s="0" t="e">
        <f aca="false">AllIssues[effortestimate]-AllIssues[effortdone]</f>
        <v>#VALUE!</v>
      </c>
      <c r="AG2" s="0" t="e">
        <f aca="false">AllIssues[cycleestimate]-AllIssues[cycledone]</f>
        <v>#VALUE!</v>
      </c>
      <c r="AH2" s="143" t="e">
        <f aca="false">IF(AllIssues[[#this row],[planning_type]]="Ballpark",AllIssues[effortestimate],0)</f>
        <v>#VALUE!</v>
      </c>
      <c r="AI2" s="0" t="e">
        <f aca="false">IF(AllIssues[[#this row],[planning_type]]="Plan",AllIssues[effortestimate],0)</f>
        <v>#VALUE!</v>
      </c>
      <c r="AJ2" s="0" t="e">
        <f aca="false">IF(OR(AllIssues[subtask_status]="Done",AllIssues[subtask_status]="Cancelled"),AllIssues[effortestimate],0)</f>
        <v>#VALUE!</v>
      </c>
      <c r="AK2" s="0" t="e">
        <f aca="false">IF(OR(AllIssues[subtask_status]="Done",AllIssues[subtask_status]="Cancelled"),AllIssues[cycleestimate],0)</f>
        <v>#VALUE!</v>
      </c>
      <c r="AL2" s="0" t="e">
        <f aca="false">IF(OR(AllIssues[subtask_status]="Done",AllIssues[subtask_status]="Cancelled"),AllIssues[worklog],0)</f>
        <v>#VALUE!</v>
      </c>
      <c r="AM2" s="0" t="e">
        <f aca="false">IF(OR(AllIssues[subtask_status]="Done",AllIssues[subtask_status]="Cancelled"),0, AllIssues[worklog])</f>
        <v>#VALUE!</v>
      </c>
      <c r="AN2" s="0" t="e">
        <f aca="false">IF(COUNTIFS(AllIssues[task_id],AllIssues[task_id],AllIssues[task_id],"&gt;0")=0,0,1/COUNTIFS(AllIssues[task_id],AllIssues[task_id],AllIssues[task_id],"&gt;0"))</f>
        <v>#VALUE!</v>
      </c>
      <c r="AO2" s="0" t="e">
        <f aca="false">IF(COUNTIFS(AllIssues[demand_description],AllIssues[demand_description])=0,0,1/COUNTIFS(AllIssues[demand_description],AllIssues[demand_description]))</f>
        <v>#VALUE!</v>
      </c>
      <c r="AP2" s="0" t="e">
        <f aca="false">IF(AllIssues[planning_type]="Plan",1,0)</f>
        <v>#VALUE!</v>
      </c>
      <c r="AQ2" s="0" t="e">
        <f aca="false">IF(AllIssues[[#this row],[subtask_status]]="Done", AllIssues[[#this row],[effortdone]],0)</f>
        <v>#VALUE!</v>
      </c>
      <c r="AR2" s="144" t="e">
        <f aca="false">IF(AllIssues[demand_description]="","",VLOOKUP(AllIssues[demand_status],'Ordered Status'!A:B,2, 0))</f>
        <v>#VALUE!</v>
      </c>
      <c r="AS2" s="144" t="e">
        <f aca="false">IF(AllIssues[task_description]="","",VLOOKUP(AllIssues[task_status],'Ordered Status'!C:D,2, 0))</f>
        <v>#VALUE!</v>
      </c>
      <c r="AT2" s="144" t="e">
        <f aca="false">IF(AllIssues[subtask_description]="","",VLOOKUP(AllIssues[subtask_status],'Ordered Status'!E:F,2, 0))</f>
        <v>#VALUE!</v>
      </c>
      <c r="AU2" s="144" t="e">
        <f aca="false">CONCATENATE(AllIssues[subtaskorderedstatus]," &gt; ",AllIssues[subtask_full_description])</f>
        <v>#VALUE!</v>
      </c>
      <c r="AV2" s="144" t="e">
        <f aca="false">IF(AllIssues[task_type]="Bug",AllIssues[effortestimate], 0)</f>
        <v>#VALUE!</v>
      </c>
      <c r="AW2" s="144" t="e">
        <f aca="false">IF(AllIssues[task_type]="Bug",AllIssues[worklog],0)</f>
        <v>#VALUE!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  <row r="643" customFormat="false" ht="13.8" hidden="false" customHeight="false" outlineLevel="0" collapsed="false"/>
    <row r="644" customFormat="false" ht="13.8" hidden="false" customHeight="false" outlineLevel="0" collapsed="false"/>
    <row r="645" customFormat="false" ht="13.8" hidden="false" customHeight="false" outlineLevel="0" collapsed="false"/>
    <row r="646" customFormat="false" ht="13.8" hidden="false" customHeight="false" outlineLevel="0" collapsed="false"/>
    <row r="647" customFormat="false" ht="13.8" hidden="false" customHeight="false" outlineLevel="0" collapsed="false"/>
    <row r="648" customFormat="false" ht="13.8" hidden="false" customHeight="false" outlineLevel="0" collapsed="false"/>
    <row r="649" customFormat="false" ht="13.8" hidden="false" customHeight="false" outlineLevel="0" collapsed="false"/>
    <row r="650" customFormat="false" ht="13.8" hidden="false" customHeight="false" outlineLevel="0" collapsed="false"/>
    <row r="651" customFormat="false" ht="13.8" hidden="false" customHeight="false" outlineLevel="0" collapsed="false"/>
    <row r="652" customFormat="false" ht="13.8" hidden="false" customHeight="false" outlineLevel="0" collapsed="false"/>
    <row r="653" customFormat="false" ht="13.8" hidden="false" customHeight="false" outlineLevel="0" collapsed="false"/>
    <row r="654" customFormat="false" ht="13.8" hidden="false" customHeight="false" outlineLevel="0" collapsed="false"/>
    <row r="655" customFormat="false" ht="13.8" hidden="false" customHeight="false" outlineLevel="0" collapsed="false"/>
    <row r="656" customFormat="false" ht="13.8" hidden="false" customHeight="false" outlineLevel="0" collapsed="false"/>
    <row r="657" customFormat="false" ht="13.8" hidden="false" customHeight="false" outlineLevel="0" collapsed="false"/>
    <row r="658" customFormat="false" ht="13.8" hidden="false" customHeight="false" outlineLevel="0" collapsed="false"/>
    <row r="659" customFormat="false" ht="13.8" hidden="false" customHeight="false" outlineLevel="0" collapsed="false"/>
    <row r="660" customFormat="false" ht="13.8" hidden="false" customHeight="false" outlineLevel="0" collapsed="false"/>
    <row r="661" customFormat="false" ht="13.8" hidden="false" customHeight="false" outlineLevel="0" collapsed="false"/>
    <row r="662" customFormat="false" ht="13.8" hidden="false" customHeight="false" outlineLevel="0" collapsed="false"/>
    <row r="663" customFormat="false" ht="13.8" hidden="false" customHeight="false" outlineLevel="0" collapsed="false"/>
    <row r="664" customFormat="false" ht="13.8" hidden="false" customHeight="false" outlineLevel="0" collapsed="false"/>
    <row r="665" customFormat="false" ht="13.8" hidden="false" customHeight="false" outlineLevel="0" collapsed="false"/>
    <row r="666" customFormat="false" ht="13.8" hidden="false" customHeight="false" outlineLevel="0" collapsed="false"/>
    <row r="667" customFormat="false" ht="13.8" hidden="false" customHeight="false" outlineLevel="0" collapsed="false"/>
    <row r="668" customFormat="false" ht="13.8" hidden="false" customHeight="false" outlineLevel="0" collapsed="false"/>
    <row r="669" customFormat="false" ht="13.8" hidden="false" customHeight="false" outlineLevel="0" collapsed="false"/>
    <row r="670" customFormat="false" ht="13.8" hidden="false" customHeight="false" outlineLevel="0" collapsed="false"/>
    <row r="671" customFormat="false" ht="13.8" hidden="false" customHeight="false" outlineLevel="0" collapsed="false"/>
    <row r="672" customFormat="false" ht="13.8" hidden="false" customHeight="false" outlineLevel="0" collapsed="false"/>
    <row r="673" customFormat="false" ht="13.8" hidden="false" customHeight="false" outlineLevel="0" collapsed="false"/>
    <row r="674" customFormat="false" ht="13.8" hidden="false" customHeight="false" outlineLevel="0" collapsed="false"/>
    <row r="675" customFormat="false" ht="13.8" hidden="false" customHeight="false" outlineLevel="0" collapsed="false"/>
    <row r="676" customFormat="false" ht="13.8" hidden="false" customHeight="false" outlineLevel="0" collapsed="false"/>
    <row r="677" customFormat="false" ht="13.8" hidden="false" customHeight="false" outlineLevel="0" collapsed="false"/>
    <row r="678" customFormat="false" ht="13.8" hidden="false" customHeight="false" outlineLevel="0" collapsed="false"/>
    <row r="679" customFormat="false" ht="13.8" hidden="false" customHeight="false" outlineLevel="0" collapsed="false"/>
    <row r="680" customFormat="false" ht="13.8" hidden="false" customHeight="false" outlineLevel="0" collapsed="false"/>
    <row r="681" customFormat="false" ht="13.8" hidden="false" customHeight="false" outlineLevel="0" collapsed="false"/>
    <row r="682" customFormat="false" ht="13.8" hidden="false" customHeight="false" outlineLevel="0" collapsed="false"/>
    <row r="683" customFormat="false" ht="13.8" hidden="false" customHeight="false" outlineLevel="0" collapsed="false"/>
    <row r="684" customFormat="false" ht="13.8" hidden="false" customHeight="false" outlineLevel="0" collapsed="false"/>
    <row r="685" customFormat="false" ht="13.8" hidden="false" customHeight="false" outlineLevel="0" collapsed="false"/>
    <row r="686" customFormat="false" ht="13.8" hidden="false" customHeight="false" outlineLevel="0" collapsed="false"/>
    <row r="687" customFormat="false" ht="13.8" hidden="false" customHeight="false" outlineLevel="0" collapsed="false"/>
    <row r="688" customFormat="false" ht="13.8" hidden="false" customHeight="false" outlineLevel="0" collapsed="false"/>
    <row r="689" customFormat="false" ht="13.8" hidden="false" customHeight="false" outlineLevel="0" collapsed="false"/>
    <row r="690" customFormat="false" ht="13.8" hidden="false" customHeight="false" outlineLevel="0" collapsed="false"/>
    <row r="691" customFormat="false" ht="13.8" hidden="false" customHeight="false" outlineLevel="0" collapsed="false"/>
    <row r="692" customFormat="false" ht="13.8" hidden="false" customHeight="false" outlineLevel="0" collapsed="false"/>
    <row r="693" customFormat="false" ht="13.8" hidden="false" customHeight="false" outlineLevel="0" collapsed="false"/>
    <row r="694" customFormat="false" ht="13.8" hidden="false" customHeight="false" outlineLevel="0" collapsed="false"/>
    <row r="695" customFormat="false" ht="13.8" hidden="false" customHeight="false" outlineLevel="0" collapsed="false"/>
    <row r="696" customFormat="false" ht="13.8" hidden="false" customHeight="false" outlineLevel="0" collapsed="false"/>
    <row r="697" customFormat="false" ht="13.8" hidden="false" customHeight="false" outlineLevel="0" collapsed="false"/>
    <row r="698" customFormat="false" ht="13.8" hidden="false" customHeight="false" outlineLevel="0" collapsed="false"/>
    <row r="699" customFormat="false" ht="13.8" hidden="false" customHeight="false" outlineLevel="0" collapsed="false"/>
    <row r="700" customFormat="false" ht="13.8" hidden="false" customHeight="false" outlineLevel="0" collapsed="false"/>
    <row r="701" customFormat="false" ht="13.8" hidden="false" customHeight="false" outlineLevel="0" collapsed="false"/>
    <row r="702" customFormat="false" ht="13.8" hidden="false" customHeight="false" outlineLevel="0" collapsed="false"/>
    <row r="703" customFormat="false" ht="13.8" hidden="false" customHeight="false" outlineLevel="0" collapsed="false"/>
    <row r="704" customFormat="false" ht="13.8" hidden="false" customHeight="false" outlineLevel="0" collapsed="false"/>
    <row r="705" customFormat="false" ht="13.8" hidden="false" customHeight="false" outlineLevel="0" collapsed="false"/>
    <row r="706" customFormat="false" ht="13.8" hidden="false" customHeight="false" outlineLevel="0" collapsed="false"/>
    <row r="707" customFormat="false" ht="13.8" hidden="false" customHeight="false" outlineLevel="0" collapsed="false"/>
    <row r="708" customFormat="false" ht="13.8" hidden="false" customHeight="false" outlineLevel="0" collapsed="false"/>
    <row r="709" customFormat="false" ht="13.8" hidden="false" customHeight="false" outlineLevel="0" collapsed="false"/>
    <row r="710" customFormat="false" ht="13.8" hidden="false" customHeight="false" outlineLevel="0" collapsed="false"/>
    <row r="711" customFormat="false" ht="13.8" hidden="false" customHeight="false" outlineLevel="0" collapsed="false"/>
    <row r="712" customFormat="false" ht="13.8" hidden="false" customHeight="false" outlineLevel="0" collapsed="false"/>
    <row r="713" customFormat="false" ht="13.8" hidden="false" customHeight="false" outlineLevel="0" collapsed="false"/>
    <row r="714" customFormat="false" ht="13.8" hidden="false" customHeight="false" outlineLevel="0" collapsed="false"/>
    <row r="715" customFormat="false" ht="13.8" hidden="false" customHeight="false" outlineLevel="0" collapsed="false"/>
    <row r="716" customFormat="false" ht="13.8" hidden="false" customHeight="false" outlineLevel="0" collapsed="false"/>
    <row r="717" customFormat="false" ht="13.8" hidden="false" customHeight="false" outlineLevel="0" collapsed="false"/>
    <row r="718" customFormat="false" ht="13.8" hidden="false" customHeight="false" outlineLevel="0" collapsed="false"/>
    <row r="719" customFormat="false" ht="13.8" hidden="false" customHeight="false" outlineLevel="0" collapsed="false"/>
    <row r="720" customFormat="false" ht="13.8" hidden="false" customHeight="false" outlineLevel="0" collapsed="false"/>
    <row r="721" customFormat="false" ht="13.8" hidden="false" customHeight="false" outlineLevel="0" collapsed="false"/>
    <row r="722" customFormat="false" ht="13.8" hidden="false" customHeight="false" outlineLevel="0" collapsed="false"/>
    <row r="723" customFormat="false" ht="13.8" hidden="false" customHeight="false" outlineLevel="0" collapsed="false"/>
    <row r="724" customFormat="false" ht="13.8" hidden="false" customHeight="false" outlineLevel="0" collapsed="false"/>
    <row r="725" customFormat="false" ht="13.8" hidden="false" customHeight="false" outlineLevel="0" collapsed="false"/>
    <row r="726" customFormat="false" ht="13.8" hidden="false" customHeight="false" outlineLevel="0" collapsed="false"/>
    <row r="727" customFormat="false" ht="13.8" hidden="false" customHeight="false" outlineLevel="0" collapsed="false"/>
    <row r="728" customFormat="false" ht="13.8" hidden="false" customHeight="false" outlineLevel="0" collapsed="false"/>
    <row r="729" customFormat="false" ht="13.8" hidden="false" customHeight="false" outlineLevel="0" collapsed="false"/>
    <row r="730" customFormat="false" ht="13.8" hidden="false" customHeight="false" outlineLevel="0" collapsed="false"/>
    <row r="731" customFormat="false" ht="13.8" hidden="false" customHeight="false" outlineLevel="0" collapsed="false"/>
    <row r="732" customFormat="false" ht="13.8" hidden="false" customHeight="false" outlineLevel="0" collapsed="false"/>
    <row r="733" customFormat="false" ht="13.8" hidden="false" customHeight="false" outlineLevel="0" collapsed="false"/>
    <row r="734" customFormat="false" ht="13.8" hidden="false" customHeight="false" outlineLevel="0" collapsed="false"/>
    <row r="735" customFormat="false" ht="13.8" hidden="false" customHeight="false" outlineLevel="0" collapsed="false"/>
    <row r="736" customFormat="false" ht="13.8" hidden="false" customHeight="false" outlineLevel="0" collapsed="false"/>
    <row r="737" customFormat="false" ht="13.8" hidden="false" customHeight="false" outlineLevel="0" collapsed="false"/>
    <row r="738" customFormat="false" ht="13.8" hidden="false" customHeight="false" outlineLevel="0" collapsed="false"/>
    <row r="739" customFormat="false" ht="13.8" hidden="false" customHeight="false" outlineLevel="0" collapsed="false"/>
    <row r="740" customFormat="false" ht="13.8" hidden="false" customHeight="false" outlineLevel="0" collapsed="false"/>
    <row r="741" customFormat="false" ht="13.8" hidden="false" customHeight="false" outlineLevel="0" collapsed="false"/>
    <row r="742" customFormat="false" ht="13.8" hidden="false" customHeight="false" outlineLevel="0" collapsed="false"/>
    <row r="743" customFormat="false" ht="13.8" hidden="false" customHeight="false" outlineLevel="0" collapsed="false"/>
    <row r="744" customFormat="false" ht="13.8" hidden="false" customHeight="false" outlineLevel="0" collapsed="false"/>
    <row r="745" customFormat="false" ht="13.8" hidden="false" customHeight="false" outlineLevel="0" collapsed="false"/>
    <row r="746" customFormat="false" ht="13.8" hidden="false" customHeight="false" outlineLevel="0" collapsed="false"/>
    <row r="747" customFormat="false" ht="13.8" hidden="false" customHeight="false" outlineLevel="0" collapsed="false"/>
    <row r="748" customFormat="false" ht="13.8" hidden="false" customHeight="false" outlineLevel="0" collapsed="false"/>
    <row r="749" customFormat="false" ht="13.8" hidden="false" customHeight="false" outlineLevel="0" collapsed="false"/>
    <row r="750" customFormat="false" ht="13.8" hidden="false" customHeight="false" outlineLevel="0" collapsed="false"/>
    <row r="751" customFormat="false" ht="13.8" hidden="false" customHeight="false" outlineLevel="0" collapsed="false"/>
    <row r="752" customFormat="false" ht="13.8" hidden="false" customHeight="false" outlineLevel="0" collapsed="false"/>
    <row r="753" customFormat="false" ht="13.8" hidden="false" customHeight="false" outlineLevel="0" collapsed="false"/>
    <row r="754" customFormat="false" ht="13.8" hidden="false" customHeight="false" outlineLevel="0" collapsed="false"/>
    <row r="755" customFormat="false" ht="13.8" hidden="false" customHeight="false" outlineLevel="0" collapsed="false"/>
    <row r="756" customFormat="false" ht="13.8" hidden="false" customHeight="false" outlineLevel="0" collapsed="false"/>
    <row r="757" customFormat="false" ht="13.8" hidden="false" customHeight="false" outlineLevel="0" collapsed="false"/>
    <row r="758" customFormat="false" ht="13.8" hidden="false" customHeight="false" outlineLevel="0" collapsed="false"/>
    <row r="759" customFormat="false" ht="13.8" hidden="false" customHeight="false" outlineLevel="0" collapsed="false"/>
    <row r="760" customFormat="false" ht="13.8" hidden="false" customHeight="false" outlineLevel="0" collapsed="false"/>
    <row r="761" customFormat="false" ht="13.8" hidden="false" customHeight="false" outlineLevel="0" collapsed="false"/>
    <row r="762" customFormat="false" ht="13.8" hidden="false" customHeight="false" outlineLevel="0" collapsed="false"/>
    <row r="763" customFormat="false" ht="13.8" hidden="false" customHeight="false" outlineLevel="0" collapsed="false"/>
    <row r="764" customFormat="false" ht="13.8" hidden="false" customHeight="false" outlineLevel="0" collapsed="false"/>
    <row r="765" customFormat="false" ht="13.8" hidden="false" customHeight="false" outlineLevel="0" collapsed="false"/>
    <row r="766" customFormat="false" ht="13.8" hidden="false" customHeight="false" outlineLevel="0" collapsed="false"/>
    <row r="767" customFormat="false" ht="13.8" hidden="false" customHeight="false" outlineLevel="0" collapsed="false"/>
    <row r="768" customFormat="false" ht="13.8" hidden="false" customHeight="false" outlineLevel="0" collapsed="false"/>
    <row r="769" customFormat="false" ht="13.8" hidden="false" customHeight="false" outlineLevel="0" collapsed="false"/>
    <row r="770" customFormat="false" ht="13.8" hidden="false" customHeight="false" outlineLevel="0" collapsed="false"/>
    <row r="771" customFormat="false" ht="13.8" hidden="false" customHeight="false" outlineLevel="0" collapsed="false"/>
    <row r="772" customFormat="false" ht="13.8" hidden="false" customHeight="false" outlineLevel="0" collapsed="false"/>
    <row r="773" customFormat="false" ht="13.8" hidden="false" customHeight="false" outlineLevel="0" collapsed="false"/>
    <row r="774" customFormat="false" ht="13.8" hidden="false" customHeight="false" outlineLevel="0" collapsed="false"/>
    <row r="775" customFormat="false" ht="13.8" hidden="false" customHeight="false" outlineLevel="0" collapsed="false"/>
    <row r="776" customFormat="false" ht="13.8" hidden="false" customHeight="false" outlineLevel="0" collapsed="false"/>
    <row r="777" customFormat="false" ht="13.8" hidden="false" customHeight="false" outlineLevel="0" collapsed="false"/>
    <row r="778" customFormat="false" ht="13.8" hidden="false" customHeight="false" outlineLevel="0" collapsed="false"/>
    <row r="779" customFormat="false" ht="13.8" hidden="false" customHeight="false" outlineLevel="0" collapsed="false"/>
    <row r="780" customFormat="false" ht="13.8" hidden="false" customHeight="false" outlineLevel="0" collapsed="false"/>
    <row r="781" customFormat="false" ht="13.8" hidden="false" customHeight="false" outlineLevel="0" collapsed="false"/>
    <row r="782" customFormat="false" ht="13.8" hidden="false" customHeight="false" outlineLevel="0" collapsed="false"/>
    <row r="783" customFormat="false" ht="13.8" hidden="false" customHeight="false" outlineLevel="0" collapsed="false"/>
    <row r="784" customFormat="false" ht="13.8" hidden="false" customHeight="false" outlineLevel="0" collapsed="false"/>
    <row r="785" customFormat="false" ht="13.8" hidden="false" customHeight="false" outlineLevel="0" collapsed="false"/>
    <row r="786" customFormat="false" ht="13.8" hidden="false" customHeight="false" outlineLevel="0" collapsed="false"/>
    <row r="787" customFormat="false" ht="13.8" hidden="false" customHeight="false" outlineLevel="0" collapsed="false"/>
    <row r="788" customFormat="false" ht="13.8" hidden="false" customHeight="false" outlineLevel="0" collapsed="false"/>
    <row r="789" customFormat="false" ht="13.8" hidden="false" customHeight="false" outlineLevel="0" collapsed="false"/>
    <row r="790" customFormat="false" ht="13.8" hidden="false" customHeight="false" outlineLevel="0" collapsed="false"/>
    <row r="791" customFormat="false" ht="13.8" hidden="false" customHeight="false" outlineLevel="0" collapsed="false"/>
    <row r="792" customFormat="false" ht="13.8" hidden="false" customHeight="false" outlineLevel="0" collapsed="false"/>
    <row r="793" customFormat="false" ht="13.8" hidden="false" customHeight="false" outlineLevel="0" collapsed="false"/>
    <row r="794" customFormat="false" ht="13.8" hidden="false" customHeight="false" outlineLevel="0" collapsed="false"/>
    <row r="795" customFormat="false" ht="13.8" hidden="false" customHeight="false" outlineLevel="0" collapsed="false"/>
    <row r="796" customFormat="false" ht="13.8" hidden="false" customHeight="false" outlineLevel="0" collapsed="false"/>
    <row r="797" customFormat="false" ht="13.8" hidden="false" customHeight="false" outlineLevel="0" collapsed="false"/>
    <row r="798" customFormat="false" ht="13.8" hidden="false" customHeight="false" outlineLevel="0" collapsed="false"/>
    <row r="799" customFormat="false" ht="13.8" hidden="false" customHeight="false" outlineLevel="0" collapsed="false"/>
    <row r="800" customFormat="false" ht="13.8" hidden="false" customHeight="false" outlineLevel="0" collapsed="false"/>
    <row r="801" customFormat="false" ht="13.8" hidden="false" customHeight="false" outlineLevel="0" collapsed="false"/>
    <row r="802" customFormat="false" ht="13.8" hidden="false" customHeight="false" outlineLevel="0" collapsed="false"/>
    <row r="803" customFormat="false" ht="13.8" hidden="false" customHeight="false" outlineLevel="0" collapsed="false"/>
    <row r="804" customFormat="false" ht="13.8" hidden="false" customHeight="false" outlineLevel="0" collapsed="false"/>
    <row r="805" customFormat="false" ht="13.8" hidden="false" customHeight="false" outlineLevel="0" collapsed="false"/>
    <row r="806" customFormat="false" ht="13.8" hidden="false" customHeight="false" outlineLevel="0" collapsed="false"/>
    <row r="807" customFormat="false" ht="13.8" hidden="false" customHeight="false" outlineLevel="0" collapsed="false"/>
    <row r="808" customFormat="false" ht="13.8" hidden="false" customHeight="false" outlineLevel="0" collapsed="false"/>
    <row r="809" customFormat="false" ht="13.8" hidden="false" customHeight="false" outlineLevel="0" collapsed="false"/>
    <row r="810" customFormat="false" ht="13.8" hidden="false" customHeight="false" outlineLevel="0" collapsed="false"/>
    <row r="811" customFormat="false" ht="13.8" hidden="false" customHeight="false" outlineLevel="0" collapsed="false"/>
    <row r="812" customFormat="false" ht="13.8" hidden="false" customHeight="false" outlineLevel="0" collapsed="false"/>
    <row r="813" customFormat="false" ht="13.8" hidden="false" customHeight="false" outlineLevel="0" collapsed="false"/>
    <row r="814" customFormat="false" ht="13.8" hidden="false" customHeight="false" outlineLevel="0" collapsed="false"/>
    <row r="815" customFormat="false" ht="13.8" hidden="false" customHeight="false" outlineLevel="0" collapsed="false"/>
    <row r="816" customFormat="false" ht="13.8" hidden="false" customHeight="false" outlineLevel="0" collapsed="false"/>
    <row r="817" customFormat="false" ht="13.8" hidden="false" customHeight="false" outlineLevel="0" collapsed="false"/>
    <row r="818" customFormat="false" ht="13.8" hidden="false" customHeight="false" outlineLevel="0" collapsed="false"/>
    <row r="819" customFormat="false" ht="13.8" hidden="false" customHeight="false" outlineLevel="0" collapsed="false"/>
    <row r="820" customFormat="false" ht="13.8" hidden="false" customHeight="false" outlineLevel="0" collapsed="false"/>
    <row r="821" customFormat="false" ht="13.8" hidden="false" customHeight="false" outlineLevel="0" collapsed="false"/>
    <row r="822" customFormat="false" ht="13.8" hidden="false" customHeight="false" outlineLevel="0" collapsed="false"/>
    <row r="823" customFormat="false" ht="13.8" hidden="false" customHeight="false" outlineLevel="0" collapsed="false"/>
    <row r="824" customFormat="false" ht="13.8" hidden="false" customHeight="false" outlineLevel="0" collapsed="false"/>
    <row r="825" customFormat="false" ht="13.8" hidden="false" customHeight="false" outlineLevel="0" collapsed="false"/>
    <row r="826" customFormat="false" ht="13.8" hidden="false" customHeight="false" outlineLevel="0" collapsed="false"/>
    <row r="827" customFormat="false" ht="13.8" hidden="false" customHeight="false" outlineLevel="0" collapsed="false"/>
    <row r="828" customFormat="false" ht="13.8" hidden="false" customHeight="false" outlineLevel="0" collapsed="false"/>
    <row r="829" customFormat="false" ht="13.8" hidden="false" customHeight="false" outlineLevel="0" collapsed="false"/>
    <row r="830" customFormat="false" ht="13.8" hidden="false" customHeight="false" outlineLevel="0" collapsed="false"/>
    <row r="831" customFormat="false" ht="13.8" hidden="false" customHeight="false" outlineLevel="0" collapsed="false"/>
    <row r="832" customFormat="false" ht="13.8" hidden="false" customHeight="false" outlineLevel="0" collapsed="false"/>
    <row r="833" customFormat="false" ht="13.8" hidden="false" customHeight="false" outlineLevel="0" collapsed="false"/>
    <row r="834" customFormat="false" ht="13.8" hidden="false" customHeight="false" outlineLevel="0" collapsed="false"/>
    <row r="835" customFormat="false" ht="13.8" hidden="false" customHeight="false" outlineLevel="0" collapsed="false"/>
    <row r="836" customFormat="false" ht="13.8" hidden="false" customHeight="false" outlineLevel="0" collapsed="false"/>
    <row r="837" customFormat="false" ht="13.8" hidden="false" customHeight="false" outlineLevel="0" collapsed="false"/>
    <row r="838" customFormat="false" ht="13.8" hidden="false" customHeight="false" outlineLevel="0" collapsed="false"/>
    <row r="839" customFormat="false" ht="13.8" hidden="false" customHeight="false" outlineLevel="0" collapsed="false"/>
    <row r="840" customFormat="false" ht="13.8" hidden="false" customHeight="false" outlineLevel="0" collapsed="false"/>
    <row r="841" customFormat="false" ht="13.8" hidden="false" customHeight="false" outlineLevel="0" collapsed="false"/>
    <row r="842" customFormat="false" ht="13.8" hidden="false" customHeight="false" outlineLevel="0" collapsed="false"/>
    <row r="843" customFormat="false" ht="13.8" hidden="false" customHeight="false" outlineLevel="0" collapsed="false"/>
    <row r="844" customFormat="false" ht="13.8" hidden="false" customHeight="false" outlineLevel="0" collapsed="false"/>
    <row r="845" customFormat="false" ht="13.8" hidden="false" customHeight="false" outlineLevel="0" collapsed="false"/>
    <row r="846" customFormat="false" ht="13.8" hidden="false" customHeight="false" outlineLevel="0" collapsed="false"/>
    <row r="847" customFormat="false" ht="13.8" hidden="false" customHeight="false" outlineLevel="0" collapsed="false"/>
    <row r="848" customFormat="false" ht="13.8" hidden="false" customHeight="false" outlineLevel="0" collapsed="false"/>
    <row r="849" customFormat="false" ht="13.8" hidden="false" customHeight="false" outlineLevel="0" collapsed="false"/>
    <row r="850" customFormat="false" ht="13.8" hidden="false" customHeight="false" outlineLevel="0" collapsed="false"/>
    <row r="851" customFormat="false" ht="13.8" hidden="false" customHeight="false" outlineLevel="0" collapsed="false"/>
    <row r="852" customFormat="false" ht="13.8" hidden="false" customHeight="false" outlineLevel="0" collapsed="false"/>
    <row r="853" customFormat="false" ht="13.8" hidden="false" customHeight="false" outlineLevel="0" collapsed="false"/>
    <row r="854" customFormat="false" ht="13.8" hidden="false" customHeight="false" outlineLevel="0" collapsed="false"/>
    <row r="855" customFormat="false" ht="13.8" hidden="false" customHeight="false" outlineLevel="0" collapsed="false"/>
    <row r="856" customFormat="false" ht="13.8" hidden="false" customHeight="false" outlineLevel="0" collapsed="false"/>
    <row r="857" customFormat="false" ht="13.8" hidden="false" customHeight="false" outlineLevel="0" collapsed="false"/>
    <row r="858" customFormat="false" ht="13.8" hidden="false" customHeight="false" outlineLevel="0" collapsed="false"/>
    <row r="859" customFormat="false" ht="13.8" hidden="false" customHeight="false" outlineLevel="0" collapsed="false"/>
    <row r="860" customFormat="false" ht="13.8" hidden="false" customHeight="false" outlineLevel="0" collapsed="false"/>
    <row r="861" customFormat="false" ht="13.8" hidden="false" customHeight="false" outlineLevel="0" collapsed="false"/>
    <row r="862" customFormat="false" ht="13.8" hidden="false" customHeight="false" outlineLevel="0" collapsed="false"/>
    <row r="863" customFormat="false" ht="13.8" hidden="false" customHeight="false" outlineLevel="0" collapsed="false"/>
    <row r="864" customFormat="false" ht="13.8" hidden="false" customHeight="false" outlineLevel="0" collapsed="false"/>
    <row r="865" customFormat="false" ht="13.8" hidden="false" customHeight="false" outlineLevel="0" collapsed="false"/>
    <row r="866" customFormat="false" ht="13.8" hidden="false" customHeight="false" outlineLevel="0" collapsed="false"/>
    <row r="867" customFormat="false" ht="13.8" hidden="false" customHeight="false" outlineLevel="0" collapsed="false"/>
    <row r="868" customFormat="false" ht="13.8" hidden="false" customHeight="false" outlineLevel="0" collapsed="false"/>
    <row r="869" customFormat="false" ht="13.8" hidden="false" customHeight="false" outlineLevel="0" collapsed="false"/>
    <row r="870" customFormat="false" ht="13.8" hidden="false" customHeight="false" outlineLevel="0" collapsed="false"/>
    <row r="871" customFormat="false" ht="13.8" hidden="false" customHeight="false" outlineLevel="0" collapsed="false"/>
    <row r="872" customFormat="false" ht="13.8" hidden="false" customHeight="false" outlineLevel="0" collapsed="false"/>
    <row r="873" customFormat="false" ht="13.8" hidden="false" customHeight="false" outlineLevel="0" collapsed="false"/>
    <row r="874" customFormat="false" ht="13.8" hidden="false" customHeight="false" outlineLevel="0" collapsed="false"/>
    <row r="875" customFormat="false" ht="13.8" hidden="false" customHeight="false" outlineLevel="0" collapsed="false"/>
    <row r="876" customFormat="false" ht="13.8" hidden="false" customHeight="false" outlineLevel="0" collapsed="false"/>
    <row r="877" customFormat="false" ht="13.8" hidden="false" customHeight="false" outlineLevel="0" collapsed="false"/>
    <row r="878" customFormat="false" ht="13.8" hidden="false" customHeight="false" outlineLevel="0" collapsed="false"/>
    <row r="879" customFormat="false" ht="13.8" hidden="false" customHeight="false" outlineLevel="0" collapsed="false"/>
    <row r="880" customFormat="false" ht="13.8" hidden="false" customHeight="false" outlineLevel="0" collapsed="false"/>
    <row r="881" customFormat="false" ht="13.8" hidden="false" customHeight="false" outlineLevel="0" collapsed="false"/>
    <row r="882" customFormat="false" ht="13.8" hidden="false" customHeight="false" outlineLevel="0" collapsed="false"/>
    <row r="883" customFormat="false" ht="13.8" hidden="false" customHeight="false" outlineLevel="0" collapsed="false"/>
    <row r="884" customFormat="false" ht="13.8" hidden="false" customHeight="false" outlineLevel="0" collapsed="false"/>
    <row r="885" customFormat="false" ht="13.8" hidden="false" customHeight="false" outlineLevel="0" collapsed="false"/>
    <row r="886" customFormat="false" ht="13.8" hidden="false" customHeight="false" outlineLevel="0" collapsed="false"/>
    <row r="887" customFormat="false" ht="13.8" hidden="false" customHeight="false" outlineLevel="0" collapsed="false"/>
    <row r="888" customFormat="false" ht="13.8" hidden="false" customHeight="false" outlineLevel="0" collapsed="false"/>
    <row r="889" customFormat="false" ht="13.8" hidden="false" customHeight="false" outlineLevel="0" collapsed="false"/>
    <row r="890" customFormat="false" ht="13.8" hidden="false" customHeight="false" outlineLevel="0" collapsed="false"/>
    <row r="891" customFormat="false" ht="13.8" hidden="false" customHeight="false" outlineLevel="0" collapsed="false"/>
    <row r="892" customFormat="false" ht="13.8" hidden="false" customHeight="false" outlineLevel="0" collapsed="false"/>
    <row r="893" customFormat="false" ht="13.8" hidden="false" customHeight="false" outlineLevel="0" collapsed="false"/>
    <row r="894" customFormat="false" ht="13.8" hidden="false" customHeight="false" outlineLevel="0" collapsed="false"/>
    <row r="895" customFormat="false" ht="13.8" hidden="false" customHeight="false" outlineLevel="0" collapsed="false"/>
    <row r="896" customFormat="false" ht="13.8" hidden="false" customHeight="false" outlineLevel="0" collapsed="false"/>
    <row r="897" customFormat="false" ht="13.8" hidden="false" customHeight="false" outlineLevel="0" collapsed="false"/>
    <row r="898" customFormat="false" ht="13.8" hidden="false" customHeight="false" outlineLevel="0" collapsed="false"/>
    <row r="899" customFormat="false" ht="13.8" hidden="false" customHeight="false" outlineLevel="0" collapsed="false"/>
    <row r="900" customFormat="false" ht="13.8" hidden="false" customHeight="false" outlineLevel="0" collapsed="false"/>
    <row r="901" customFormat="false" ht="13.8" hidden="false" customHeight="false" outlineLevel="0" collapsed="false"/>
    <row r="902" customFormat="false" ht="13.8" hidden="false" customHeight="false" outlineLevel="0" collapsed="false"/>
    <row r="903" customFormat="false" ht="13.8" hidden="false" customHeight="false" outlineLevel="0" collapsed="false"/>
    <row r="904" customFormat="false" ht="13.8" hidden="false" customHeight="false" outlineLevel="0" collapsed="false"/>
    <row r="905" customFormat="false" ht="13.8" hidden="false" customHeight="false" outlineLevel="0" collapsed="false"/>
    <row r="906" customFormat="false" ht="13.8" hidden="false" customHeight="false" outlineLevel="0" collapsed="false"/>
    <row r="907" customFormat="false" ht="13.8" hidden="false" customHeight="false" outlineLevel="0" collapsed="false"/>
    <row r="908" customFormat="false" ht="13.8" hidden="false" customHeight="false" outlineLevel="0" collapsed="false"/>
    <row r="909" customFormat="false" ht="13.8" hidden="false" customHeight="false" outlineLevel="0" collapsed="false"/>
    <row r="910" customFormat="false" ht="13.8" hidden="false" customHeight="false" outlineLevel="0" collapsed="false"/>
    <row r="911" customFormat="false" ht="13.8" hidden="false" customHeight="false" outlineLevel="0" collapsed="false"/>
    <row r="912" customFormat="false" ht="13.8" hidden="false" customHeight="false" outlineLevel="0" collapsed="false"/>
    <row r="913" customFormat="false" ht="13.8" hidden="false" customHeight="false" outlineLevel="0" collapsed="false"/>
    <row r="914" customFormat="false" ht="13.8" hidden="false" customHeight="false" outlineLevel="0" collapsed="false"/>
    <row r="915" customFormat="false" ht="13.8" hidden="false" customHeight="false" outlineLevel="0" collapsed="false"/>
    <row r="916" customFormat="false" ht="13.8" hidden="false" customHeight="false" outlineLevel="0" collapsed="false"/>
    <row r="917" customFormat="false" ht="13.8" hidden="false" customHeight="false" outlineLevel="0" collapsed="false"/>
    <row r="918" customFormat="false" ht="13.8" hidden="false" customHeight="false" outlineLevel="0" collapsed="false"/>
    <row r="919" customFormat="false" ht="13.8" hidden="false" customHeight="false" outlineLevel="0" collapsed="false"/>
    <row r="920" customFormat="false" ht="13.8" hidden="false" customHeight="false" outlineLevel="0" collapsed="false"/>
    <row r="921" customFormat="false" ht="13.8" hidden="false" customHeight="false" outlineLevel="0" collapsed="false"/>
    <row r="922" customFormat="false" ht="13.8" hidden="false" customHeight="false" outlineLevel="0" collapsed="false"/>
    <row r="923" customFormat="false" ht="13.8" hidden="false" customHeight="false" outlineLevel="0" collapsed="false"/>
    <row r="924" customFormat="false" ht="13.8" hidden="false" customHeight="false" outlineLevel="0" collapsed="false"/>
    <row r="925" customFormat="false" ht="13.8" hidden="false" customHeight="false" outlineLevel="0" collapsed="false"/>
    <row r="926" customFormat="false" ht="13.8" hidden="false" customHeight="false" outlineLevel="0" collapsed="false"/>
    <row r="927" customFormat="false" ht="13.8" hidden="false" customHeight="false" outlineLevel="0" collapsed="false"/>
    <row r="928" customFormat="false" ht="13.8" hidden="false" customHeight="false" outlineLevel="0" collapsed="false"/>
    <row r="929" customFormat="false" ht="13.8" hidden="false" customHeight="false" outlineLevel="0" collapsed="false"/>
    <row r="930" customFormat="false" ht="13.8" hidden="false" customHeight="false" outlineLevel="0" collapsed="false"/>
    <row r="931" customFormat="false" ht="13.8" hidden="false" customHeight="false" outlineLevel="0" collapsed="false"/>
    <row r="932" customFormat="false" ht="13.8" hidden="false" customHeight="false" outlineLevel="0" collapsed="false"/>
    <row r="933" customFormat="false" ht="13.8" hidden="false" customHeight="false" outlineLevel="0" collapsed="false"/>
    <row r="934" customFormat="false" ht="13.8" hidden="false" customHeight="false" outlineLevel="0" collapsed="false"/>
    <row r="935" customFormat="false" ht="13.8" hidden="false" customHeight="false" outlineLevel="0" collapsed="false"/>
    <row r="936" customFormat="false" ht="13.8" hidden="false" customHeight="false" outlineLevel="0" collapsed="false"/>
    <row r="937" customFormat="false" ht="13.8" hidden="false" customHeight="false" outlineLevel="0" collapsed="false"/>
    <row r="938" customFormat="false" ht="13.8" hidden="false" customHeight="false" outlineLevel="0" collapsed="false"/>
    <row r="939" customFormat="false" ht="13.8" hidden="false" customHeight="false" outlineLevel="0" collapsed="false"/>
    <row r="940" customFormat="false" ht="13.8" hidden="false" customHeight="false" outlineLevel="0" collapsed="false"/>
    <row r="941" customFormat="false" ht="13.8" hidden="false" customHeight="false" outlineLevel="0" collapsed="false"/>
    <row r="942" customFormat="false" ht="13.8" hidden="false" customHeight="false" outlineLevel="0" collapsed="false"/>
    <row r="943" customFormat="false" ht="13.8" hidden="false" customHeight="false" outlineLevel="0" collapsed="false"/>
    <row r="944" customFormat="false" ht="13.8" hidden="false" customHeight="false" outlineLevel="0" collapsed="false"/>
    <row r="945" customFormat="false" ht="13.8" hidden="false" customHeight="false" outlineLevel="0" collapsed="false"/>
    <row r="946" customFormat="false" ht="13.8" hidden="false" customHeight="false" outlineLevel="0" collapsed="false"/>
    <row r="947" customFormat="false" ht="13.8" hidden="false" customHeight="false" outlineLevel="0" collapsed="false"/>
    <row r="948" customFormat="false" ht="13.8" hidden="false" customHeight="false" outlineLevel="0" collapsed="false"/>
    <row r="949" customFormat="false" ht="13.8" hidden="false" customHeight="false" outlineLevel="0" collapsed="false"/>
    <row r="950" customFormat="false" ht="13.8" hidden="false" customHeight="false" outlineLevel="0" collapsed="false"/>
    <row r="951" customFormat="false" ht="13.8" hidden="false" customHeight="false" outlineLevel="0" collapsed="false"/>
    <row r="952" customFormat="false" ht="13.8" hidden="false" customHeight="false" outlineLevel="0" collapsed="false"/>
    <row r="953" customFormat="false" ht="13.8" hidden="false" customHeight="false" outlineLevel="0" collapsed="false"/>
    <row r="954" customFormat="false" ht="13.8" hidden="false" customHeight="false" outlineLevel="0" collapsed="false"/>
    <row r="955" customFormat="false" ht="13.8" hidden="false" customHeight="false" outlineLevel="0" collapsed="false"/>
    <row r="956" customFormat="false" ht="13.8" hidden="false" customHeight="false" outlineLevel="0" collapsed="false"/>
    <row r="957" customFormat="false" ht="13.8" hidden="false" customHeight="false" outlineLevel="0" collapsed="false"/>
    <row r="958" customFormat="false" ht="13.8" hidden="false" customHeight="false" outlineLevel="0" collapsed="false"/>
    <row r="959" customFormat="false" ht="13.8" hidden="false" customHeight="false" outlineLevel="0" collapsed="false"/>
    <row r="960" customFormat="false" ht="13.8" hidden="false" customHeight="false" outlineLevel="0" collapsed="false"/>
    <row r="961" customFormat="false" ht="13.8" hidden="false" customHeight="false" outlineLevel="0" collapsed="false"/>
    <row r="962" customFormat="false" ht="13.8" hidden="false" customHeight="false" outlineLevel="0" collapsed="false"/>
    <row r="963" customFormat="false" ht="13.8" hidden="false" customHeight="false" outlineLevel="0" collapsed="false"/>
    <row r="964" customFormat="false" ht="13.8" hidden="false" customHeight="false" outlineLevel="0" collapsed="false"/>
    <row r="965" customFormat="false" ht="13.8" hidden="false" customHeight="false" outlineLevel="0" collapsed="false"/>
    <row r="966" customFormat="false" ht="13.8" hidden="false" customHeight="false" outlineLevel="0" collapsed="false"/>
    <row r="967" customFormat="false" ht="13.8" hidden="false" customHeight="false" outlineLevel="0" collapsed="false"/>
    <row r="968" customFormat="false" ht="13.8" hidden="false" customHeight="false" outlineLevel="0" collapsed="false"/>
    <row r="969" customFormat="false" ht="13.8" hidden="false" customHeight="false" outlineLevel="0" collapsed="false"/>
    <row r="970" customFormat="false" ht="13.8" hidden="false" customHeight="false" outlineLevel="0" collapsed="false"/>
    <row r="971" customFormat="false" ht="13.8" hidden="false" customHeight="false" outlineLevel="0" collapsed="false"/>
    <row r="972" customFormat="false" ht="13.8" hidden="false" customHeight="false" outlineLevel="0" collapsed="false"/>
    <row r="973" customFormat="false" ht="13.8" hidden="false" customHeight="false" outlineLevel="0" collapsed="false"/>
    <row r="974" customFormat="false" ht="13.8" hidden="false" customHeight="false" outlineLevel="0" collapsed="false"/>
    <row r="975" customFormat="false" ht="13.8" hidden="false" customHeight="false" outlineLevel="0" collapsed="false"/>
    <row r="976" customFormat="false" ht="13.8" hidden="false" customHeight="false" outlineLevel="0" collapsed="false"/>
    <row r="977" customFormat="false" ht="13.8" hidden="false" customHeight="false" outlineLevel="0" collapsed="false"/>
    <row r="978" customFormat="false" ht="13.8" hidden="false" customHeight="false" outlineLevel="0" collapsed="false"/>
    <row r="979" customFormat="false" ht="13.8" hidden="false" customHeight="false" outlineLevel="0" collapsed="false"/>
    <row r="980" customFormat="false" ht="13.8" hidden="false" customHeight="false" outlineLevel="0" collapsed="false"/>
    <row r="981" customFormat="false" ht="13.8" hidden="false" customHeight="false" outlineLevel="0" collapsed="false"/>
    <row r="982" customFormat="false" ht="13.8" hidden="false" customHeight="false" outlineLevel="0" collapsed="false"/>
    <row r="983" customFormat="false" ht="13.8" hidden="false" customHeight="false" outlineLevel="0" collapsed="false"/>
    <row r="984" customFormat="false" ht="13.8" hidden="false" customHeight="false" outlineLevel="0" collapsed="false"/>
    <row r="985" customFormat="false" ht="13.8" hidden="false" customHeight="false" outlineLevel="0" collapsed="false"/>
    <row r="986" customFormat="false" ht="13.8" hidden="false" customHeight="false" outlineLevel="0" collapsed="false"/>
    <row r="987" customFormat="false" ht="13.8" hidden="false" customHeight="false" outlineLevel="0" collapsed="false"/>
    <row r="988" customFormat="false" ht="13.8" hidden="false" customHeight="false" outlineLevel="0" collapsed="false"/>
    <row r="989" customFormat="false" ht="13.8" hidden="false" customHeight="false" outlineLevel="0" collapsed="false"/>
    <row r="990" customFormat="false" ht="13.8" hidden="false" customHeight="false" outlineLevel="0" collapsed="false"/>
    <row r="991" customFormat="false" ht="13.8" hidden="false" customHeight="false" outlineLevel="0" collapsed="false"/>
    <row r="992" customFormat="false" ht="13.8" hidden="false" customHeight="false" outlineLevel="0" collapsed="false"/>
    <row r="993" customFormat="false" ht="13.8" hidden="false" customHeight="false" outlineLevel="0" collapsed="false"/>
    <row r="994" customFormat="false" ht="13.8" hidden="false" customHeight="false" outlineLevel="0" collapsed="false"/>
    <row r="995" customFormat="false" ht="13.8" hidden="false" customHeight="false" outlineLevel="0" collapsed="false"/>
    <row r="996" customFormat="false" ht="13.8" hidden="false" customHeight="false" outlineLevel="0" collapsed="false"/>
    <row r="997" customFormat="false" ht="13.8" hidden="false" customHeight="false" outlineLevel="0" collapsed="false"/>
    <row r="998" customFormat="false" ht="13.8" hidden="false" customHeight="false" outlineLevel="0" collapsed="false"/>
    <row r="999" customFormat="false" ht="13.8" hidden="false" customHeight="false" outlineLevel="0" collapsed="false"/>
    <row r="1000" customFormat="false" ht="13.8" hidden="false" customHeight="false" outlineLevel="0" collapsed="false"/>
    <row r="1001" customFormat="false" ht="13.8" hidden="false" customHeight="false" outlineLevel="0" collapsed="false"/>
    <row r="1002" customFormat="false" ht="13.8" hidden="false" customHeight="false" outlineLevel="0" collapsed="false"/>
    <row r="1003" customFormat="false" ht="13.8" hidden="false" customHeight="false" outlineLevel="0" collapsed="false"/>
    <row r="1004" customFormat="false" ht="13.8" hidden="false" customHeight="false" outlineLevel="0" collapsed="false"/>
    <row r="1005" customFormat="false" ht="13.8" hidden="false" customHeight="false" outlineLevel="0" collapsed="false"/>
    <row r="1006" customFormat="false" ht="13.8" hidden="false" customHeight="false" outlineLevel="0" collapsed="false"/>
    <row r="1007" customFormat="false" ht="13.8" hidden="false" customHeight="false" outlineLevel="0" collapsed="false"/>
    <row r="1008" customFormat="false" ht="13.8" hidden="false" customHeight="false" outlineLevel="0" collapsed="false"/>
    <row r="1009" customFormat="false" ht="13.8" hidden="false" customHeight="false" outlineLevel="0" collapsed="false"/>
    <row r="1010" customFormat="false" ht="13.8" hidden="false" customHeight="false" outlineLevel="0" collapsed="false"/>
    <row r="1011" customFormat="false" ht="13.8" hidden="false" customHeight="false" outlineLevel="0" collapsed="false"/>
    <row r="1012" customFormat="false" ht="13.8" hidden="false" customHeight="false" outlineLevel="0" collapsed="false"/>
    <row r="1013" customFormat="false" ht="13.8" hidden="false" customHeight="false" outlineLevel="0" collapsed="false"/>
    <row r="1014" customFormat="false" ht="13.8" hidden="false" customHeight="false" outlineLevel="0" collapsed="false"/>
    <row r="1015" customFormat="false" ht="13.8" hidden="false" customHeight="false" outlineLevel="0" collapsed="false"/>
    <row r="1016" customFormat="false" ht="13.8" hidden="false" customHeight="false" outlineLevel="0" collapsed="false"/>
    <row r="1017" customFormat="false" ht="13.8" hidden="false" customHeight="false" outlineLevel="0" collapsed="false"/>
    <row r="1018" customFormat="false" ht="13.8" hidden="false" customHeight="false" outlineLevel="0" collapsed="false"/>
    <row r="1019" customFormat="false" ht="13.8" hidden="false" customHeight="false" outlineLevel="0" collapsed="false"/>
    <row r="1020" customFormat="false" ht="13.8" hidden="false" customHeight="false" outlineLevel="0" collapsed="false"/>
    <row r="1021" customFormat="false" ht="13.8" hidden="false" customHeight="false" outlineLevel="0" collapsed="false"/>
    <row r="1022" customFormat="false" ht="13.8" hidden="false" customHeight="false" outlineLevel="0" collapsed="false"/>
    <row r="1023" customFormat="false" ht="13.8" hidden="false" customHeight="false" outlineLevel="0" collapsed="false"/>
    <row r="1024" customFormat="false" ht="13.8" hidden="false" customHeight="false" outlineLevel="0" collapsed="false"/>
    <row r="1025" customFormat="false" ht="13.8" hidden="false" customHeight="false" outlineLevel="0" collapsed="false"/>
    <row r="1026" customFormat="false" ht="13.8" hidden="false" customHeight="false" outlineLevel="0" collapsed="false"/>
    <row r="1027" customFormat="false" ht="13.8" hidden="false" customHeight="false" outlineLevel="0" collapsed="false"/>
    <row r="1028" customFormat="false" ht="13.8" hidden="false" customHeight="false" outlineLevel="0" collapsed="false"/>
    <row r="1029" customFormat="false" ht="13.8" hidden="false" customHeight="false" outlineLevel="0" collapsed="false"/>
    <row r="1030" customFormat="false" ht="13.8" hidden="false" customHeight="false" outlineLevel="0" collapsed="false"/>
    <row r="1031" customFormat="false" ht="13.8" hidden="false" customHeight="false" outlineLevel="0" collapsed="false"/>
    <row r="1032" customFormat="false" ht="13.8" hidden="false" customHeight="false" outlineLevel="0" collapsed="false"/>
    <row r="1033" customFormat="false" ht="13.8" hidden="false" customHeight="false" outlineLevel="0" collapsed="false"/>
    <row r="1034" customFormat="false" ht="13.8" hidden="false" customHeight="false" outlineLevel="0" collapsed="false"/>
    <row r="1035" customFormat="false" ht="13.8" hidden="false" customHeight="false" outlineLevel="0" collapsed="false"/>
    <row r="1036" customFormat="false" ht="13.8" hidden="false" customHeight="false" outlineLevel="0" collapsed="false"/>
    <row r="1037" customFormat="false" ht="13.8" hidden="false" customHeight="false" outlineLevel="0" collapsed="false"/>
    <row r="1038" customFormat="false" ht="13.8" hidden="false" customHeight="false" outlineLevel="0" collapsed="false"/>
    <row r="1039" customFormat="false" ht="13.8" hidden="false" customHeight="false" outlineLevel="0" collapsed="false"/>
    <row r="1040" customFormat="false" ht="13.8" hidden="false" customHeight="false" outlineLevel="0" collapsed="false"/>
    <row r="1041" customFormat="false" ht="13.8" hidden="false" customHeight="false" outlineLevel="0" collapsed="false"/>
    <row r="1042" customFormat="false" ht="13.8" hidden="false" customHeight="false" outlineLevel="0" collapsed="false"/>
    <row r="1043" customFormat="false" ht="13.8" hidden="false" customHeight="false" outlineLevel="0" collapsed="false"/>
    <row r="1044" customFormat="false" ht="13.8" hidden="false" customHeight="false" outlineLevel="0" collapsed="false"/>
    <row r="1045" customFormat="false" ht="13.8" hidden="false" customHeight="false" outlineLevel="0" collapsed="false"/>
    <row r="1046" customFormat="false" ht="13.8" hidden="false" customHeight="false" outlineLevel="0" collapsed="false"/>
    <row r="1047" customFormat="false" ht="13.8" hidden="false" customHeight="false" outlineLevel="0" collapsed="false"/>
    <row r="1048" customFormat="false" ht="13.8" hidden="false" customHeight="false" outlineLevel="0" collapsed="false"/>
    <row r="1049" customFormat="false" ht="13.8" hidden="false" customHeight="false" outlineLevel="0" collapsed="false"/>
    <row r="1050" customFormat="false" ht="13.8" hidden="false" customHeight="false" outlineLevel="0" collapsed="false"/>
    <row r="1051" customFormat="false" ht="13.8" hidden="false" customHeight="false" outlineLevel="0" collapsed="false"/>
    <row r="1052" customFormat="false" ht="13.8" hidden="false" customHeight="false" outlineLevel="0" collapsed="false"/>
    <row r="1053" customFormat="false" ht="13.8" hidden="false" customHeight="false" outlineLevel="0" collapsed="false"/>
    <row r="1054" customFormat="false" ht="13.8" hidden="false" customHeight="false" outlineLevel="0" collapsed="false"/>
    <row r="1055" customFormat="false" ht="13.8" hidden="false" customHeight="false" outlineLevel="0" collapsed="false"/>
    <row r="1056" customFormat="false" ht="13.8" hidden="false" customHeight="false" outlineLevel="0" collapsed="false"/>
    <row r="1057" customFormat="false" ht="13.8" hidden="false" customHeight="false" outlineLevel="0" collapsed="false"/>
    <row r="1058" customFormat="false" ht="13.8" hidden="false" customHeight="false" outlineLevel="0" collapsed="false"/>
    <row r="1059" customFormat="false" ht="13.8" hidden="false" customHeight="false" outlineLevel="0" collapsed="false"/>
    <row r="1060" customFormat="false" ht="13.8" hidden="false" customHeight="false" outlineLevel="0" collapsed="false"/>
    <row r="1061" customFormat="false" ht="13.8" hidden="false" customHeight="false" outlineLevel="0" collapsed="false"/>
    <row r="1062" customFormat="false" ht="13.8" hidden="false" customHeight="false" outlineLevel="0" collapsed="false"/>
    <row r="1063" customFormat="false" ht="13.8" hidden="false" customHeight="false" outlineLevel="0" collapsed="false"/>
    <row r="1064" customFormat="false" ht="13.8" hidden="false" customHeight="false" outlineLevel="0" collapsed="false"/>
    <row r="1065" customFormat="false" ht="13.8" hidden="false" customHeight="false" outlineLevel="0" collapsed="false"/>
    <row r="1066" customFormat="false" ht="13.8" hidden="false" customHeight="false" outlineLevel="0" collapsed="false"/>
    <row r="1067" customFormat="false" ht="13.8" hidden="false" customHeight="false" outlineLevel="0" collapsed="false"/>
    <row r="1068" customFormat="false" ht="13.8" hidden="false" customHeight="false" outlineLevel="0" collapsed="false"/>
    <row r="1069" customFormat="false" ht="13.8" hidden="false" customHeight="false" outlineLevel="0" collapsed="false"/>
    <row r="1070" customFormat="false" ht="13.8" hidden="false" customHeight="false" outlineLevel="0" collapsed="false"/>
    <row r="1071" customFormat="false" ht="13.8" hidden="false" customHeight="false" outlineLevel="0" collapsed="false"/>
    <row r="1072" customFormat="false" ht="13.8" hidden="false" customHeight="false" outlineLevel="0" collapsed="false"/>
    <row r="1073" customFormat="false" ht="13.8" hidden="false" customHeight="false" outlineLevel="0" collapsed="false"/>
    <row r="1074" customFormat="false" ht="13.8" hidden="false" customHeight="false" outlineLevel="0" collapsed="false"/>
    <row r="1075" customFormat="false" ht="13.8" hidden="false" customHeight="false" outlineLevel="0" collapsed="false"/>
    <row r="1076" customFormat="false" ht="13.8" hidden="false" customHeight="false" outlineLevel="0" collapsed="false"/>
    <row r="1077" customFormat="false" ht="13.8" hidden="false" customHeight="false" outlineLevel="0" collapsed="false"/>
    <row r="1078" customFormat="false" ht="13.8" hidden="false" customHeight="false" outlineLevel="0" collapsed="false"/>
    <row r="1079" customFormat="false" ht="13.8" hidden="false" customHeight="false" outlineLevel="0" collapsed="false"/>
    <row r="1080" customFormat="false" ht="13.8" hidden="false" customHeight="false" outlineLevel="0" collapsed="false"/>
    <row r="1081" customFormat="false" ht="13.8" hidden="false" customHeight="false" outlineLevel="0" collapsed="false"/>
    <row r="1082" customFormat="false" ht="13.8" hidden="false" customHeight="false" outlineLevel="0" collapsed="false"/>
    <row r="1083" customFormat="false" ht="13.8" hidden="false" customHeight="false" outlineLevel="0" collapsed="false"/>
    <row r="1084" customFormat="false" ht="13.8" hidden="false" customHeight="false" outlineLevel="0" collapsed="false"/>
    <row r="1085" customFormat="false" ht="13.8" hidden="false" customHeight="false" outlineLevel="0" collapsed="false"/>
    <row r="1086" customFormat="false" ht="13.8" hidden="false" customHeight="false" outlineLevel="0" collapsed="false"/>
    <row r="1087" customFormat="false" ht="13.8" hidden="false" customHeight="false" outlineLevel="0" collapsed="false"/>
    <row r="1088" customFormat="false" ht="13.8" hidden="false" customHeight="false" outlineLevel="0" collapsed="false"/>
    <row r="1089" customFormat="false" ht="13.8" hidden="false" customHeight="false" outlineLevel="0" collapsed="false"/>
    <row r="1090" customFormat="false" ht="13.8" hidden="false" customHeight="false" outlineLevel="0" collapsed="false"/>
    <row r="1091" customFormat="false" ht="13.8" hidden="false" customHeight="false" outlineLevel="0" collapsed="false"/>
    <row r="1092" customFormat="false" ht="13.8" hidden="false" customHeight="false" outlineLevel="0" collapsed="false"/>
    <row r="1093" customFormat="false" ht="13.8" hidden="false" customHeight="false" outlineLevel="0" collapsed="false"/>
    <row r="1094" customFormat="false" ht="13.8" hidden="false" customHeight="false" outlineLevel="0" collapsed="false"/>
    <row r="1095" customFormat="false" ht="13.8" hidden="false" customHeight="false" outlineLevel="0" collapsed="false"/>
    <row r="1096" customFormat="false" ht="13.8" hidden="false" customHeight="false" outlineLevel="0" collapsed="false"/>
    <row r="1097" customFormat="false" ht="13.8" hidden="false" customHeight="false" outlineLevel="0" collapsed="false"/>
    <row r="1098" customFormat="false" ht="13.8" hidden="false" customHeight="false" outlineLevel="0" collapsed="false"/>
    <row r="1099" customFormat="false" ht="13.8" hidden="false" customHeight="false" outlineLevel="0" collapsed="false"/>
    <row r="1100" customFormat="false" ht="13.8" hidden="false" customHeight="false" outlineLevel="0" collapsed="false"/>
    <row r="1101" customFormat="false" ht="13.8" hidden="false" customHeight="false" outlineLevel="0" collapsed="false"/>
    <row r="1102" customFormat="false" ht="13.8" hidden="false" customHeight="false" outlineLevel="0" collapsed="false"/>
    <row r="1103" customFormat="false" ht="13.8" hidden="false" customHeight="false" outlineLevel="0" collapsed="false"/>
    <row r="1104" customFormat="false" ht="13.8" hidden="false" customHeight="false" outlineLevel="0" collapsed="false"/>
    <row r="1105" customFormat="false" ht="13.8" hidden="false" customHeight="false" outlineLevel="0" collapsed="false"/>
    <row r="1106" customFormat="false" ht="13.8" hidden="false" customHeight="false" outlineLevel="0" collapsed="false"/>
    <row r="1107" customFormat="false" ht="13.8" hidden="false" customHeight="false" outlineLevel="0" collapsed="false"/>
    <row r="1108" customFormat="false" ht="13.8" hidden="false" customHeight="false" outlineLevel="0" collapsed="false"/>
    <row r="1109" customFormat="false" ht="13.8" hidden="false" customHeight="false" outlineLevel="0" collapsed="false"/>
    <row r="1110" customFormat="false" ht="13.8" hidden="false" customHeight="false" outlineLevel="0" collapsed="false"/>
    <row r="1111" customFormat="false" ht="13.8" hidden="false" customHeight="false" outlineLevel="0" collapsed="false"/>
    <row r="1112" customFormat="false" ht="13.8" hidden="false" customHeight="false" outlineLevel="0" collapsed="false"/>
    <row r="1113" customFormat="false" ht="13.8" hidden="false" customHeight="false" outlineLevel="0" collapsed="false"/>
    <row r="1114" customFormat="false" ht="13.8" hidden="false" customHeight="false" outlineLevel="0" collapsed="false"/>
    <row r="1115" customFormat="false" ht="13.8" hidden="false" customHeight="false" outlineLevel="0" collapsed="false"/>
    <row r="1116" customFormat="false" ht="13.8" hidden="false" customHeight="false" outlineLevel="0" collapsed="false"/>
    <row r="1117" customFormat="false" ht="13.8" hidden="false" customHeight="false" outlineLevel="0" collapsed="false"/>
    <row r="1118" customFormat="false" ht="13.8" hidden="false" customHeight="false" outlineLevel="0" collapsed="false"/>
    <row r="1119" customFormat="false" ht="13.8" hidden="false" customHeight="false" outlineLevel="0" collapsed="false"/>
    <row r="1120" customFormat="false" ht="13.8" hidden="false" customHeight="false" outlineLevel="0" collapsed="false"/>
    <row r="1121" customFormat="false" ht="13.8" hidden="false" customHeight="false" outlineLevel="0" collapsed="false"/>
    <row r="1122" customFormat="false" ht="13.8" hidden="false" customHeight="false" outlineLevel="0" collapsed="false"/>
    <row r="1123" customFormat="false" ht="13.8" hidden="false" customHeight="false" outlineLevel="0" collapsed="false"/>
    <row r="1124" customFormat="false" ht="13.8" hidden="false" customHeight="false" outlineLevel="0" collapsed="false"/>
    <row r="1125" customFormat="false" ht="13.8" hidden="false" customHeight="false" outlineLevel="0" collapsed="false"/>
    <row r="1126" customFormat="false" ht="13.8" hidden="false" customHeight="false" outlineLevel="0" collapsed="false"/>
    <row r="1127" customFormat="false" ht="13.8" hidden="false" customHeight="false" outlineLevel="0" collapsed="false"/>
    <row r="1128" customFormat="false" ht="13.8" hidden="false" customHeight="false" outlineLevel="0" collapsed="false"/>
    <row r="1129" customFormat="false" ht="13.8" hidden="false" customHeight="false" outlineLevel="0" collapsed="false"/>
    <row r="1130" customFormat="false" ht="13.8" hidden="false" customHeight="false" outlineLevel="0" collapsed="false"/>
    <row r="1131" customFormat="false" ht="13.8" hidden="false" customHeight="false" outlineLevel="0" collapsed="false"/>
    <row r="1132" customFormat="false" ht="13.8" hidden="false" customHeight="false" outlineLevel="0" collapsed="false"/>
    <row r="1133" customFormat="false" ht="13.8" hidden="false" customHeight="false" outlineLevel="0" collapsed="false"/>
    <row r="1134" customFormat="false" ht="13.8" hidden="false" customHeight="false" outlineLevel="0" collapsed="false"/>
    <row r="1135" customFormat="false" ht="13.8" hidden="false" customHeight="false" outlineLevel="0" collapsed="false"/>
    <row r="1136" customFormat="false" ht="13.8" hidden="false" customHeight="false" outlineLevel="0" collapsed="false"/>
    <row r="1137" customFormat="false" ht="13.8" hidden="false" customHeight="false" outlineLevel="0" collapsed="false"/>
    <row r="1138" customFormat="false" ht="13.8" hidden="false" customHeight="false" outlineLevel="0" collapsed="false"/>
    <row r="1139" customFormat="false" ht="13.8" hidden="false" customHeight="false" outlineLevel="0" collapsed="false"/>
    <row r="1140" customFormat="false" ht="13.8" hidden="false" customHeight="false" outlineLevel="0" collapsed="false"/>
    <row r="1141" customFormat="false" ht="13.8" hidden="false" customHeight="false" outlineLevel="0" collapsed="false"/>
    <row r="1142" customFormat="false" ht="13.8" hidden="false" customHeight="false" outlineLevel="0" collapsed="false"/>
    <row r="1143" customFormat="false" ht="13.8" hidden="false" customHeight="false" outlineLevel="0" collapsed="false"/>
    <row r="1144" customFormat="false" ht="13.8" hidden="false" customHeight="false" outlineLevel="0" collapsed="false"/>
    <row r="1145" customFormat="false" ht="13.8" hidden="false" customHeight="false" outlineLevel="0" collapsed="false"/>
    <row r="1146" customFormat="false" ht="13.8" hidden="false" customHeight="false" outlineLevel="0" collapsed="false"/>
    <row r="1147" customFormat="false" ht="13.8" hidden="false" customHeight="false" outlineLevel="0" collapsed="false"/>
    <row r="1148" customFormat="false" ht="13.8" hidden="false" customHeight="false" outlineLevel="0" collapsed="false"/>
    <row r="1149" customFormat="false" ht="13.8" hidden="false" customHeight="false" outlineLevel="0" collapsed="false"/>
    <row r="1150" customFormat="false" ht="13.8" hidden="false" customHeight="false" outlineLevel="0" collapsed="false"/>
    <row r="1151" customFormat="false" ht="13.8" hidden="false" customHeight="false" outlineLevel="0" collapsed="false"/>
    <row r="1152" customFormat="false" ht="13.8" hidden="false" customHeight="false" outlineLevel="0" collapsed="false"/>
    <row r="1153" customFormat="false" ht="13.8" hidden="false" customHeight="false" outlineLevel="0" collapsed="false"/>
    <row r="1154" customFormat="false" ht="13.8" hidden="false" customHeight="false" outlineLevel="0" collapsed="false"/>
    <row r="1155" customFormat="false" ht="13.8" hidden="false" customHeight="false" outlineLevel="0" collapsed="false"/>
    <row r="1156" customFormat="false" ht="13.8" hidden="false" customHeight="false" outlineLevel="0" collapsed="false"/>
    <row r="1157" customFormat="false" ht="13.8" hidden="false" customHeight="false" outlineLevel="0" collapsed="false"/>
    <row r="1158" customFormat="false" ht="13.8" hidden="false" customHeight="false" outlineLevel="0" collapsed="false"/>
    <row r="1159" customFormat="false" ht="13.8" hidden="false" customHeight="false" outlineLevel="0" collapsed="false"/>
    <row r="1160" customFormat="false" ht="13.8" hidden="false" customHeight="false" outlineLevel="0" collapsed="false"/>
    <row r="1161" customFormat="false" ht="13.8" hidden="false" customHeight="false" outlineLevel="0" collapsed="false"/>
    <row r="1162" customFormat="false" ht="13.8" hidden="false" customHeight="false" outlineLevel="0" collapsed="false"/>
    <row r="1163" customFormat="false" ht="13.8" hidden="false" customHeight="false" outlineLevel="0" collapsed="false"/>
    <row r="1164" customFormat="false" ht="13.8" hidden="false" customHeight="false" outlineLevel="0" collapsed="false"/>
    <row r="1165" customFormat="false" ht="13.8" hidden="false" customHeight="false" outlineLevel="0" collapsed="false"/>
    <row r="1166" customFormat="false" ht="13.8" hidden="false" customHeight="false" outlineLevel="0" collapsed="false"/>
    <row r="1167" customFormat="false" ht="13.8" hidden="false" customHeight="false" outlineLevel="0" collapsed="false"/>
    <row r="1168" customFormat="false" ht="13.8" hidden="false" customHeight="false" outlineLevel="0" collapsed="false"/>
    <row r="1169" customFormat="false" ht="13.8" hidden="false" customHeight="false" outlineLevel="0" collapsed="false"/>
    <row r="1170" customFormat="false" ht="13.8" hidden="false" customHeight="false" outlineLevel="0" collapsed="false"/>
    <row r="1171" customFormat="false" ht="13.8" hidden="false" customHeight="false" outlineLevel="0" collapsed="false"/>
    <row r="1172" customFormat="false" ht="13.8" hidden="false" customHeight="false" outlineLevel="0" collapsed="false"/>
    <row r="1173" customFormat="false" ht="13.8" hidden="false" customHeight="false" outlineLevel="0" collapsed="false"/>
    <row r="1174" customFormat="false" ht="13.8" hidden="false" customHeight="false" outlineLevel="0" collapsed="false"/>
    <row r="1175" customFormat="false" ht="13.8" hidden="false" customHeight="false" outlineLevel="0" collapsed="false"/>
    <row r="1176" customFormat="false" ht="13.8" hidden="false" customHeight="false" outlineLevel="0" collapsed="false"/>
    <row r="1177" customFormat="false" ht="13.8" hidden="false" customHeight="false" outlineLevel="0" collapsed="false"/>
    <row r="1178" customFormat="false" ht="13.8" hidden="false" customHeight="false" outlineLevel="0" collapsed="false"/>
    <row r="1179" customFormat="false" ht="13.8" hidden="false" customHeight="false" outlineLevel="0" collapsed="false"/>
    <row r="1180" customFormat="false" ht="13.8" hidden="false" customHeight="false" outlineLevel="0" collapsed="false"/>
    <row r="1181" customFormat="false" ht="13.8" hidden="false" customHeight="false" outlineLevel="0" collapsed="false"/>
    <row r="1182" customFormat="false" ht="13.8" hidden="false" customHeight="false" outlineLevel="0" collapsed="false"/>
    <row r="1183" customFormat="false" ht="13.8" hidden="false" customHeight="false" outlineLevel="0" collapsed="false"/>
    <row r="1184" customFormat="false" ht="13.8" hidden="false" customHeight="false" outlineLevel="0" collapsed="false"/>
    <row r="1185" customFormat="false" ht="13.8" hidden="false" customHeight="false" outlineLevel="0" collapsed="false"/>
    <row r="1186" customFormat="false" ht="13.8" hidden="false" customHeight="false" outlineLevel="0" collapsed="false"/>
    <row r="1187" customFormat="false" ht="13.8" hidden="false" customHeight="false" outlineLevel="0" collapsed="false"/>
    <row r="1188" customFormat="false" ht="13.8" hidden="false" customHeight="false" outlineLevel="0" collapsed="false"/>
    <row r="1189" customFormat="false" ht="13.8" hidden="false" customHeight="false" outlineLevel="0" collapsed="false"/>
    <row r="1190" customFormat="false" ht="13.8" hidden="false" customHeight="false" outlineLevel="0" collapsed="false"/>
    <row r="1191" customFormat="false" ht="13.8" hidden="false" customHeight="false" outlineLevel="0" collapsed="false"/>
    <row r="1192" customFormat="false" ht="13.8" hidden="false" customHeight="false" outlineLevel="0" collapsed="false"/>
    <row r="1193" customFormat="false" ht="13.8" hidden="false" customHeight="false" outlineLevel="0" collapsed="false"/>
    <row r="1194" customFormat="false" ht="13.8" hidden="false" customHeight="false" outlineLevel="0" collapsed="false"/>
    <row r="1195" customFormat="false" ht="13.8" hidden="false" customHeight="false" outlineLevel="0" collapsed="false"/>
    <row r="1196" customFormat="false" ht="13.8" hidden="false" customHeight="false" outlineLevel="0" collapsed="false"/>
    <row r="1197" customFormat="false" ht="13.8" hidden="false" customHeight="false" outlineLevel="0" collapsed="false"/>
    <row r="1198" customFormat="false" ht="13.8" hidden="false" customHeight="false" outlineLevel="0" collapsed="false"/>
    <row r="1199" customFormat="false" ht="13.8" hidden="false" customHeight="false" outlineLevel="0" collapsed="false"/>
    <row r="1200" customFormat="false" ht="13.8" hidden="false" customHeight="false" outlineLevel="0" collapsed="false"/>
    <row r="1201" customFormat="false" ht="13.8" hidden="false" customHeight="false" outlineLevel="0" collapsed="false"/>
    <row r="1202" customFormat="false" ht="13.8" hidden="false" customHeight="false" outlineLevel="0" collapsed="false"/>
    <row r="1203" customFormat="false" ht="13.8" hidden="false" customHeight="false" outlineLevel="0" collapsed="false"/>
    <row r="1204" customFormat="false" ht="13.8" hidden="false" customHeight="false" outlineLevel="0" collapsed="false"/>
    <row r="1205" customFormat="false" ht="13.8" hidden="false" customHeight="false" outlineLevel="0" collapsed="false"/>
    <row r="1206" customFormat="false" ht="13.8" hidden="false" customHeight="false" outlineLevel="0" collapsed="false"/>
    <row r="1207" customFormat="false" ht="13.8" hidden="false" customHeight="false" outlineLevel="0" collapsed="false"/>
    <row r="1208" customFormat="false" ht="13.8" hidden="false" customHeight="false" outlineLevel="0" collapsed="false"/>
    <row r="1209" customFormat="false" ht="13.8" hidden="false" customHeight="false" outlineLevel="0" collapsed="false"/>
    <row r="1210" customFormat="false" ht="13.8" hidden="false" customHeight="false" outlineLevel="0" collapsed="false"/>
    <row r="1211" customFormat="false" ht="13.8" hidden="false" customHeight="false" outlineLevel="0" collapsed="false"/>
    <row r="1212" customFormat="false" ht="13.8" hidden="false" customHeight="false" outlineLevel="0" collapsed="false"/>
    <row r="1213" customFormat="false" ht="13.8" hidden="false" customHeight="false" outlineLevel="0" collapsed="false"/>
    <row r="1214" customFormat="false" ht="13.8" hidden="false" customHeight="false" outlineLevel="0" collapsed="false"/>
    <row r="1215" customFormat="false" ht="13.8" hidden="false" customHeight="false" outlineLevel="0" collapsed="false"/>
    <row r="1216" customFormat="false" ht="13.8" hidden="false" customHeight="false" outlineLevel="0" collapsed="false"/>
    <row r="1217" customFormat="false" ht="13.8" hidden="false" customHeight="false" outlineLevel="0" collapsed="false"/>
    <row r="1218" customFormat="false" ht="13.8" hidden="false" customHeight="false" outlineLevel="0" collapsed="false"/>
    <row r="1219" customFormat="false" ht="13.8" hidden="false" customHeight="false" outlineLevel="0" collapsed="false"/>
    <row r="1220" customFormat="false" ht="13.8" hidden="false" customHeight="false" outlineLevel="0" collapsed="false"/>
    <row r="1221" customFormat="false" ht="13.8" hidden="false" customHeight="false" outlineLevel="0" collapsed="false"/>
    <row r="1222" customFormat="false" ht="13.8" hidden="false" customHeight="false" outlineLevel="0" collapsed="false"/>
    <row r="1223" customFormat="false" ht="13.8" hidden="false" customHeight="false" outlineLevel="0" collapsed="false"/>
    <row r="1224" customFormat="false" ht="13.8" hidden="false" customHeight="false" outlineLevel="0" collapsed="false"/>
    <row r="1225" customFormat="false" ht="13.8" hidden="false" customHeight="false" outlineLevel="0" collapsed="false"/>
    <row r="1226" customFormat="false" ht="13.8" hidden="false" customHeight="false" outlineLevel="0" collapsed="false"/>
    <row r="1227" customFormat="false" ht="13.8" hidden="false" customHeight="false" outlineLevel="0" collapsed="false"/>
    <row r="1228" customFormat="false" ht="13.8" hidden="false" customHeight="false" outlineLevel="0" collapsed="false"/>
    <row r="1229" customFormat="false" ht="13.8" hidden="false" customHeight="false" outlineLevel="0" collapsed="false"/>
    <row r="1230" customFormat="false" ht="13.8" hidden="false" customHeight="false" outlineLevel="0" collapsed="false"/>
    <row r="1231" customFormat="false" ht="13.8" hidden="false" customHeight="false" outlineLevel="0" collapsed="false"/>
    <row r="1232" customFormat="false" ht="13.8" hidden="false" customHeight="false" outlineLevel="0" collapsed="false"/>
    <row r="1233" customFormat="false" ht="13.8" hidden="false" customHeight="false" outlineLevel="0" collapsed="false"/>
    <row r="1234" customFormat="false" ht="13.8" hidden="false" customHeight="false" outlineLevel="0" collapsed="false"/>
    <row r="1235" customFormat="false" ht="13.8" hidden="false" customHeight="false" outlineLevel="0" collapsed="false"/>
    <row r="1236" customFormat="false" ht="13.8" hidden="false" customHeight="false" outlineLevel="0" collapsed="false"/>
    <row r="1237" customFormat="false" ht="13.8" hidden="false" customHeight="false" outlineLevel="0" collapsed="false"/>
    <row r="1238" customFormat="false" ht="13.8" hidden="false" customHeight="false" outlineLevel="0" collapsed="false"/>
    <row r="1239" customFormat="false" ht="13.8" hidden="false" customHeight="false" outlineLevel="0" collapsed="false"/>
    <row r="1240" customFormat="false" ht="13.8" hidden="false" customHeight="false" outlineLevel="0" collapsed="false"/>
    <row r="1241" customFormat="false" ht="13.8" hidden="false" customHeight="false" outlineLevel="0" collapsed="false"/>
    <row r="1242" customFormat="false" ht="13.8" hidden="false" customHeight="false" outlineLevel="0" collapsed="false"/>
    <row r="1243" customFormat="false" ht="13.8" hidden="false" customHeight="false" outlineLevel="0" collapsed="false"/>
    <row r="1244" customFormat="false" ht="13.8" hidden="false" customHeight="false" outlineLevel="0" collapsed="false"/>
    <row r="1245" customFormat="false" ht="13.8" hidden="false" customHeight="false" outlineLevel="0" collapsed="false"/>
    <row r="1246" customFormat="false" ht="13.8" hidden="false" customHeight="false" outlineLevel="0" collapsed="false"/>
    <row r="1247" customFormat="false" ht="13.8" hidden="false" customHeight="false" outlineLevel="0" collapsed="false"/>
    <row r="1248" customFormat="false" ht="13.8" hidden="false" customHeight="false" outlineLevel="0" collapsed="false"/>
    <row r="1249" customFormat="false" ht="13.8" hidden="false" customHeight="false" outlineLevel="0" collapsed="false"/>
    <row r="1250" customFormat="false" ht="13.8" hidden="false" customHeight="false" outlineLevel="0" collapsed="false"/>
    <row r="1251" customFormat="false" ht="13.8" hidden="false" customHeight="false" outlineLevel="0" collapsed="false"/>
    <row r="1252" customFormat="false" ht="13.8" hidden="false" customHeight="false" outlineLevel="0" collapsed="false"/>
    <row r="1253" customFormat="false" ht="13.8" hidden="false" customHeight="false" outlineLevel="0" collapsed="false"/>
    <row r="1254" customFormat="false" ht="13.8" hidden="false" customHeight="false" outlineLevel="0" collapsed="false"/>
    <row r="1255" customFormat="false" ht="13.8" hidden="false" customHeight="false" outlineLevel="0" collapsed="false"/>
    <row r="1256" customFormat="false" ht="13.8" hidden="false" customHeight="false" outlineLevel="0" collapsed="false"/>
    <row r="1257" customFormat="false" ht="13.8" hidden="false" customHeight="false" outlineLevel="0" collapsed="false"/>
    <row r="1258" customFormat="false" ht="13.8" hidden="false" customHeight="false" outlineLevel="0" collapsed="false"/>
    <row r="1259" customFormat="false" ht="13.8" hidden="false" customHeight="false" outlineLevel="0" collapsed="false"/>
    <row r="1260" customFormat="false" ht="13.8" hidden="false" customHeight="false" outlineLevel="0" collapsed="false"/>
    <row r="1261" customFormat="false" ht="13.8" hidden="false" customHeight="false" outlineLevel="0" collapsed="false"/>
    <row r="1262" customFormat="false" ht="13.8" hidden="false" customHeight="false" outlineLevel="0" collapsed="false"/>
    <row r="1263" customFormat="false" ht="13.8" hidden="false" customHeight="false" outlineLevel="0" collapsed="false"/>
    <row r="1264" customFormat="false" ht="13.8" hidden="false" customHeight="false" outlineLevel="0" collapsed="false"/>
    <row r="1265" customFormat="false" ht="13.8" hidden="false" customHeight="false" outlineLevel="0" collapsed="false"/>
    <row r="1266" customFormat="false" ht="13.8" hidden="false" customHeight="false" outlineLevel="0" collapsed="false"/>
    <row r="1267" customFormat="false" ht="13.8" hidden="false" customHeight="false" outlineLevel="0" collapsed="false"/>
    <row r="1268" customFormat="false" ht="13.8" hidden="false" customHeight="false" outlineLevel="0" collapsed="false"/>
    <row r="1269" customFormat="false" ht="13.8" hidden="false" customHeight="false" outlineLevel="0" collapsed="false"/>
    <row r="1270" customFormat="false" ht="13.8" hidden="false" customHeight="false" outlineLevel="0" collapsed="false"/>
    <row r="1271" customFormat="false" ht="13.8" hidden="false" customHeight="false" outlineLevel="0" collapsed="false"/>
    <row r="1272" customFormat="false" ht="13.8" hidden="false" customHeight="false" outlineLevel="0" collapsed="false"/>
    <row r="1273" customFormat="false" ht="13.8" hidden="false" customHeight="false" outlineLevel="0" collapsed="false"/>
    <row r="1274" customFormat="false" ht="13.8" hidden="false" customHeight="false" outlineLevel="0" collapsed="false"/>
    <row r="1275" customFormat="false" ht="13.8" hidden="false" customHeight="false" outlineLevel="0" collapsed="false"/>
    <row r="1276" customFormat="false" ht="13.8" hidden="false" customHeight="false" outlineLevel="0" collapsed="false"/>
    <row r="1277" customFormat="false" ht="13.8" hidden="false" customHeight="false" outlineLevel="0" collapsed="false"/>
    <row r="1278" customFormat="false" ht="13.8" hidden="false" customHeight="false" outlineLevel="0" collapsed="false"/>
    <row r="1279" customFormat="false" ht="13.8" hidden="false" customHeight="false" outlineLevel="0" collapsed="false"/>
    <row r="1280" customFormat="false" ht="13.8" hidden="false" customHeight="false" outlineLevel="0" collapsed="false"/>
    <row r="1281" customFormat="false" ht="13.8" hidden="false" customHeight="false" outlineLevel="0" collapsed="false"/>
    <row r="1282" customFormat="false" ht="13.8" hidden="false" customHeight="false" outlineLevel="0" collapsed="false"/>
    <row r="1283" customFormat="false" ht="13.8" hidden="false" customHeight="false" outlineLevel="0" collapsed="false"/>
    <row r="1284" customFormat="false" ht="13.8" hidden="false" customHeight="false" outlineLevel="0" collapsed="false"/>
    <row r="1285" customFormat="false" ht="13.8" hidden="false" customHeight="false" outlineLevel="0" collapsed="false"/>
    <row r="1286" customFormat="false" ht="13.8" hidden="false" customHeight="false" outlineLevel="0" collapsed="false"/>
    <row r="1287" customFormat="false" ht="13.8" hidden="false" customHeight="false" outlineLevel="0" collapsed="false"/>
    <row r="1288" customFormat="false" ht="13.8" hidden="false" customHeight="false" outlineLevel="0" collapsed="false"/>
    <row r="1289" customFormat="false" ht="13.8" hidden="false" customHeight="false" outlineLevel="0" collapsed="false"/>
    <row r="1290" customFormat="false" ht="13.8" hidden="false" customHeight="false" outlineLevel="0" collapsed="false"/>
    <row r="1291" customFormat="false" ht="13.8" hidden="false" customHeight="false" outlineLevel="0" collapsed="false"/>
    <row r="1292" customFormat="false" ht="13.8" hidden="false" customHeight="false" outlineLevel="0" collapsed="false"/>
    <row r="1293" customFormat="false" ht="13.8" hidden="false" customHeight="false" outlineLevel="0" collapsed="false"/>
    <row r="1294" customFormat="false" ht="13.8" hidden="false" customHeight="false" outlineLevel="0" collapsed="false"/>
    <row r="1295" customFormat="false" ht="13.8" hidden="false" customHeight="false" outlineLevel="0" collapsed="false"/>
    <row r="1296" customFormat="false" ht="13.8" hidden="false" customHeight="false" outlineLevel="0" collapsed="false"/>
    <row r="1297" customFormat="false" ht="13.8" hidden="false" customHeight="false" outlineLevel="0" collapsed="false"/>
    <row r="1298" customFormat="false" ht="13.8" hidden="false" customHeight="false" outlineLevel="0" collapsed="false"/>
    <row r="1299" customFormat="false" ht="13.8" hidden="false" customHeight="false" outlineLevel="0" collapsed="false"/>
    <row r="1300" customFormat="false" ht="13.8" hidden="false" customHeight="false" outlineLevel="0" collapsed="false"/>
    <row r="1301" customFormat="false" ht="13.8" hidden="false" customHeight="false" outlineLevel="0" collapsed="false"/>
    <row r="1302" customFormat="false" ht="13.8" hidden="false" customHeight="false" outlineLevel="0" collapsed="false"/>
    <row r="1303" customFormat="false" ht="13.8" hidden="false" customHeight="false" outlineLevel="0" collapsed="false"/>
    <row r="1304" customFormat="false" ht="13.8" hidden="false" customHeight="false" outlineLevel="0" collapsed="false"/>
    <row r="1305" customFormat="false" ht="13.8" hidden="false" customHeight="false" outlineLevel="0" collapsed="false"/>
    <row r="1306" customFormat="false" ht="13.8" hidden="false" customHeight="false" outlineLevel="0" collapsed="false"/>
    <row r="1307" customFormat="false" ht="13.8" hidden="false" customHeight="false" outlineLevel="0" collapsed="false"/>
    <row r="1308" customFormat="false" ht="13.8" hidden="false" customHeight="false" outlineLevel="0" collapsed="false"/>
    <row r="1309" customFormat="false" ht="13.8" hidden="false" customHeight="false" outlineLevel="0" collapsed="false"/>
    <row r="1310" customFormat="false" ht="13.8" hidden="false" customHeight="false" outlineLevel="0" collapsed="false"/>
    <row r="1311" customFormat="false" ht="13.8" hidden="false" customHeight="false" outlineLevel="0" collapsed="false"/>
    <row r="1312" customFormat="false" ht="13.8" hidden="false" customHeight="false" outlineLevel="0" collapsed="false"/>
    <row r="1313" customFormat="false" ht="13.8" hidden="false" customHeight="false" outlineLevel="0" collapsed="false"/>
    <row r="1314" customFormat="false" ht="13.8" hidden="false" customHeight="false" outlineLevel="0" collapsed="false"/>
    <row r="1315" customFormat="false" ht="13.8" hidden="false" customHeight="false" outlineLevel="0" collapsed="false"/>
    <row r="1316" customFormat="false" ht="13.8" hidden="false" customHeight="false" outlineLevel="0" collapsed="false"/>
    <row r="1317" customFormat="false" ht="13.8" hidden="false" customHeight="false" outlineLevel="0" collapsed="false"/>
    <row r="1318" customFormat="false" ht="13.8" hidden="false" customHeight="false" outlineLevel="0" collapsed="false"/>
    <row r="1319" customFormat="false" ht="13.8" hidden="false" customHeight="false" outlineLevel="0" collapsed="false"/>
    <row r="1320" customFormat="false" ht="13.8" hidden="false" customHeight="false" outlineLevel="0" collapsed="false"/>
    <row r="1321" customFormat="false" ht="13.8" hidden="false" customHeight="false" outlineLevel="0" collapsed="false"/>
    <row r="1322" customFormat="false" ht="13.8" hidden="false" customHeight="false" outlineLevel="0" collapsed="false"/>
    <row r="1323" customFormat="false" ht="13.8" hidden="false" customHeight="false" outlineLevel="0" collapsed="false"/>
    <row r="1324" customFormat="false" ht="13.8" hidden="false" customHeight="false" outlineLevel="0" collapsed="false"/>
    <row r="1325" customFormat="false" ht="13.8" hidden="false" customHeight="false" outlineLevel="0" collapsed="false"/>
    <row r="1326" customFormat="false" ht="13.8" hidden="false" customHeight="false" outlineLevel="0" collapsed="false"/>
    <row r="1327" customFormat="false" ht="13.8" hidden="false" customHeight="false" outlineLevel="0" collapsed="false"/>
    <row r="1328" customFormat="false" ht="13.8" hidden="false" customHeight="false" outlineLevel="0" collapsed="false"/>
    <row r="1329" customFormat="false" ht="13.8" hidden="false" customHeight="false" outlineLevel="0" collapsed="false"/>
    <row r="1330" customFormat="false" ht="13.8" hidden="false" customHeight="false" outlineLevel="0" collapsed="false"/>
    <row r="1331" customFormat="false" ht="13.8" hidden="false" customHeight="false" outlineLevel="0" collapsed="false"/>
    <row r="1332" customFormat="false" ht="13.8" hidden="false" customHeight="false" outlineLevel="0" collapsed="false"/>
    <row r="1333" customFormat="false" ht="13.8" hidden="false" customHeight="false" outlineLevel="0" collapsed="false"/>
    <row r="1334" customFormat="false" ht="13.8" hidden="false" customHeight="false" outlineLevel="0" collapsed="false"/>
    <row r="1335" customFormat="false" ht="13.8" hidden="false" customHeight="false" outlineLevel="0" collapsed="false"/>
    <row r="1336" customFormat="false" ht="13.8" hidden="false" customHeight="false" outlineLevel="0" collapsed="false"/>
    <row r="1337" customFormat="false" ht="13.8" hidden="false" customHeight="false" outlineLevel="0" collapsed="false"/>
    <row r="1338" customFormat="false" ht="13.8" hidden="false" customHeight="false" outlineLevel="0" collapsed="false"/>
    <row r="1339" customFormat="false" ht="13.8" hidden="false" customHeight="false" outlineLevel="0" collapsed="false"/>
    <row r="1340" customFormat="false" ht="13.8" hidden="false" customHeight="false" outlineLevel="0" collapsed="false"/>
    <row r="1341" customFormat="false" ht="13.8" hidden="false" customHeight="false" outlineLevel="0" collapsed="false"/>
    <row r="1342" customFormat="false" ht="13.8" hidden="false" customHeight="false" outlineLevel="0" collapsed="false"/>
    <row r="1343" customFormat="false" ht="13.8" hidden="false" customHeight="false" outlineLevel="0" collapsed="false"/>
    <row r="1344" customFormat="false" ht="13.8" hidden="false" customHeight="false" outlineLevel="0" collapsed="false"/>
    <row r="1345" customFormat="false" ht="13.8" hidden="false" customHeight="false" outlineLevel="0" collapsed="false"/>
    <row r="1346" customFormat="false" ht="13.8" hidden="false" customHeight="false" outlineLevel="0" collapsed="false"/>
    <row r="1347" customFormat="false" ht="13.8" hidden="false" customHeight="false" outlineLevel="0" collapsed="false"/>
    <row r="1348" customFormat="false" ht="13.8" hidden="false" customHeight="false" outlineLevel="0" collapsed="false"/>
    <row r="1349" customFormat="false" ht="13.8" hidden="false" customHeight="false" outlineLevel="0" collapsed="false"/>
    <row r="1350" customFormat="false" ht="13.8" hidden="false" customHeight="false" outlineLevel="0" collapsed="false"/>
    <row r="1351" customFormat="false" ht="13.8" hidden="false" customHeight="false" outlineLevel="0" collapsed="false"/>
    <row r="1352" customFormat="false" ht="13.8" hidden="false" customHeight="false" outlineLevel="0" collapsed="false"/>
    <row r="1353" customFormat="false" ht="13.8" hidden="false" customHeight="false" outlineLevel="0" collapsed="false"/>
    <row r="1354" customFormat="false" ht="13.8" hidden="false" customHeight="false" outlineLevel="0" collapsed="false"/>
    <row r="1355" customFormat="false" ht="13.8" hidden="false" customHeight="false" outlineLevel="0" collapsed="false"/>
    <row r="1356" customFormat="false" ht="13.8" hidden="false" customHeight="false" outlineLevel="0" collapsed="false"/>
    <row r="1357" customFormat="false" ht="13.8" hidden="false" customHeight="false" outlineLevel="0" collapsed="false"/>
    <row r="1358" customFormat="false" ht="13.8" hidden="false" customHeight="false" outlineLevel="0" collapsed="false"/>
    <row r="1359" customFormat="false" ht="13.8" hidden="false" customHeight="false" outlineLevel="0" collapsed="false"/>
    <row r="1360" customFormat="false" ht="13.8" hidden="false" customHeight="false" outlineLevel="0" collapsed="false"/>
    <row r="1361" customFormat="false" ht="13.8" hidden="false" customHeight="false" outlineLevel="0" collapsed="false"/>
    <row r="1362" customFormat="false" ht="13.8" hidden="false" customHeight="false" outlineLevel="0" collapsed="false"/>
    <row r="1363" customFormat="false" ht="13.8" hidden="false" customHeight="false" outlineLevel="0" collapsed="false"/>
    <row r="1364" customFormat="false" ht="13.8" hidden="false" customHeight="false" outlineLevel="0" collapsed="false"/>
    <row r="1365" customFormat="false" ht="13.8" hidden="false" customHeight="false" outlineLevel="0" collapsed="false"/>
    <row r="1366" customFormat="false" ht="13.8" hidden="false" customHeight="false" outlineLevel="0" collapsed="false"/>
    <row r="1367" customFormat="false" ht="13.8" hidden="false" customHeight="false" outlineLevel="0" collapsed="false"/>
    <row r="1368" customFormat="false" ht="13.8" hidden="false" customHeight="false" outlineLevel="0" collapsed="false"/>
    <row r="1369" customFormat="false" ht="13.8" hidden="false" customHeight="false" outlineLevel="0" collapsed="false"/>
    <row r="1370" customFormat="false" ht="13.8" hidden="false" customHeight="false" outlineLevel="0" collapsed="false"/>
    <row r="1371" customFormat="false" ht="13.8" hidden="false" customHeight="false" outlineLevel="0" collapsed="false"/>
    <row r="1372" customFormat="false" ht="13.8" hidden="false" customHeight="false" outlineLevel="0" collapsed="false"/>
    <row r="1373" customFormat="false" ht="13.8" hidden="false" customHeight="false" outlineLevel="0" collapsed="false"/>
    <row r="1374" customFormat="false" ht="13.8" hidden="false" customHeight="false" outlineLevel="0" collapsed="false"/>
    <row r="1375" customFormat="false" ht="13.8" hidden="false" customHeight="false" outlineLevel="0" collapsed="false"/>
    <row r="1376" customFormat="false" ht="13.8" hidden="false" customHeight="false" outlineLevel="0" collapsed="false"/>
    <row r="1377" customFormat="false" ht="13.8" hidden="false" customHeight="false" outlineLevel="0" collapsed="false"/>
    <row r="1378" customFormat="false" ht="13.8" hidden="false" customHeight="false" outlineLevel="0" collapsed="false"/>
    <row r="1379" customFormat="false" ht="13.8" hidden="false" customHeight="false" outlineLevel="0" collapsed="false"/>
    <row r="1380" customFormat="false" ht="13.8" hidden="false" customHeight="false" outlineLevel="0" collapsed="false"/>
    <row r="1381" customFormat="false" ht="13.8" hidden="false" customHeight="false" outlineLevel="0" collapsed="false"/>
    <row r="1382" customFormat="false" ht="13.8" hidden="false" customHeight="false" outlineLevel="0" collapsed="false"/>
    <row r="1383" customFormat="false" ht="13.8" hidden="false" customHeight="false" outlineLevel="0" collapsed="false"/>
    <row r="1384" customFormat="false" ht="13.8" hidden="false" customHeight="false" outlineLevel="0" collapsed="false"/>
    <row r="1385" customFormat="false" ht="13.8" hidden="false" customHeight="false" outlineLevel="0" collapsed="false"/>
    <row r="1386" customFormat="false" ht="13.8" hidden="false" customHeight="false" outlineLevel="0" collapsed="false"/>
    <row r="1387" customFormat="false" ht="13.8" hidden="false" customHeight="false" outlineLevel="0" collapsed="false"/>
    <row r="1388" customFormat="false" ht="13.8" hidden="false" customHeight="false" outlineLevel="0" collapsed="false"/>
    <row r="1389" customFormat="false" ht="13.8" hidden="false" customHeight="false" outlineLevel="0" collapsed="false"/>
    <row r="1390" customFormat="false" ht="13.8" hidden="false" customHeight="false" outlineLevel="0" collapsed="false"/>
    <row r="1391" customFormat="false" ht="13.8" hidden="false" customHeight="false" outlineLevel="0" collapsed="false"/>
    <row r="1392" customFormat="false" ht="13.8" hidden="false" customHeight="false" outlineLevel="0" collapsed="false"/>
    <row r="1393" customFormat="false" ht="13.8" hidden="false" customHeight="false" outlineLevel="0" collapsed="false"/>
    <row r="1394" customFormat="false" ht="13.8" hidden="false" customHeight="false" outlineLevel="0" collapsed="false"/>
    <row r="1395" customFormat="false" ht="13.8" hidden="false" customHeight="false" outlineLevel="0" collapsed="false"/>
    <row r="1396" customFormat="false" ht="13.8" hidden="false" customHeight="false" outlineLevel="0" collapsed="false"/>
    <row r="1397" customFormat="false" ht="13.8" hidden="false" customHeight="false" outlineLevel="0" collapsed="false"/>
    <row r="1398" customFormat="false" ht="13.8" hidden="false" customHeight="false" outlineLevel="0" collapsed="false"/>
    <row r="1399" customFormat="false" ht="13.8" hidden="false" customHeight="false" outlineLevel="0" collapsed="false"/>
    <row r="1400" customFormat="false" ht="13.8" hidden="false" customHeight="false" outlineLevel="0" collapsed="false"/>
    <row r="1401" customFormat="false" ht="13.8" hidden="false" customHeight="false" outlineLevel="0" collapsed="false"/>
    <row r="1402" customFormat="false" ht="13.8" hidden="false" customHeight="false" outlineLevel="0" collapsed="false"/>
    <row r="1403" customFormat="false" ht="13.8" hidden="false" customHeight="false" outlineLevel="0" collapsed="false"/>
    <row r="1404" customFormat="false" ht="13.8" hidden="false" customHeight="false" outlineLevel="0" collapsed="false"/>
    <row r="1405" customFormat="false" ht="13.8" hidden="false" customHeight="false" outlineLevel="0" collapsed="false"/>
    <row r="1406" customFormat="false" ht="13.8" hidden="false" customHeight="false" outlineLevel="0" collapsed="false"/>
    <row r="1407" customFormat="false" ht="13.8" hidden="false" customHeight="false" outlineLevel="0" collapsed="false"/>
    <row r="1408" customFormat="false" ht="13.8" hidden="false" customHeight="false" outlineLevel="0" collapsed="false"/>
    <row r="1409" customFormat="false" ht="13.8" hidden="false" customHeight="false" outlineLevel="0" collapsed="false"/>
    <row r="1410" customFormat="false" ht="13.8" hidden="false" customHeight="false" outlineLevel="0" collapsed="false"/>
    <row r="1411" customFormat="false" ht="13.8" hidden="false" customHeight="false" outlineLevel="0" collapsed="false"/>
    <row r="1412" customFormat="false" ht="13.8" hidden="false" customHeight="false" outlineLevel="0" collapsed="false"/>
    <row r="1413" customFormat="false" ht="13.8" hidden="false" customHeight="false" outlineLevel="0" collapsed="false"/>
    <row r="1414" customFormat="false" ht="13.8" hidden="false" customHeight="false" outlineLevel="0" collapsed="false"/>
    <row r="1415" customFormat="false" ht="13.8" hidden="false" customHeight="false" outlineLevel="0" collapsed="false"/>
    <row r="1416" customFormat="false" ht="13.8" hidden="false" customHeight="false" outlineLevel="0" collapsed="false"/>
    <row r="1417" customFormat="false" ht="13.8" hidden="false" customHeight="false" outlineLevel="0" collapsed="false"/>
    <row r="1418" customFormat="false" ht="13.8" hidden="false" customHeight="false" outlineLevel="0" collapsed="false"/>
    <row r="1419" customFormat="false" ht="13.8" hidden="false" customHeight="false" outlineLevel="0" collapsed="false"/>
    <row r="1420" customFormat="false" ht="13.8" hidden="false" customHeight="false" outlineLevel="0" collapsed="false"/>
    <row r="1421" customFormat="false" ht="13.8" hidden="false" customHeight="false" outlineLevel="0" collapsed="false"/>
    <row r="1422" customFormat="false" ht="13.8" hidden="false" customHeight="false" outlineLevel="0" collapsed="false"/>
    <row r="1423" customFormat="false" ht="13.8" hidden="false" customHeight="false" outlineLevel="0" collapsed="false"/>
    <row r="1424" customFormat="false" ht="13.8" hidden="false" customHeight="false" outlineLevel="0" collapsed="false"/>
    <row r="1425" customFormat="false" ht="13.8" hidden="false" customHeight="false" outlineLevel="0" collapsed="false"/>
    <row r="1426" customFormat="false" ht="13.8" hidden="false" customHeight="false" outlineLevel="0" collapsed="false"/>
    <row r="1427" customFormat="false" ht="13.8" hidden="false" customHeight="false" outlineLevel="0" collapsed="false"/>
    <row r="1428" customFormat="false" ht="13.8" hidden="false" customHeight="false" outlineLevel="0" collapsed="false"/>
    <row r="1429" customFormat="false" ht="13.8" hidden="false" customHeight="false" outlineLevel="0" collapsed="false"/>
    <row r="1430" customFormat="false" ht="13.8" hidden="false" customHeight="false" outlineLevel="0" collapsed="false"/>
    <row r="1431" customFormat="false" ht="13.8" hidden="false" customHeight="false" outlineLevel="0" collapsed="false"/>
    <row r="1432" customFormat="false" ht="13.8" hidden="false" customHeight="false" outlineLevel="0" collapsed="false"/>
    <row r="1433" customFormat="false" ht="13.8" hidden="false" customHeight="false" outlineLevel="0" collapsed="false"/>
    <row r="1434" customFormat="false" ht="13.8" hidden="false" customHeight="false" outlineLevel="0" collapsed="false"/>
    <row r="1435" customFormat="false" ht="13.8" hidden="false" customHeight="false" outlineLevel="0" collapsed="false"/>
    <row r="1436" customFormat="false" ht="13.8" hidden="false" customHeight="false" outlineLevel="0" collapsed="false"/>
    <row r="1437" customFormat="false" ht="13.8" hidden="false" customHeight="false" outlineLevel="0" collapsed="false"/>
    <row r="1438" customFormat="false" ht="13.8" hidden="false" customHeight="false" outlineLevel="0" collapsed="false"/>
    <row r="1439" customFormat="false" ht="13.8" hidden="false" customHeight="false" outlineLevel="0" collapsed="false"/>
    <row r="1440" customFormat="false" ht="13.8" hidden="false" customHeight="false" outlineLevel="0" collapsed="false"/>
    <row r="1441" customFormat="false" ht="13.8" hidden="false" customHeight="false" outlineLevel="0" collapsed="false"/>
    <row r="1442" customFormat="false" ht="13.8" hidden="false" customHeight="false" outlineLevel="0" collapsed="false"/>
    <row r="1443" customFormat="false" ht="13.8" hidden="false" customHeight="false" outlineLevel="0" collapsed="false"/>
    <row r="1444" customFormat="false" ht="13.8" hidden="false" customHeight="false" outlineLevel="0" collapsed="false"/>
    <row r="1445" customFormat="false" ht="13.8" hidden="false" customHeight="false" outlineLevel="0" collapsed="false"/>
    <row r="1446" customFormat="false" ht="13.8" hidden="false" customHeight="false" outlineLevel="0" collapsed="false"/>
    <row r="1447" customFormat="false" ht="13.8" hidden="false" customHeight="false" outlineLevel="0" collapsed="false"/>
    <row r="1448" customFormat="false" ht="13.8" hidden="false" customHeight="false" outlineLevel="0" collapsed="false"/>
    <row r="1449" customFormat="false" ht="13.8" hidden="false" customHeight="false" outlineLevel="0" collapsed="false"/>
    <row r="1450" customFormat="false" ht="13.8" hidden="false" customHeight="false" outlineLevel="0" collapsed="false"/>
    <row r="1451" customFormat="false" ht="13.8" hidden="false" customHeight="false" outlineLevel="0" collapsed="false"/>
    <row r="1452" customFormat="false" ht="13.8" hidden="false" customHeight="false" outlineLevel="0" collapsed="false"/>
    <row r="1453" customFormat="false" ht="13.8" hidden="false" customHeight="false" outlineLevel="0" collapsed="false"/>
    <row r="1454" customFormat="false" ht="13.8" hidden="false" customHeight="false" outlineLevel="0" collapsed="false"/>
    <row r="1455" customFormat="false" ht="13.8" hidden="false" customHeight="false" outlineLevel="0" collapsed="false"/>
    <row r="1456" customFormat="false" ht="13.8" hidden="false" customHeight="false" outlineLevel="0" collapsed="false"/>
    <row r="1457" customFormat="false" ht="13.8" hidden="false" customHeight="false" outlineLevel="0" collapsed="false"/>
    <row r="1458" customFormat="false" ht="13.8" hidden="false" customHeight="false" outlineLevel="0" collapsed="false"/>
    <row r="1459" customFormat="false" ht="13.8" hidden="false" customHeight="false" outlineLevel="0" collapsed="false"/>
    <row r="1460" customFormat="false" ht="13.8" hidden="false" customHeight="false" outlineLevel="0" collapsed="false"/>
    <row r="1461" customFormat="false" ht="13.8" hidden="false" customHeight="false" outlineLevel="0" collapsed="false"/>
    <row r="1462" customFormat="false" ht="13.8" hidden="false" customHeight="false" outlineLevel="0" collapsed="false"/>
    <row r="1463" customFormat="false" ht="13.8" hidden="false" customHeight="false" outlineLevel="0" collapsed="false"/>
    <row r="1464" customFormat="false" ht="13.8" hidden="false" customHeight="false" outlineLevel="0" collapsed="false"/>
    <row r="1465" customFormat="false" ht="13.8" hidden="false" customHeight="false" outlineLevel="0" collapsed="false"/>
    <row r="1466" customFormat="false" ht="13.8" hidden="false" customHeight="false" outlineLevel="0" collapsed="false"/>
    <row r="1467" customFormat="false" ht="13.8" hidden="false" customHeight="false" outlineLevel="0" collapsed="false"/>
    <row r="1468" customFormat="false" ht="13.8" hidden="false" customHeight="false" outlineLevel="0" collapsed="false"/>
    <row r="1469" customFormat="false" ht="13.8" hidden="false" customHeight="false" outlineLevel="0" collapsed="false"/>
    <row r="1470" customFormat="false" ht="13.8" hidden="false" customHeight="false" outlineLevel="0" collapsed="false"/>
    <row r="1471" customFormat="false" ht="13.8" hidden="false" customHeight="false" outlineLevel="0" collapsed="false"/>
    <row r="1472" customFormat="false" ht="13.8" hidden="false" customHeight="false" outlineLevel="0" collapsed="false"/>
    <row r="1473" customFormat="false" ht="13.8" hidden="false" customHeight="false" outlineLevel="0" collapsed="false"/>
    <row r="1474" customFormat="false" ht="13.8" hidden="false" customHeight="false" outlineLevel="0" collapsed="false"/>
    <row r="1475" customFormat="false" ht="13.8" hidden="false" customHeight="false" outlineLevel="0" collapsed="false"/>
    <row r="1476" customFormat="false" ht="13.8" hidden="false" customHeight="false" outlineLevel="0" collapsed="false"/>
    <row r="1477" customFormat="false" ht="13.8" hidden="false" customHeight="false" outlineLevel="0" collapsed="false"/>
    <row r="1478" customFormat="false" ht="13.8" hidden="false" customHeight="false" outlineLevel="0" collapsed="false"/>
    <row r="1479" customFormat="false" ht="13.8" hidden="false" customHeight="false" outlineLevel="0" collapsed="false"/>
    <row r="1480" customFormat="false" ht="13.8" hidden="false" customHeight="false" outlineLevel="0" collapsed="false"/>
    <row r="1481" customFormat="false" ht="13.8" hidden="false" customHeight="false" outlineLevel="0" collapsed="false"/>
    <row r="1482" customFormat="false" ht="13.8" hidden="false" customHeight="false" outlineLevel="0" collapsed="false"/>
    <row r="1483" customFormat="false" ht="13.8" hidden="false" customHeight="false" outlineLevel="0" collapsed="false"/>
    <row r="1484" customFormat="false" ht="13.8" hidden="false" customHeight="false" outlineLevel="0" collapsed="false"/>
    <row r="1485" customFormat="false" ht="13.8" hidden="false" customHeight="false" outlineLevel="0" collapsed="false"/>
    <row r="1486" customFormat="false" ht="13.8" hidden="false" customHeight="false" outlineLevel="0" collapsed="false"/>
    <row r="1487" customFormat="false" ht="13.8" hidden="false" customHeight="false" outlineLevel="0" collapsed="false"/>
    <row r="1488" customFormat="false" ht="13.8" hidden="false" customHeight="false" outlineLevel="0" collapsed="false"/>
    <row r="1489" customFormat="false" ht="13.8" hidden="false" customHeight="false" outlineLevel="0" collapsed="false"/>
    <row r="1490" customFormat="false" ht="13.8" hidden="false" customHeight="false" outlineLevel="0" collapsed="false"/>
    <row r="1491" customFormat="false" ht="13.8" hidden="false" customHeight="false" outlineLevel="0" collapsed="false"/>
    <row r="1492" customFormat="false" ht="13.8" hidden="false" customHeight="false" outlineLevel="0" collapsed="false"/>
    <row r="1493" customFormat="false" ht="13.8" hidden="false" customHeight="false" outlineLevel="0" collapsed="false"/>
    <row r="1494" customFormat="false" ht="13.8" hidden="false" customHeight="false" outlineLevel="0" collapsed="false"/>
    <row r="1495" customFormat="false" ht="13.8" hidden="false" customHeight="false" outlineLevel="0" collapsed="false"/>
    <row r="1496" customFormat="false" ht="13.8" hidden="false" customHeight="false" outlineLevel="0" collapsed="false"/>
    <row r="1497" customFormat="false" ht="13.8" hidden="false" customHeight="false" outlineLevel="0" collapsed="false"/>
    <row r="1498" customFormat="false" ht="13.8" hidden="false" customHeight="false" outlineLevel="0" collapsed="false"/>
    <row r="1499" customFormat="false" ht="13.8" hidden="false" customHeight="false" outlineLevel="0" collapsed="false"/>
    <row r="1500" customFormat="false" ht="13.8" hidden="false" customHeight="false" outlineLevel="0" collapsed="false"/>
    <row r="1501" customFormat="false" ht="13.8" hidden="false" customHeight="false" outlineLevel="0" collapsed="false"/>
    <row r="1502" customFormat="false" ht="13.8" hidden="false" customHeight="false" outlineLevel="0" collapsed="false"/>
    <row r="1503" customFormat="false" ht="13.8" hidden="false" customHeight="false" outlineLevel="0" collapsed="false"/>
    <row r="1504" customFormat="false" ht="13.8" hidden="false" customHeight="false" outlineLevel="0" collapsed="false"/>
    <row r="1505" customFormat="false" ht="13.8" hidden="false" customHeight="false" outlineLevel="0" collapsed="false"/>
    <row r="1506" customFormat="false" ht="13.8" hidden="false" customHeight="false" outlineLevel="0" collapsed="false"/>
    <row r="1507" customFormat="false" ht="13.8" hidden="false" customHeight="false" outlineLevel="0" collapsed="false"/>
    <row r="1508" customFormat="false" ht="13.8" hidden="false" customHeight="false" outlineLevel="0" collapsed="false"/>
    <row r="1509" customFormat="false" ht="13.8" hidden="false" customHeight="false" outlineLevel="0" collapsed="false"/>
    <row r="1510" customFormat="false" ht="13.8" hidden="false" customHeight="false" outlineLevel="0" collapsed="false"/>
    <row r="1511" customFormat="false" ht="13.8" hidden="false" customHeight="false" outlineLevel="0" collapsed="false"/>
    <row r="1512" customFormat="false" ht="13.8" hidden="false" customHeight="false" outlineLevel="0" collapsed="false"/>
    <row r="1513" customFormat="false" ht="13.8" hidden="false" customHeight="false" outlineLevel="0" collapsed="false"/>
    <row r="1514" customFormat="false" ht="13.8" hidden="false" customHeight="false" outlineLevel="0" collapsed="false"/>
    <row r="1515" customFormat="false" ht="13.8" hidden="false" customHeight="false" outlineLevel="0" collapsed="false"/>
    <row r="1516" customFormat="false" ht="13.8" hidden="false" customHeight="false" outlineLevel="0" collapsed="false"/>
    <row r="1517" customFormat="false" ht="13.8" hidden="false" customHeight="false" outlineLevel="0" collapsed="false"/>
    <row r="1518" customFormat="false" ht="13.8" hidden="false" customHeight="false" outlineLevel="0" collapsed="false"/>
    <row r="1519" customFormat="false" ht="13.8" hidden="false" customHeight="false" outlineLevel="0" collapsed="false"/>
    <row r="1520" customFormat="false" ht="13.8" hidden="false" customHeight="false" outlineLevel="0" collapsed="false"/>
    <row r="1521" customFormat="false" ht="13.8" hidden="false" customHeight="false" outlineLevel="0" collapsed="false"/>
    <row r="1522" customFormat="false" ht="13.8" hidden="false" customHeight="false" outlineLevel="0" collapsed="false"/>
    <row r="1523" customFormat="false" ht="13.8" hidden="false" customHeight="false" outlineLevel="0" collapsed="false"/>
    <row r="1524" customFormat="false" ht="13.8" hidden="false" customHeight="false" outlineLevel="0" collapsed="false"/>
    <row r="1525" customFormat="false" ht="13.8" hidden="false" customHeight="false" outlineLevel="0" collapsed="false"/>
    <row r="1526" customFormat="false" ht="13.8" hidden="false" customHeight="false" outlineLevel="0" collapsed="false"/>
    <row r="1527" customFormat="false" ht="13.8" hidden="false" customHeight="false" outlineLevel="0" collapsed="false"/>
    <row r="1528" customFormat="false" ht="13.8" hidden="false" customHeight="false" outlineLevel="0" collapsed="false"/>
    <row r="1529" customFormat="false" ht="13.8" hidden="false" customHeight="false" outlineLevel="0" collapsed="false"/>
    <row r="1530" customFormat="false" ht="13.8" hidden="false" customHeight="false" outlineLevel="0" collapsed="false"/>
    <row r="1531" customFormat="false" ht="13.8" hidden="false" customHeight="false" outlineLevel="0" collapsed="false"/>
    <row r="1532" customFormat="false" ht="13.8" hidden="false" customHeight="false" outlineLevel="0" collapsed="false"/>
    <row r="1533" customFormat="false" ht="13.8" hidden="false" customHeight="false" outlineLevel="0" collapsed="false"/>
    <row r="1534" customFormat="false" ht="13.8" hidden="false" customHeight="false" outlineLevel="0" collapsed="false"/>
    <row r="1535" customFormat="false" ht="13.8" hidden="false" customHeight="false" outlineLevel="0" collapsed="false"/>
    <row r="1536" customFormat="false" ht="13.8" hidden="false" customHeight="false" outlineLevel="0" collapsed="false"/>
    <row r="1537" customFormat="false" ht="13.8" hidden="false" customHeight="false" outlineLevel="0" collapsed="false"/>
    <row r="1538" customFormat="false" ht="13.8" hidden="false" customHeight="false" outlineLevel="0" collapsed="false"/>
    <row r="1539" customFormat="false" ht="13.8" hidden="false" customHeight="false" outlineLevel="0" collapsed="false"/>
    <row r="1540" customFormat="false" ht="13.8" hidden="false" customHeight="false" outlineLevel="0" collapsed="false"/>
    <row r="1541" customFormat="false" ht="13.8" hidden="false" customHeight="false" outlineLevel="0" collapsed="false"/>
    <row r="1542" customFormat="false" ht="13.8" hidden="false" customHeight="false" outlineLevel="0" collapsed="false"/>
    <row r="1543" customFormat="false" ht="13.8" hidden="false" customHeight="false" outlineLevel="0" collapsed="false"/>
    <row r="1544" customFormat="false" ht="13.8" hidden="false" customHeight="false" outlineLevel="0" collapsed="false"/>
    <row r="1545" customFormat="false" ht="13.8" hidden="false" customHeight="false" outlineLevel="0" collapsed="false"/>
    <row r="1546" customFormat="false" ht="13.8" hidden="false" customHeight="false" outlineLevel="0" collapsed="false"/>
    <row r="1547" customFormat="false" ht="13.8" hidden="false" customHeight="false" outlineLevel="0" collapsed="false"/>
    <row r="1548" customFormat="false" ht="13.8" hidden="false" customHeight="false" outlineLevel="0" collapsed="false"/>
    <row r="1549" customFormat="false" ht="13.8" hidden="false" customHeight="false" outlineLevel="0" collapsed="false"/>
    <row r="1550" customFormat="false" ht="13.8" hidden="false" customHeight="false" outlineLevel="0" collapsed="false"/>
    <row r="1551" customFormat="false" ht="13.8" hidden="false" customHeight="false" outlineLevel="0" collapsed="false"/>
    <row r="1552" customFormat="false" ht="13.8" hidden="false" customHeight="false" outlineLevel="0" collapsed="false"/>
    <row r="1553" customFormat="false" ht="13.8" hidden="false" customHeight="false" outlineLevel="0" collapsed="false"/>
    <row r="1554" customFormat="false" ht="13.8" hidden="false" customHeight="false" outlineLevel="0" collapsed="false"/>
    <row r="1555" customFormat="false" ht="13.8" hidden="false" customHeight="false" outlineLevel="0" collapsed="false"/>
    <row r="1556" customFormat="false" ht="13.8" hidden="false" customHeight="false" outlineLevel="0" collapsed="false"/>
    <row r="1557" customFormat="false" ht="13.8" hidden="false" customHeight="false" outlineLevel="0" collapsed="false"/>
    <row r="1558" customFormat="false" ht="13.8" hidden="false" customHeight="false" outlineLevel="0" collapsed="false"/>
    <row r="1559" customFormat="false" ht="13.8" hidden="false" customHeight="false" outlineLevel="0" collapsed="false"/>
    <row r="1560" customFormat="false" ht="13.8" hidden="false" customHeight="false" outlineLevel="0" collapsed="false"/>
    <row r="1561" customFormat="false" ht="13.8" hidden="false" customHeight="false" outlineLevel="0" collapsed="false"/>
    <row r="1562" customFormat="false" ht="13.8" hidden="false" customHeight="false" outlineLevel="0" collapsed="false"/>
    <row r="1563" customFormat="false" ht="13.8" hidden="false" customHeight="false" outlineLevel="0" collapsed="false"/>
    <row r="1564" customFormat="false" ht="13.8" hidden="false" customHeight="false" outlineLevel="0" collapsed="false"/>
    <row r="1565" customFormat="false" ht="13.8" hidden="false" customHeight="false" outlineLevel="0" collapsed="false"/>
    <row r="1566" customFormat="false" ht="13.8" hidden="false" customHeight="false" outlineLevel="0" collapsed="false"/>
    <row r="1567" customFormat="false" ht="13.8" hidden="false" customHeight="false" outlineLevel="0" collapsed="false"/>
    <row r="1568" customFormat="false" ht="13.8" hidden="false" customHeight="false" outlineLevel="0" collapsed="false"/>
    <row r="1569" customFormat="false" ht="13.8" hidden="false" customHeight="false" outlineLevel="0" collapsed="false"/>
    <row r="1570" customFormat="false" ht="13.8" hidden="false" customHeight="false" outlineLevel="0" collapsed="false"/>
    <row r="1571" customFormat="false" ht="13.8" hidden="false" customHeight="false" outlineLevel="0" collapsed="false"/>
    <row r="1572" customFormat="false" ht="13.8" hidden="false" customHeight="false" outlineLevel="0" collapsed="false"/>
    <row r="1573" customFormat="false" ht="13.8" hidden="false" customHeight="false" outlineLevel="0" collapsed="false"/>
    <row r="1574" customFormat="false" ht="13.8" hidden="false" customHeight="false" outlineLevel="0" collapsed="false"/>
    <row r="1575" customFormat="false" ht="13.8" hidden="false" customHeight="false" outlineLevel="0" collapsed="false"/>
    <row r="1576" customFormat="false" ht="13.8" hidden="false" customHeight="false" outlineLevel="0" collapsed="false"/>
    <row r="1577" customFormat="false" ht="13.8" hidden="false" customHeight="false" outlineLevel="0" collapsed="false"/>
    <row r="1578" customFormat="false" ht="13.8" hidden="false" customHeight="false" outlineLevel="0" collapsed="false"/>
    <row r="1579" customFormat="false" ht="13.8" hidden="false" customHeight="false" outlineLevel="0" collapsed="false"/>
    <row r="1580" customFormat="false" ht="13.8" hidden="false" customHeight="false" outlineLevel="0" collapsed="false"/>
    <row r="1581" customFormat="false" ht="13.8" hidden="false" customHeight="false" outlineLevel="0" collapsed="false"/>
    <row r="1582" customFormat="false" ht="13.8" hidden="false" customHeight="false" outlineLevel="0" collapsed="false"/>
    <row r="1583" customFormat="false" ht="13.8" hidden="false" customHeight="false" outlineLevel="0" collapsed="false"/>
    <row r="1584" customFormat="false" ht="13.8" hidden="false" customHeight="false" outlineLevel="0" collapsed="false"/>
    <row r="1585" customFormat="false" ht="13.8" hidden="false" customHeight="false" outlineLevel="0" collapsed="false"/>
    <row r="1586" customFormat="false" ht="13.8" hidden="false" customHeight="false" outlineLevel="0" collapsed="false"/>
    <row r="1587" customFormat="false" ht="13.8" hidden="false" customHeight="false" outlineLevel="0" collapsed="false"/>
    <row r="1588" customFormat="false" ht="13.8" hidden="false" customHeight="false" outlineLevel="0" collapsed="false"/>
    <row r="1589" customFormat="false" ht="13.8" hidden="false" customHeight="false" outlineLevel="0" collapsed="false"/>
    <row r="1590" customFormat="false" ht="13.8" hidden="false" customHeight="false" outlineLevel="0" collapsed="false"/>
    <row r="1591" customFormat="false" ht="13.8" hidden="false" customHeight="false" outlineLevel="0" collapsed="false"/>
    <row r="1592" customFormat="false" ht="13.8" hidden="false" customHeight="false" outlineLevel="0" collapsed="false"/>
    <row r="1593" customFormat="false" ht="13.8" hidden="false" customHeight="false" outlineLevel="0" collapsed="false"/>
    <row r="1594" customFormat="false" ht="13.8" hidden="false" customHeight="false" outlineLevel="0" collapsed="false"/>
    <row r="1595" customFormat="false" ht="13.8" hidden="false" customHeight="false" outlineLevel="0" collapsed="false"/>
    <row r="1596" customFormat="false" ht="13.8" hidden="false" customHeight="false" outlineLevel="0" collapsed="false"/>
    <row r="1597" customFormat="false" ht="13.8" hidden="false" customHeight="false" outlineLevel="0" collapsed="false"/>
    <row r="1598" customFormat="false" ht="13.8" hidden="false" customHeight="false" outlineLevel="0" collapsed="false"/>
    <row r="1599" customFormat="false" ht="13.8" hidden="false" customHeight="false" outlineLevel="0" collapsed="false"/>
    <row r="1600" customFormat="false" ht="13.8" hidden="false" customHeight="false" outlineLevel="0" collapsed="false"/>
    <row r="1601" customFormat="false" ht="13.8" hidden="false" customHeight="false" outlineLevel="0" collapsed="false"/>
    <row r="1602" customFormat="false" ht="13.8" hidden="false" customHeight="false" outlineLevel="0" collapsed="false"/>
    <row r="1603" customFormat="false" ht="13.8" hidden="false" customHeight="false" outlineLevel="0" collapsed="false"/>
    <row r="1604" customFormat="false" ht="13.8" hidden="false" customHeight="false" outlineLevel="0" collapsed="false"/>
    <row r="1605" customFormat="false" ht="13.8" hidden="false" customHeight="false" outlineLevel="0" collapsed="false"/>
    <row r="1606" customFormat="false" ht="13.8" hidden="false" customHeight="false" outlineLevel="0" collapsed="false"/>
    <row r="1607" customFormat="false" ht="13.8" hidden="false" customHeight="false" outlineLevel="0" collapsed="false"/>
    <row r="1608" customFormat="false" ht="13.8" hidden="false" customHeight="false" outlineLevel="0" collapsed="false"/>
    <row r="1609" customFormat="false" ht="13.8" hidden="false" customHeight="false" outlineLevel="0" collapsed="false"/>
    <row r="1610" customFormat="false" ht="13.8" hidden="false" customHeight="false" outlineLevel="0" collapsed="false"/>
    <row r="1611" customFormat="false" ht="13.8" hidden="false" customHeight="false" outlineLevel="0" collapsed="false"/>
    <row r="1612" customFormat="false" ht="13.8" hidden="false" customHeight="false" outlineLevel="0" collapsed="false"/>
    <row r="1613" customFormat="false" ht="13.8" hidden="false" customHeight="false" outlineLevel="0" collapsed="false"/>
    <row r="1614" customFormat="false" ht="13.8" hidden="false" customHeight="false" outlineLevel="0" collapsed="false"/>
    <row r="1615" customFormat="false" ht="13.8" hidden="false" customHeight="false" outlineLevel="0" collapsed="false"/>
    <row r="1616" customFormat="false" ht="13.8" hidden="false" customHeight="false" outlineLevel="0" collapsed="false"/>
    <row r="1617" customFormat="false" ht="13.8" hidden="false" customHeight="false" outlineLevel="0" collapsed="false"/>
    <row r="1618" customFormat="false" ht="13.8" hidden="false" customHeight="false" outlineLevel="0" collapsed="false"/>
    <row r="1619" customFormat="false" ht="13.8" hidden="false" customHeight="false" outlineLevel="0" collapsed="false"/>
    <row r="1620" customFormat="false" ht="13.8" hidden="false" customHeight="false" outlineLevel="0" collapsed="false"/>
    <row r="1621" customFormat="false" ht="13.8" hidden="false" customHeight="false" outlineLevel="0" collapsed="false"/>
    <row r="1622" customFormat="false" ht="13.8" hidden="false" customHeight="false" outlineLevel="0" collapsed="false"/>
    <row r="1623" customFormat="false" ht="13.8" hidden="false" customHeight="false" outlineLevel="0" collapsed="false"/>
    <row r="1624" customFormat="false" ht="13.8" hidden="false" customHeight="false" outlineLevel="0" collapsed="false"/>
    <row r="1625" customFormat="false" ht="13.8" hidden="false" customHeight="false" outlineLevel="0" collapsed="false"/>
    <row r="1626" customFormat="false" ht="13.8" hidden="false" customHeight="false" outlineLevel="0" collapsed="false"/>
    <row r="1627" customFormat="false" ht="13.8" hidden="false" customHeight="false" outlineLevel="0" collapsed="false"/>
    <row r="1628" customFormat="false" ht="13.8" hidden="false" customHeight="false" outlineLevel="0" collapsed="false"/>
    <row r="1629" customFormat="false" ht="13.8" hidden="false" customHeight="false" outlineLevel="0" collapsed="false"/>
    <row r="1630" customFormat="false" ht="13.8" hidden="false" customHeight="false" outlineLevel="0" collapsed="false"/>
    <row r="1631" customFormat="false" ht="13.8" hidden="false" customHeight="false" outlineLevel="0" collapsed="false"/>
    <row r="1632" customFormat="false" ht="13.8" hidden="false" customHeight="false" outlineLevel="0" collapsed="false"/>
    <row r="1633" customFormat="false" ht="13.8" hidden="false" customHeight="false" outlineLevel="0" collapsed="false"/>
    <row r="1634" customFormat="false" ht="13.8" hidden="false" customHeight="false" outlineLevel="0" collapsed="false"/>
    <row r="1635" customFormat="false" ht="13.8" hidden="false" customHeight="false" outlineLevel="0" collapsed="false"/>
    <row r="1636" customFormat="false" ht="13.8" hidden="false" customHeight="false" outlineLevel="0" collapsed="false"/>
    <row r="1637" customFormat="false" ht="13.8" hidden="false" customHeight="false" outlineLevel="0" collapsed="false"/>
    <row r="1638" customFormat="false" ht="13.8" hidden="false" customHeight="false" outlineLevel="0" collapsed="false"/>
    <row r="1639" customFormat="false" ht="13.8" hidden="false" customHeight="false" outlineLevel="0" collapsed="false"/>
    <row r="1640" customFormat="false" ht="13.8" hidden="false" customHeight="false" outlineLevel="0" collapsed="false"/>
    <row r="1641" customFormat="false" ht="13.8" hidden="false" customHeight="false" outlineLevel="0" collapsed="false"/>
    <row r="1642" customFormat="false" ht="13.8" hidden="false" customHeight="false" outlineLevel="0" collapsed="false"/>
    <row r="1643" customFormat="false" ht="13.8" hidden="false" customHeight="false" outlineLevel="0" collapsed="false"/>
    <row r="1644" customFormat="false" ht="13.8" hidden="false" customHeight="false" outlineLevel="0" collapsed="false"/>
    <row r="1645" customFormat="false" ht="13.8" hidden="false" customHeight="false" outlineLevel="0" collapsed="false"/>
    <row r="1646" customFormat="false" ht="13.8" hidden="false" customHeight="false" outlineLevel="0" collapsed="false"/>
    <row r="1647" customFormat="false" ht="13.8" hidden="false" customHeight="false" outlineLevel="0" collapsed="false"/>
    <row r="1648" customFormat="false" ht="13.8" hidden="false" customHeight="false" outlineLevel="0" collapsed="false"/>
    <row r="1649" customFormat="false" ht="13.8" hidden="false" customHeight="false" outlineLevel="0" collapsed="false"/>
    <row r="1650" customFormat="false" ht="13.8" hidden="false" customHeight="false" outlineLevel="0" collapsed="false"/>
    <row r="1651" customFormat="false" ht="13.8" hidden="false" customHeight="false" outlineLevel="0" collapsed="false"/>
    <row r="1652" customFormat="false" ht="13.8" hidden="false" customHeight="false" outlineLevel="0" collapsed="false"/>
    <row r="1653" customFormat="false" ht="13.8" hidden="false" customHeight="false" outlineLevel="0" collapsed="false"/>
    <row r="1654" customFormat="false" ht="13.8" hidden="false" customHeight="false" outlineLevel="0" collapsed="false"/>
    <row r="1655" customFormat="false" ht="13.8" hidden="false" customHeight="false" outlineLevel="0" collapsed="false"/>
    <row r="1656" customFormat="false" ht="13.8" hidden="false" customHeight="false" outlineLevel="0" collapsed="false"/>
    <row r="1657" customFormat="false" ht="13.8" hidden="false" customHeight="false" outlineLevel="0" collapsed="false"/>
    <row r="1658" customFormat="false" ht="13.8" hidden="false" customHeight="false" outlineLevel="0" collapsed="false"/>
    <row r="1659" customFormat="false" ht="13.8" hidden="false" customHeight="false" outlineLevel="0" collapsed="false"/>
    <row r="1660" customFormat="false" ht="13.8" hidden="false" customHeight="false" outlineLevel="0" collapsed="false"/>
    <row r="1661" customFormat="false" ht="13.8" hidden="false" customHeight="false" outlineLevel="0" collapsed="false"/>
    <row r="1662" customFormat="false" ht="13.8" hidden="false" customHeight="false" outlineLevel="0" collapsed="false"/>
    <row r="1663" customFormat="false" ht="13.8" hidden="false" customHeight="false" outlineLevel="0" collapsed="false"/>
    <row r="1664" customFormat="false" ht="13.8" hidden="false" customHeight="false" outlineLevel="0" collapsed="false"/>
    <row r="1665" customFormat="false" ht="13.8" hidden="false" customHeight="false" outlineLevel="0" collapsed="false"/>
    <row r="1666" customFormat="false" ht="13.8" hidden="false" customHeight="false" outlineLevel="0" collapsed="false"/>
    <row r="1667" customFormat="false" ht="13.8" hidden="false" customHeight="false" outlineLevel="0" collapsed="false"/>
    <row r="1668" customFormat="false" ht="13.8" hidden="false" customHeight="false" outlineLevel="0" collapsed="false"/>
    <row r="1669" customFormat="false" ht="13.8" hidden="false" customHeight="false" outlineLevel="0" collapsed="false"/>
    <row r="1670" customFormat="false" ht="13.8" hidden="false" customHeight="false" outlineLevel="0" collapsed="false"/>
    <row r="1671" customFormat="false" ht="13.8" hidden="false" customHeight="false" outlineLevel="0" collapsed="false"/>
    <row r="1672" customFormat="false" ht="13.8" hidden="false" customHeight="false" outlineLevel="0" collapsed="false"/>
    <row r="1673" customFormat="false" ht="13.8" hidden="false" customHeight="false" outlineLevel="0" collapsed="false"/>
    <row r="1674" customFormat="false" ht="13.8" hidden="false" customHeight="false" outlineLevel="0" collapsed="false"/>
    <row r="1675" customFormat="false" ht="13.8" hidden="false" customHeight="false" outlineLevel="0" collapsed="false"/>
    <row r="1676" customFormat="false" ht="13.8" hidden="false" customHeight="false" outlineLevel="0" collapsed="false"/>
    <row r="1677" customFormat="false" ht="13.8" hidden="false" customHeight="false" outlineLevel="0" collapsed="false"/>
    <row r="1678" customFormat="false" ht="13.8" hidden="false" customHeight="false" outlineLevel="0" collapsed="false"/>
    <row r="1679" customFormat="false" ht="13.8" hidden="false" customHeight="false" outlineLevel="0" collapsed="false"/>
    <row r="1680" customFormat="false" ht="13.8" hidden="false" customHeight="false" outlineLevel="0" collapsed="false"/>
    <row r="1681" customFormat="false" ht="13.8" hidden="false" customHeight="false" outlineLevel="0" collapsed="false"/>
    <row r="1682" customFormat="false" ht="13.8" hidden="false" customHeight="false" outlineLevel="0" collapsed="false"/>
    <row r="1683" customFormat="false" ht="13.8" hidden="false" customHeight="false" outlineLevel="0" collapsed="false"/>
    <row r="1684" customFormat="false" ht="13.8" hidden="false" customHeight="false" outlineLevel="0" collapsed="false"/>
    <row r="1685" customFormat="false" ht="13.8" hidden="false" customHeight="false" outlineLevel="0" collapsed="false"/>
    <row r="1686" customFormat="false" ht="13.8" hidden="false" customHeight="false" outlineLevel="0" collapsed="false"/>
    <row r="1687" customFormat="false" ht="13.8" hidden="false" customHeight="false" outlineLevel="0" collapsed="false"/>
    <row r="1688" customFormat="false" ht="13.8" hidden="false" customHeight="false" outlineLevel="0" collapsed="false"/>
    <row r="1689" customFormat="false" ht="13.8" hidden="false" customHeight="false" outlineLevel="0" collapsed="false"/>
    <row r="1690" customFormat="false" ht="13.8" hidden="false" customHeight="false" outlineLevel="0" collapsed="false"/>
    <row r="1691" customFormat="false" ht="13.8" hidden="false" customHeight="false" outlineLevel="0" collapsed="false"/>
    <row r="1692" customFormat="false" ht="13.8" hidden="false" customHeight="false" outlineLevel="0" collapsed="false"/>
    <row r="1693" customFormat="false" ht="13.8" hidden="false" customHeight="false" outlineLevel="0" collapsed="false"/>
    <row r="1694" customFormat="false" ht="13.8" hidden="false" customHeight="false" outlineLevel="0" collapsed="false"/>
    <row r="1695" customFormat="false" ht="13.8" hidden="false" customHeight="false" outlineLevel="0" collapsed="false"/>
    <row r="1696" customFormat="false" ht="13.8" hidden="false" customHeight="false" outlineLevel="0" collapsed="false"/>
    <row r="1697" customFormat="false" ht="13.8" hidden="false" customHeight="false" outlineLevel="0" collapsed="false"/>
    <row r="1698" customFormat="false" ht="13.8" hidden="false" customHeight="false" outlineLevel="0" collapsed="false"/>
    <row r="1699" customFormat="false" ht="13.8" hidden="false" customHeight="false" outlineLevel="0" collapsed="false"/>
    <row r="1700" customFormat="false" ht="13.8" hidden="false" customHeight="false" outlineLevel="0" collapsed="false"/>
    <row r="1701" customFormat="false" ht="13.8" hidden="false" customHeight="false" outlineLevel="0" collapsed="false"/>
    <row r="1702" customFormat="false" ht="13.8" hidden="false" customHeight="false" outlineLevel="0" collapsed="false"/>
    <row r="1703" customFormat="false" ht="13.8" hidden="false" customHeight="false" outlineLevel="0" collapsed="false"/>
    <row r="1704" customFormat="false" ht="13.8" hidden="false" customHeight="false" outlineLevel="0" collapsed="false"/>
    <row r="1705" customFormat="false" ht="13.8" hidden="false" customHeight="false" outlineLevel="0" collapsed="false"/>
    <row r="1706" customFormat="false" ht="13.8" hidden="false" customHeight="false" outlineLevel="0" collapsed="false"/>
    <row r="1707" customFormat="false" ht="13.8" hidden="false" customHeight="false" outlineLevel="0" collapsed="false"/>
    <row r="1708" customFormat="false" ht="13.8" hidden="false" customHeight="false" outlineLevel="0" collapsed="false"/>
    <row r="1709" customFormat="false" ht="13.8" hidden="false" customHeight="false" outlineLevel="0" collapsed="false"/>
    <row r="1710" customFormat="false" ht="13.8" hidden="false" customHeight="false" outlineLevel="0" collapsed="false"/>
    <row r="1711" customFormat="false" ht="13.8" hidden="false" customHeight="false" outlineLevel="0" collapsed="false"/>
    <row r="1712" customFormat="false" ht="13.8" hidden="false" customHeight="false" outlineLevel="0" collapsed="false"/>
    <row r="1713" customFormat="false" ht="13.8" hidden="false" customHeight="false" outlineLevel="0" collapsed="false"/>
    <row r="1714" customFormat="false" ht="13.8" hidden="false" customHeight="false" outlineLevel="0" collapsed="false"/>
    <row r="1715" customFormat="false" ht="13.8" hidden="false" customHeight="false" outlineLevel="0" collapsed="false"/>
    <row r="1716" customFormat="false" ht="13.8" hidden="false" customHeight="false" outlineLevel="0" collapsed="false"/>
    <row r="1717" customFormat="false" ht="13.8" hidden="false" customHeight="false" outlineLevel="0" collapsed="false"/>
    <row r="1718" customFormat="false" ht="13.8" hidden="false" customHeight="false" outlineLevel="0" collapsed="false"/>
    <row r="1719" customFormat="false" ht="13.8" hidden="false" customHeight="false" outlineLevel="0" collapsed="false"/>
    <row r="1720" customFormat="false" ht="13.8" hidden="false" customHeight="false" outlineLevel="0" collapsed="false"/>
    <row r="1721" customFormat="false" ht="13.8" hidden="false" customHeight="false" outlineLevel="0" collapsed="false"/>
    <row r="1722" customFormat="false" ht="13.8" hidden="false" customHeight="false" outlineLevel="0" collapsed="false"/>
    <row r="1723" customFormat="false" ht="13.8" hidden="false" customHeight="false" outlineLevel="0" collapsed="false"/>
    <row r="1724" customFormat="false" ht="13.8" hidden="false" customHeight="false" outlineLevel="0" collapsed="false"/>
    <row r="1725" customFormat="false" ht="13.8" hidden="false" customHeight="false" outlineLevel="0" collapsed="false"/>
    <row r="1726" customFormat="false" ht="13.8" hidden="false" customHeight="false" outlineLevel="0" collapsed="false"/>
    <row r="1727" customFormat="false" ht="13.8" hidden="false" customHeight="false" outlineLevel="0" collapsed="false"/>
    <row r="1728" customFormat="false" ht="13.8" hidden="false" customHeight="false" outlineLevel="0" collapsed="false"/>
    <row r="1729" customFormat="false" ht="13.8" hidden="false" customHeight="false" outlineLevel="0" collapsed="false"/>
    <row r="1730" customFormat="false" ht="13.8" hidden="false" customHeight="false" outlineLevel="0" collapsed="false"/>
    <row r="1731" customFormat="false" ht="13.8" hidden="false" customHeight="false" outlineLevel="0" collapsed="false"/>
    <row r="1732" customFormat="false" ht="13.8" hidden="false" customHeight="false" outlineLevel="0" collapsed="false"/>
    <row r="1733" customFormat="false" ht="13.8" hidden="false" customHeight="false" outlineLevel="0" collapsed="false"/>
    <row r="1734" customFormat="false" ht="13.8" hidden="false" customHeight="false" outlineLevel="0" collapsed="false"/>
    <row r="1735" customFormat="false" ht="13.8" hidden="false" customHeight="false" outlineLevel="0" collapsed="false"/>
    <row r="1736" customFormat="false" ht="13.8" hidden="false" customHeight="false" outlineLevel="0" collapsed="false"/>
    <row r="1737" customFormat="false" ht="13.8" hidden="false" customHeight="false" outlineLevel="0" collapsed="false"/>
    <row r="1738" customFormat="false" ht="13.8" hidden="false" customHeight="false" outlineLevel="0" collapsed="false"/>
    <row r="1739" customFormat="false" ht="13.8" hidden="false" customHeight="false" outlineLevel="0" collapsed="false"/>
    <row r="1740" customFormat="false" ht="13.8" hidden="false" customHeight="false" outlineLevel="0" collapsed="false"/>
    <row r="1741" customFormat="false" ht="13.8" hidden="false" customHeight="false" outlineLevel="0" collapsed="false"/>
    <row r="1742" customFormat="false" ht="13.8" hidden="false" customHeight="false" outlineLevel="0" collapsed="false"/>
    <row r="1743" customFormat="false" ht="13.8" hidden="false" customHeight="false" outlineLevel="0" collapsed="false"/>
    <row r="1744" customFormat="false" ht="13.8" hidden="false" customHeight="false" outlineLevel="0" collapsed="false"/>
    <row r="1745" customFormat="false" ht="13.8" hidden="false" customHeight="false" outlineLevel="0" collapsed="false"/>
    <row r="1746" customFormat="false" ht="13.8" hidden="false" customHeight="false" outlineLevel="0" collapsed="false"/>
    <row r="1747" customFormat="false" ht="13.8" hidden="false" customHeight="false" outlineLevel="0" collapsed="false"/>
    <row r="1748" customFormat="false" ht="13.8" hidden="false" customHeight="false" outlineLevel="0" collapsed="false"/>
    <row r="1749" customFormat="false" ht="13.8" hidden="false" customHeight="false" outlineLevel="0" collapsed="false"/>
    <row r="1750" customFormat="false" ht="13.8" hidden="false" customHeight="false" outlineLevel="0" collapsed="false"/>
    <row r="1751" customFormat="false" ht="13.8" hidden="false" customHeight="false" outlineLevel="0" collapsed="false"/>
    <row r="1752" customFormat="false" ht="13.8" hidden="false" customHeight="false" outlineLevel="0" collapsed="false"/>
    <row r="1753" customFormat="false" ht="13.8" hidden="false" customHeight="false" outlineLevel="0" collapsed="false"/>
    <row r="1754" customFormat="false" ht="13.8" hidden="false" customHeight="false" outlineLevel="0" collapsed="false"/>
    <row r="1755" customFormat="false" ht="13.8" hidden="false" customHeight="false" outlineLevel="0" collapsed="false"/>
    <row r="1756" customFormat="false" ht="13.8" hidden="false" customHeight="false" outlineLevel="0" collapsed="false"/>
    <row r="1757" customFormat="false" ht="13.8" hidden="false" customHeight="false" outlineLevel="0" collapsed="false"/>
    <row r="1758" customFormat="false" ht="13.8" hidden="false" customHeight="false" outlineLevel="0" collapsed="false"/>
    <row r="1759" customFormat="false" ht="13.8" hidden="false" customHeight="false" outlineLevel="0" collapsed="false"/>
    <row r="1760" customFormat="false" ht="13.8" hidden="false" customHeight="false" outlineLevel="0" collapsed="false"/>
    <row r="1761" customFormat="false" ht="13.8" hidden="false" customHeight="false" outlineLevel="0" collapsed="false"/>
    <row r="1762" customFormat="false" ht="13.8" hidden="false" customHeight="false" outlineLevel="0" collapsed="false"/>
    <row r="1763" customFormat="false" ht="13.8" hidden="false" customHeight="false" outlineLevel="0" collapsed="false"/>
    <row r="1764" customFormat="false" ht="13.8" hidden="false" customHeight="false" outlineLevel="0" collapsed="false"/>
    <row r="1765" customFormat="false" ht="13.8" hidden="false" customHeight="false" outlineLevel="0" collapsed="false"/>
    <row r="1766" customFormat="false" ht="13.8" hidden="false" customHeight="false" outlineLevel="0" collapsed="false"/>
    <row r="1767" customFormat="false" ht="13.8" hidden="false" customHeight="false" outlineLevel="0" collapsed="false"/>
    <row r="1768" customFormat="false" ht="13.8" hidden="false" customHeight="false" outlineLevel="0" collapsed="false"/>
    <row r="1769" customFormat="false" ht="13.8" hidden="false" customHeight="false" outlineLevel="0" collapsed="false"/>
    <row r="1770" customFormat="false" ht="13.8" hidden="false" customHeight="false" outlineLevel="0" collapsed="false"/>
    <row r="1771" customFormat="false" ht="13.8" hidden="false" customHeight="false" outlineLevel="0" collapsed="false"/>
    <row r="1772" customFormat="false" ht="13.8" hidden="false" customHeight="false" outlineLevel="0" collapsed="false"/>
    <row r="1773" customFormat="false" ht="13.8" hidden="false" customHeight="false" outlineLevel="0" collapsed="false"/>
    <row r="1774" customFormat="false" ht="13.8" hidden="false" customHeight="false" outlineLevel="0" collapsed="false"/>
    <row r="1775" customFormat="false" ht="13.8" hidden="false" customHeight="false" outlineLevel="0" collapsed="false"/>
    <row r="1776" customFormat="false" ht="13.8" hidden="false" customHeight="false" outlineLevel="0" collapsed="false"/>
    <row r="1777" customFormat="false" ht="13.8" hidden="false" customHeight="false" outlineLevel="0" collapsed="false"/>
    <row r="1778" customFormat="false" ht="13.8" hidden="false" customHeight="false" outlineLevel="0" collapsed="false"/>
    <row r="1779" customFormat="false" ht="13.8" hidden="false" customHeight="false" outlineLevel="0" collapsed="false"/>
    <row r="1780" customFormat="false" ht="13.8" hidden="false" customHeight="false" outlineLevel="0" collapsed="false"/>
    <row r="1781" customFormat="false" ht="13.8" hidden="false" customHeight="false" outlineLevel="0" collapsed="false"/>
    <row r="1782" customFormat="false" ht="13.8" hidden="false" customHeight="false" outlineLevel="0" collapsed="false"/>
    <row r="1783" customFormat="false" ht="13.8" hidden="false" customHeight="false" outlineLevel="0" collapsed="false"/>
    <row r="1784" customFormat="false" ht="13.8" hidden="false" customHeight="false" outlineLevel="0" collapsed="false"/>
    <row r="1785" customFormat="false" ht="13.8" hidden="false" customHeight="false" outlineLevel="0" collapsed="false"/>
    <row r="1786" customFormat="false" ht="13.8" hidden="false" customHeight="false" outlineLevel="0" collapsed="false"/>
    <row r="1787" customFormat="false" ht="13.8" hidden="false" customHeight="false" outlineLevel="0" collapsed="false"/>
    <row r="1788" customFormat="false" ht="13.8" hidden="false" customHeight="false" outlineLevel="0" collapsed="false"/>
    <row r="1789" customFormat="false" ht="13.8" hidden="false" customHeight="false" outlineLevel="0" collapsed="false"/>
    <row r="1790" customFormat="false" ht="13.8" hidden="false" customHeight="false" outlineLevel="0" collapsed="false"/>
    <row r="1791" customFormat="false" ht="13.8" hidden="false" customHeight="false" outlineLevel="0" collapsed="false"/>
    <row r="1792" customFormat="false" ht="13.8" hidden="false" customHeight="false" outlineLevel="0" collapsed="false"/>
    <row r="1793" customFormat="false" ht="13.8" hidden="false" customHeight="false" outlineLevel="0" collapsed="false"/>
    <row r="1794" customFormat="false" ht="13.8" hidden="false" customHeight="false" outlineLevel="0" collapsed="false"/>
    <row r="1795" customFormat="false" ht="13.8" hidden="false" customHeight="false" outlineLevel="0" collapsed="false"/>
    <row r="1796" customFormat="false" ht="13.8" hidden="false" customHeight="false" outlineLevel="0" collapsed="false"/>
    <row r="1797" customFormat="false" ht="13.8" hidden="false" customHeight="false" outlineLevel="0" collapsed="false"/>
    <row r="1798" customFormat="false" ht="13.8" hidden="false" customHeight="false" outlineLevel="0" collapsed="false"/>
    <row r="1799" customFormat="false" ht="13.8" hidden="false" customHeight="false" outlineLevel="0" collapsed="false"/>
    <row r="1800" customFormat="false" ht="13.8" hidden="false" customHeight="false" outlineLevel="0" collapsed="false"/>
    <row r="1801" customFormat="false" ht="13.8" hidden="false" customHeight="false" outlineLevel="0" collapsed="false"/>
    <row r="1802" customFormat="false" ht="13.8" hidden="false" customHeight="false" outlineLevel="0" collapsed="false"/>
    <row r="1803" customFormat="false" ht="13.8" hidden="false" customHeight="false" outlineLevel="0" collapsed="false"/>
    <row r="1804" customFormat="false" ht="13.8" hidden="false" customHeight="false" outlineLevel="0" collapsed="false"/>
    <row r="1805" customFormat="false" ht="13.8" hidden="false" customHeight="false" outlineLevel="0" collapsed="false"/>
    <row r="1806" customFormat="false" ht="13.8" hidden="false" customHeight="false" outlineLevel="0" collapsed="false"/>
    <row r="1807" customFormat="false" ht="13.8" hidden="false" customHeight="false" outlineLevel="0" collapsed="false"/>
    <row r="1808" customFormat="false" ht="13.8" hidden="false" customHeight="false" outlineLevel="0" collapsed="false"/>
    <row r="1809" customFormat="false" ht="13.8" hidden="false" customHeight="false" outlineLevel="0" collapsed="false"/>
    <row r="1810" customFormat="false" ht="13.8" hidden="false" customHeight="false" outlineLevel="0" collapsed="false"/>
    <row r="1811" customFormat="false" ht="13.8" hidden="false" customHeight="false" outlineLevel="0" collapsed="false"/>
    <row r="1812" customFormat="false" ht="13.8" hidden="false" customHeight="false" outlineLevel="0" collapsed="false"/>
    <row r="1813" customFormat="false" ht="13.8" hidden="false" customHeight="false" outlineLevel="0" collapsed="false"/>
    <row r="1814" customFormat="false" ht="13.8" hidden="false" customHeight="false" outlineLevel="0" collapsed="false"/>
    <row r="1815" customFormat="false" ht="13.8" hidden="false" customHeight="false" outlineLevel="0" collapsed="false"/>
    <row r="1816" customFormat="false" ht="13.8" hidden="false" customHeight="false" outlineLevel="0" collapsed="false"/>
    <row r="1817" customFormat="false" ht="13.8" hidden="false" customHeight="false" outlineLevel="0" collapsed="false"/>
    <row r="1818" customFormat="false" ht="13.8" hidden="false" customHeight="false" outlineLevel="0" collapsed="false"/>
    <row r="1819" customFormat="false" ht="13.8" hidden="false" customHeight="false" outlineLevel="0" collapsed="false"/>
    <row r="1820" customFormat="false" ht="13.8" hidden="false" customHeight="false" outlineLevel="0" collapsed="false"/>
    <row r="1821" customFormat="false" ht="13.8" hidden="false" customHeight="false" outlineLevel="0" collapsed="false"/>
    <row r="1822" customFormat="false" ht="13.8" hidden="false" customHeight="false" outlineLevel="0" collapsed="false"/>
    <row r="1823" customFormat="false" ht="13.8" hidden="false" customHeight="false" outlineLevel="0" collapsed="false"/>
    <row r="1824" customFormat="false" ht="13.8" hidden="false" customHeight="false" outlineLevel="0" collapsed="false"/>
    <row r="1825" customFormat="false" ht="13.8" hidden="false" customHeight="false" outlineLevel="0" collapsed="false"/>
    <row r="1826" customFormat="false" ht="13.8" hidden="false" customHeight="false" outlineLevel="0" collapsed="false"/>
    <row r="1827" customFormat="false" ht="13.8" hidden="false" customHeight="false" outlineLevel="0" collapsed="false"/>
    <row r="1828" customFormat="false" ht="13.8" hidden="false" customHeight="false" outlineLevel="0" collapsed="false"/>
    <row r="1829" customFormat="false" ht="13.8" hidden="false" customHeight="false" outlineLevel="0" collapsed="false"/>
    <row r="1830" customFormat="false" ht="13.8" hidden="false" customHeight="false" outlineLevel="0" collapsed="false"/>
    <row r="1831" customFormat="false" ht="13.8" hidden="false" customHeight="false" outlineLevel="0" collapsed="false"/>
    <row r="1832" customFormat="false" ht="13.8" hidden="false" customHeight="false" outlineLevel="0" collapsed="false"/>
    <row r="1833" customFormat="false" ht="13.8" hidden="false" customHeight="false" outlineLevel="0" collapsed="false"/>
    <row r="1834" customFormat="false" ht="13.8" hidden="false" customHeight="false" outlineLevel="0" collapsed="false"/>
    <row r="1835" customFormat="false" ht="13.8" hidden="false" customHeight="false" outlineLevel="0" collapsed="false"/>
    <row r="1836" customFormat="false" ht="13.8" hidden="false" customHeight="false" outlineLevel="0" collapsed="false"/>
    <row r="1837" customFormat="false" ht="13.8" hidden="false" customHeight="false" outlineLevel="0" collapsed="false"/>
    <row r="1838" customFormat="false" ht="13.8" hidden="false" customHeight="false" outlineLevel="0" collapsed="false"/>
    <row r="1839" customFormat="false" ht="13.8" hidden="false" customHeight="false" outlineLevel="0" collapsed="false"/>
    <row r="1840" customFormat="false" ht="13.8" hidden="false" customHeight="false" outlineLevel="0" collapsed="false"/>
    <row r="1841" customFormat="false" ht="13.8" hidden="false" customHeight="false" outlineLevel="0" collapsed="false"/>
    <row r="1842" customFormat="false" ht="13.8" hidden="false" customHeight="false" outlineLevel="0" collapsed="false"/>
    <row r="1843" customFormat="false" ht="13.8" hidden="false" customHeight="false" outlineLevel="0" collapsed="false"/>
    <row r="1844" customFormat="false" ht="13.8" hidden="false" customHeight="false" outlineLevel="0" collapsed="false"/>
    <row r="1845" customFormat="false" ht="13.8" hidden="false" customHeight="false" outlineLevel="0" collapsed="false"/>
    <row r="1846" customFormat="false" ht="13.8" hidden="false" customHeight="false" outlineLevel="0" collapsed="false"/>
    <row r="1847" customFormat="false" ht="13.8" hidden="false" customHeight="false" outlineLevel="0" collapsed="false"/>
    <row r="1848" customFormat="false" ht="13.8" hidden="false" customHeight="false" outlineLevel="0" collapsed="false"/>
    <row r="1849" customFormat="false" ht="13.8" hidden="false" customHeight="false" outlineLevel="0" collapsed="false"/>
    <row r="1850" customFormat="false" ht="13.8" hidden="false" customHeight="false" outlineLevel="0" collapsed="false"/>
    <row r="1851" customFormat="false" ht="13.8" hidden="false" customHeight="false" outlineLevel="0" collapsed="false"/>
    <row r="1852" customFormat="false" ht="13.8" hidden="false" customHeight="false" outlineLevel="0" collapsed="false"/>
    <row r="1853" customFormat="false" ht="13.8" hidden="false" customHeight="false" outlineLevel="0" collapsed="false"/>
    <row r="1854" customFormat="false" ht="13.8" hidden="false" customHeight="false" outlineLevel="0" collapsed="false"/>
    <row r="1855" customFormat="false" ht="13.8" hidden="false" customHeight="false" outlineLevel="0" collapsed="false"/>
    <row r="1856" customFormat="false" ht="13.8" hidden="false" customHeight="false" outlineLevel="0" collapsed="false"/>
    <row r="1857" customFormat="false" ht="13.8" hidden="false" customHeight="false" outlineLevel="0" collapsed="false"/>
    <row r="1858" customFormat="false" ht="13.8" hidden="false" customHeight="false" outlineLevel="0" collapsed="false"/>
    <row r="1859" customFormat="false" ht="13.8" hidden="false" customHeight="false" outlineLevel="0" collapsed="false"/>
    <row r="1860" customFormat="false" ht="13.8" hidden="false" customHeight="false" outlineLevel="0" collapsed="false"/>
    <row r="1861" customFormat="false" ht="13.8" hidden="false" customHeight="false" outlineLevel="0" collapsed="false"/>
    <row r="1862" customFormat="false" ht="13.8" hidden="false" customHeight="false" outlineLevel="0" collapsed="false"/>
    <row r="1863" customFormat="false" ht="13.8" hidden="false" customHeight="false" outlineLevel="0" collapsed="false"/>
    <row r="1864" customFormat="false" ht="13.8" hidden="false" customHeight="false" outlineLevel="0" collapsed="false"/>
    <row r="1865" customFormat="false" ht="13.8" hidden="false" customHeight="false" outlineLevel="0" collapsed="false"/>
    <row r="1866" customFormat="false" ht="13.8" hidden="false" customHeight="false" outlineLevel="0" collapsed="false"/>
    <row r="1867" customFormat="false" ht="13.8" hidden="false" customHeight="false" outlineLevel="0" collapsed="false"/>
    <row r="1868" customFormat="false" ht="13.8" hidden="false" customHeight="false" outlineLevel="0" collapsed="false"/>
    <row r="1869" customFormat="false" ht="13.8" hidden="false" customHeight="false" outlineLevel="0" collapsed="false"/>
    <row r="1870" customFormat="false" ht="13.8" hidden="false" customHeight="false" outlineLevel="0" collapsed="false"/>
    <row r="1871" customFormat="false" ht="13.8" hidden="false" customHeight="false" outlineLevel="0" collapsed="false"/>
    <row r="1872" customFormat="false" ht="13.8" hidden="false" customHeight="false" outlineLevel="0" collapsed="false"/>
    <row r="1873" customFormat="false" ht="13.8" hidden="false" customHeight="false" outlineLevel="0" collapsed="false"/>
    <row r="1874" customFormat="false" ht="13.8" hidden="false" customHeight="false" outlineLevel="0" collapsed="false"/>
    <row r="1875" customFormat="false" ht="13.8" hidden="false" customHeight="false" outlineLevel="0" collapsed="false"/>
    <row r="1876" customFormat="false" ht="13.8" hidden="false" customHeight="false" outlineLevel="0" collapsed="false"/>
    <row r="1877" customFormat="false" ht="13.8" hidden="false" customHeight="false" outlineLevel="0" collapsed="false"/>
    <row r="1878" customFormat="false" ht="13.8" hidden="false" customHeight="false" outlineLevel="0" collapsed="false"/>
    <row r="1879" customFormat="false" ht="13.8" hidden="false" customHeight="false" outlineLevel="0" collapsed="false"/>
    <row r="1880" customFormat="false" ht="13.8" hidden="false" customHeight="false" outlineLevel="0" collapsed="false"/>
    <row r="1881" customFormat="false" ht="13.8" hidden="false" customHeight="false" outlineLevel="0" collapsed="false"/>
    <row r="1882" customFormat="false" ht="13.8" hidden="false" customHeight="false" outlineLevel="0" collapsed="false"/>
    <row r="1883" customFormat="false" ht="13.8" hidden="false" customHeight="false" outlineLevel="0" collapsed="false"/>
    <row r="1884" customFormat="false" ht="13.8" hidden="false" customHeight="false" outlineLevel="0" collapsed="false"/>
    <row r="1885" customFormat="false" ht="13.8" hidden="false" customHeight="false" outlineLevel="0" collapsed="false"/>
    <row r="1886" customFormat="false" ht="13.8" hidden="false" customHeight="false" outlineLevel="0" collapsed="false"/>
    <row r="1887" customFormat="false" ht="13.8" hidden="false" customHeight="false" outlineLevel="0" collapsed="false"/>
    <row r="1888" customFormat="false" ht="13.8" hidden="false" customHeight="false" outlineLevel="0" collapsed="false"/>
    <row r="1889" customFormat="false" ht="13.8" hidden="false" customHeight="false" outlineLevel="0" collapsed="false"/>
    <row r="1890" customFormat="false" ht="13.8" hidden="false" customHeight="false" outlineLevel="0" collapsed="false"/>
    <row r="1891" customFormat="false" ht="13.8" hidden="false" customHeight="false" outlineLevel="0" collapsed="false"/>
    <row r="1892" customFormat="false" ht="13.8" hidden="false" customHeight="false" outlineLevel="0" collapsed="false"/>
    <row r="1893" customFormat="false" ht="13.8" hidden="false" customHeight="false" outlineLevel="0" collapsed="false"/>
    <row r="1894" customFormat="false" ht="13.8" hidden="false" customHeight="false" outlineLevel="0" collapsed="false"/>
    <row r="1895" customFormat="false" ht="13.8" hidden="false" customHeight="false" outlineLevel="0" collapsed="false"/>
    <row r="1896" customFormat="false" ht="13.8" hidden="false" customHeight="false" outlineLevel="0" collapsed="false"/>
    <row r="1897" customFormat="false" ht="13.8" hidden="false" customHeight="false" outlineLevel="0" collapsed="false"/>
    <row r="1898" customFormat="false" ht="13.8" hidden="false" customHeight="false" outlineLevel="0" collapsed="false"/>
    <row r="1899" customFormat="false" ht="13.8" hidden="false" customHeight="false" outlineLevel="0" collapsed="false"/>
    <row r="1900" customFormat="false" ht="13.8" hidden="false" customHeight="false" outlineLevel="0" collapsed="false"/>
    <row r="1901" customFormat="false" ht="13.8" hidden="false" customHeight="false" outlineLevel="0" collapsed="false"/>
    <row r="1902" customFormat="false" ht="13.8" hidden="false" customHeight="false" outlineLevel="0" collapsed="false"/>
    <row r="1903" customFormat="false" ht="13.8" hidden="false" customHeight="false" outlineLevel="0" collapsed="false"/>
    <row r="1904" customFormat="false" ht="13.8" hidden="false" customHeight="false" outlineLevel="0" collapsed="false"/>
    <row r="1905" customFormat="false" ht="13.8" hidden="false" customHeight="false" outlineLevel="0" collapsed="false"/>
    <row r="1906" customFormat="false" ht="13.8" hidden="false" customHeight="false" outlineLevel="0" collapsed="false"/>
    <row r="1907" customFormat="false" ht="13.8" hidden="false" customHeight="false" outlineLevel="0" collapsed="false"/>
    <row r="1908" customFormat="false" ht="13.8" hidden="false" customHeight="false" outlineLevel="0" collapsed="false"/>
    <row r="1909" customFormat="false" ht="13.8" hidden="false" customHeight="false" outlineLevel="0" collapsed="false"/>
    <row r="1910" customFormat="false" ht="13.8" hidden="false" customHeight="false" outlineLevel="0" collapsed="false"/>
    <row r="1911" customFormat="false" ht="13.8" hidden="false" customHeight="false" outlineLevel="0" collapsed="false"/>
    <row r="1912" customFormat="false" ht="13.8" hidden="false" customHeight="false" outlineLevel="0" collapsed="false"/>
    <row r="1913" customFormat="false" ht="13.8" hidden="false" customHeight="false" outlineLevel="0" collapsed="false"/>
    <row r="1914" customFormat="false" ht="13.8" hidden="false" customHeight="false" outlineLevel="0" collapsed="false"/>
    <row r="1915" customFormat="false" ht="13.8" hidden="false" customHeight="false" outlineLevel="0" collapsed="false"/>
    <row r="1916" customFormat="false" ht="13.8" hidden="false" customHeight="false" outlineLevel="0" collapsed="false"/>
    <row r="1917" customFormat="false" ht="13.8" hidden="false" customHeight="false" outlineLevel="0" collapsed="false"/>
    <row r="1918" customFormat="false" ht="13.8" hidden="false" customHeight="false" outlineLevel="0" collapsed="false"/>
    <row r="1919" customFormat="false" ht="13.8" hidden="false" customHeight="false" outlineLevel="0" collapsed="false"/>
    <row r="1920" customFormat="false" ht="13.8" hidden="false" customHeight="false" outlineLevel="0" collapsed="false"/>
    <row r="1921" customFormat="false" ht="13.8" hidden="false" customHeight="false" outlineLevel="0" collapsed="false"/>
    <row r="1922" customFormat="false" ht="13.8" hidden="false" customHeight="false" outlineLevel="0" collapsed="false"/>
    <row r="1923" customFormat="false" ht="13.8" hidden="false" customHeight="false" outlineLevel="0" collapsed="false"/>
    <row r="1924" customFormat="false" ht="13.8" hidden="false" customHeight="false" outlineLevel="0" collapsed="false"/>
    <row r="1925" customFormat="false" ht="13.8" hidden="false" customHeight="false" outlineLevel="0" collapsed="false"/>
    <row r="1926" customFormat="false" ht="13.8" hidden="false" customHeight="false" outlineLevel="0" collapsed="false"/>
    <row r="1927" customFormat="false" ht="13.8" hidden="false" customHeight="false" outlineLevel="0" collapsed="false"/>
    <row r="1928" customFormat="false" ht="13.8" hidden="false" customHeight="false" outlineLevel="0" collapsed="false"/>
    <row r="1929" customFormat="false" ht="13.8" hidden="false" customHeight="false" outlineLevel="0" collapsed="false"/>
    <row r="1930" customFormat="false" ht="13.8" hidden="false" customHeight="false" outlineLevel="0" collapsed="false"/>
    <row r="1931" customFormat="false" ht="13.8" hidden="false" customHeight="false" outlineLevel="0" collapsed="false"/>
    <row r="1932" customFormat="false" ht="13.8" hidden="false" customHeight="false" outlineLevel="0" collapsed="false"/>
    <row r="1933" customFormat="false" ht="13.8" hidden="false" customHeight="false" outlineLevel="0" collapsed="false"/>
    <row r="1934" customFormat="false" ht="13.8" hidden="false" customHeight="false" outlineLevel="0" collapsed="false"/>
    <row r="1935" customFormat="false" ht="13.8" hidden="false" customHeight="false" outlineLevel="0" collapsed="false"/>
    <row r="1936" customFormat="false" ht="13.8" hidden="false" customHeight="false" outlineLevel="0" collapsed="false"/>
    <row r="1937" customFormat="false" ht="13.8" hidden="false" customHeight="false" outlineLevel="0" collapsed="false"/>
    <row r="1938" customFormat="false" ht="13.8" hidden="false" customHeight="false" outlineLevel="0" collapsed="false"/>
    <row r="1939" customFormat="false" ht="13.8" hidden="false" customHeight="false" outlineLevel="0" collapsed="false"/>
    <row r="1940" customFormat="false" ht="13.8" hidden="false" customHeight="false" outlineLevel="0" collapsed="false"/>
    <row r="1941" customFormat="false" ht="13.8" hidden="false" customHeight="false" outlineLevel="0" collapsed="false"/>
    <row r="1942" customFormat="false" ht="13.8" hidden="false" customHeight="false" outlineLevel="0" collapsed="false"/>
    <row r="1943" customFormat="false" ht="13.8" hidden="false" customHeight="false" outlineLevel="0" collapsed="false"/>
    <row r="1944" customFormat="false" ht="13.8" hidden="false" customHeight="false" outlineLevel="0" collapsed="false"/>
    <row r="1945" customFormat="false" ht="13.8" hidden="false" customHeight="false" outlineLevel="0" collapsed="false"/>
    <row r="1946" customFormat="false" ht="13.8" hidden="false" customHeight="false" outlineLevel="0" collapsed="false"/>
    <row r="1947" customFormat="false" ht="13.8" hidden="false" customHeight="false" outlineLevel="0" collapsed="false"/>
    <row r="1948" customFormat="false" ht="13.8" hidden="false" customHeight="false" outlineLevel="0" collapsed="false"/>
    <row r="1949" customFormat="false" ht="13.8" hidden="false" customHeight="false" outlineLevel="0" collapsed="false"/>
    <row r="1950" customFormat="false" ht="13.8" hidden="false" customHeight="false" outlineLevel="0" collapsed="false"/>
    <row r="1951" customFormat="false" ht="13.8" hidden="false" customHeight="false" outlineLevel="0" collapsed="false"/>
    <row r="1952" customFormat="false" ht="13.8" hidden="false" customHeight="false" outlineLevel="0" collapsed="false"/>
    <row r="1953" customFormat="false" ht="13.8" hidden="false" customHeight="false" outlineLevel="0" collapsed="false"/>
    <row r="1954" customFormat="false" ht="13.8" hidden="false" customHeight="false" outlineLevel="0" collapsed="false"/>
    <row r="1955" customFormat="false" ht="13.8" hidden="false" customHeight="false" outlineLevel="0" collapsed="false"/>
    <row r="1956" customFormat="false" ht="13.8" hidden="false" customHeight="false" outlineLevel="0" collapsed="false"/>
    <row r="1957" customFormat="false" ht="13.8" hidden="false" customHeight="false" outlineLevel="0" collapsed="false"/>
    <row r="1958" customFormat="false" ht="13.8" hidden="false" customHeight="false" outlineLevel="0" collapsed="false"/>
    <row r="1959" customFormat="false" ht="13.8" hidden="false" customHeight="false" outlineLevel="0" collapsed="false"/>
    <row r="1960" customFormat="false" ht="13.8" hidden="false" customHeight="false" outlineLevel="0" collapsed="false"/>
    <row r="1961" customFormat="false" ht="13.8" hidden="false" customHeight="false" outlineLevel="0" collapsed="false"/>
    <row r="1962" customFormat="false" ht="13.8" hidden="false" customHeight="false" outlineLevel="0" collapsed="false"/>
    <row r="1963" customFormat="false" ht="13.8" hidden="false" customHeight="false" outlineLevel="0" collapsed="false"/>
    <row r="1964" customFormat="false" ht="13.8" hidden="false" customHeight="false" outlineLevel="0" collapsed="false"/>
    <row r="1965" customFormat="false" ht="13.8" hidden="false" customHeight="false" outlineLevel="0" collapsed="false"/>
    <row r="1966" customFormat="false" ht="13.8" hidden="false" customHeight="false" outlineLevel="0" collapsed="false"/>
    <row r="1967" customFormat="false" ht="13.8" hidden="false" customHeight="false" outlineLevel="0" collapsed="false"/>
    <row r="1968" customFormat="false" ht="13.8" hidden="false" customHeight="false" outlineLevel="0" collapsed="false"/>
    <row r="1969" customFormat="false" ht="13.8" hidden="false" customHeight="false" outlineLevel="0" collapsed="false"/>
    <row r="1970" customFormat="false" ht="13.8" hidden="false" customHeight="false" outlineLevel="0" collapsed="false"/>
    <row r="1971" customFormat="false" ht="13.8" hidden="false" customHeight="false" outlineLevel="0" collapsed="false"/>
    <row r="1972" customFormat="false" ht="13.8" hidden="false" customHeight="false" outlineLevel="0" collapsed="false"/>
    <row r="1973" customFormat="false" ht="13.8" hidden="false" customHeight="false" outlineLevel="0" collapsed="false"/>
    <row r="1974" customFormat="false" ht="13.8" hidden="false" customHeight="false" outlineLevel="0" collapsed="false"/>
    <row r="1975" customFormat="false" ht="13.8" hidden="false" customHeight="false" outlineLevel="0" collapsed="false"/>
    <row r="1976" customFormat="false" ht="13.8" hidden="false" customHeight="false" outlineLevel="0" collapsed="false"/>
    <row r="1977" customFormat="false" ht="13.8" hidden="false" customHeight="false" outlineLevel="0" collapsed="false"/>
    <row r="1978" customFormat="false" ht="13.8" hidden="false" customHeight="false" outlineLevel="0" collapsed="false"/>
    <row r="1979" customFormat="false" ht="13.8" hidden="false" customHeight="false" outlineLevel="0" collapsed="false"/>
    <row r="1980" customFormat="false" ht="13.8" hidden="false" customHeight="false" outlineLevel="0" collapsed="false"/>
    <row r="1981" customFormat="false" ht="13.8" hidden="false" customHeight="false" outlineLevel="0" collapsed="false"/>
    <row r="1982" customFormat="false" ht="13.8" hidden="false" customHeight="false" outlineLevel="0" collapsed="false"/>
    <row r="1983" customFormat="false" ht="13.8" hidden="false" customHeight="false" outlineLevel="0" collapsed="false"/>
    <row r="1984" customFormat="false" ht="13.8" hidden="false" customHeight="false" outlineLevel="0" collapsed="false"/>
    <row r="1985" customFormat="false" ht="13.8" hidden="false" customHeight="false" outlineLevel="0" collapsed="false"/>
    <row r="1986" customFormat="false" ht="13.8" hidden="false" customHeight="false" outlineLevel="0" collapsed="false"/>
    <row r="1987" customFormat="false" ht="13.8" hidden="false" customHeight="false" outlineLevel="0" collapsed="false"/>
    <row r="1988" customFormat="false" ht="13.8" hidden="false" customHeight="false" outlineLevel="0" collapsed="false"/>
    <row r="1989" customFormat="false" ht="13.8" hidden="false" customHeight="false" outlineLevel="0" collapsed="false"/>
    <row r="1990" customFormat="false" ht="13.8" hidden="false" customHeight="false" outlineLevel="0" collapsed="false"/>
    <row r="1991" customFormat="false" ht="13.8" hidden="false" customHeight="false" outlineLevel="0" collapsed="false"/>
    <row r="1992" customFormat="false" ht="13.8" hidden="false" customHeight="false" outlineLevel="0" collapsed="false"/>
    <row r="1993" customFormat="false" ht="13.8" hidden="false" customHeight="false" outlineLevel="0" collapsed="false"/>
    <row r="1994" customFormat="false" ht="13.8" hidden="false" customHeight="false" outlineLevel="0" collapsed="false"/>
    <row r="1995" customFormat="false" ht="13.8" hidden="false" customHeight="false" outlineLevel="0" collapsed="false"/>
    <row r="1996" customFormat="false" ht="13.8" hidden="false" customHeight="false" outlineLevel="0" collapsed="false"/>
    <row r="1997" customFormat="false" ht="13.8" hidden="false" customHeight="false" outlineLevel="0" collapsed="false"/>
    <row r="1998" customFormat="false" ht="13.8" hidden="false" customHeight="false" outlineLevel="0" collapsed="false"/>
    <row r="1999" customFormat="false" ht="13.8" hidden="false" customHeight="false" outlineLevel="0" collapsed="false"/>
    <row r="2000" customFormat="false" ht="13.8" hidden="false" customHeight="false" outlineLevel="0" collapsed="false"/>
    <row r="2001" customFormat="false" ht="13.8" hidden="false" customHeight="false" outlineLevel="0" collapsed="false"/>
    <row r="2002" customFormat="false" ht="13.8" hidden="false" customHeight="false" outlineLevel="0" collapsed="false"/>
    <row r="2003" customFormat="false" ht="13.8" hidden="false" customHeight="false" outlineLevel="0" collapsed="false"/>
    <row r="2004" customFormat="false" ht="13.8" hidden="false" customHeight="false" outlineLevel="0" collapsed="false"/>
    <row r="2005" customFormat="false" ht="13.8" hidden="false" customHeight="false" outlineLevel="0" collapsed="false"/>
    <row r="2006" customFormat="false" ht="13.8" hidden="false" customHeight="false" outlineLevel="0" collapsed="false"/>
    <row r="2007" customFormat="false" ht="13.8" hidden="false" customHeight="false" outlineLevel="0" collapsed="false"/>
    <row r="2008" customFormat="false" ht="13.8" hidden="false" customHeight="false" outlineLevel="0" collapsed="false"/>
    <row r="2009" customFormat="false" ht="13.8" hidden="false" customHeight="false" outlineLevel="0" collapsed="false"/>
    <row r="2010" customFormat="false" ht="13.8" hidden="false" customHeight="false" outlineLevel="0" collapsed="false"/>
    <row r="2011" customFormat="false" ht="13.8" hidden="false" customHeight="false" outlineLevel="0" collapsed="false"/>
    <row r="2012" customFormat="false" ht="13.8" hidden="false" customHeight="false" outlineLevel="0" collapsed="false"/>
    <row r="2013" customFormat="false" ht="13.8" hidden="false" customHeight="false" outlineLevel="0" collapsed="false"/>
    <row r="2014" customFormat="false" ht="13.8" hidden="false" customHeight="false" outlineLevel="0" collapsed="false"/>
    <row r="2015" customFormat="false" ht="13.8" hidden="false" customHeight="false" outlineLevel="0" collapsed="false"/>
    <row r="2016" customFormat="false" ht="13.8" hidden="false" customHeight="false" outlineLevel="0" collapsed="false"/>
    <row r="2017" customFormat="false" ht="13.8" hidden="false" customHeight="false" outlineLevel="0" collapsed="false"/>
    <row r="2018" customFormat="false" ht="13.8" hidden="false" customHeight="false" outlineLevel="0" collapsed="false"/>
    <row r="2019" customFormat="false" ht="13.8" hidden="false" customHeight="false" outlineLevel="0" collapsed="false"/>
    <row r="2020" customFormat="false" ht="13.8" hidden="false" customHeight="false" outlineLevel="0" collapsed="false"/>
    <row r="2021" customFormat="false" ht="13.8" hidden="false" customHeight="false" outlineLevel="0" collapsed="false"/>
    <row r="2022" customFormat="false" ht="13.8" hidden="false" customHeight="false" outlineLevel="0" collapsed="false"/>
    <row r="2023" customFormat="false" ht="13.8" hidden="false" customHeight="false" outlineLevel="0" collapsed="false"/>
    <row r="2024" customFormat="false" ht="13.8" hidden="false" customHeight="false" outlineLevel="0" collapsed="false"/>
    <row r="2025" customFormat="false" ht="13.8" hidden="false" customHeight="false" outlineLevel="0" collapsed="false"/>
    <row r="2026" customFormat="false" ht="13.8" hidden="false" customHeight="false" outlineLevel="0" collapsed="false"/>
    <row r="2027" customFormat="false" ht="13.8" hidden="false" customHeight="false" outlineLevel="0" collapsed="false"/>
    <row r="2028" customFormat="false" ht="13.8" hidden="false" customHeight="false" outlineLevel="0" collapsed="false"/>
    <row r="2029" customFormat="false" ht="13.8" hidden="false" customHeight="false" outlineLevel="0" collapsed="false"/>
    <row r="2030" customFormat="false" ht="13.8" hidden="false" customHeight="false" outlineLevel="0" collapsed="false"/>
    <row r="2031" customFormat="false" ht="13.8" hidden="false" customHeight="false" outlineLevel="0" collapsed="false"/>
    <row r="2032" customFormat="false" ht="13.8" hidden="false" customHeight="false" outlineLevel="0" collapsed="false"/>
    <row r="2033" customFormat="false" ht="13.8" hidden="false" customHeight="false" outlineLevel="0" collapsed="false"/>
    <row r="2034" customFormat="false" ht="13.8" hidden="false" customHeight="false" outlineLevel="0" collapsed="false"/>
    <row r="2035" customFormat="false" ht="13.8" hidden="false" customHeight="false" outlineLevel="0" collapsed="false"/>
    <row r="2036" customFormat="false" ht="13.8" hidden="false" customHeight="false" outlineLevel="0" collapsed="false"/>
    <row r="2037" customFormat="false" ht="13.8" hidden="false" customHeight="false" outlineLevel="0" collapsed="false"/>
    <row r="2038" customFormat="false" ht="13.8" hidden="false" customHeight="false" outlineLevel="0" collapsed="false"/>
    <row r="2039" customFormat="false" ht="13.8" hidden="false" customHeight="false" outlineLevel="0" collapsed="false"/>
    <row r="2040" customFormat="false" ht="13.8" hidden="false" customHeight="false" outlineLevel="0" collapsed="false"/>
    <row r="2041" customFormat="false" ht="13.8" hidden="false" customHeight="false" outlineLevel="0" collapsed="false"/>
    <row r="2042" customFormat="false" ht="13.8" hidden="false" customHeight="false" outlineLevel="0" collapsed="false"/>
    <row r="2043" customFormat="false" ht="13.8" hidden="false" customHeight="false" outlineLevel="0" collapsed="false"/>
    <row r="2044" customFormat="false" ht="13.8" hidden="false" customHeight="false" outlineLevel="0" collapsed="false"/>
    <row r="2045" customFormat="false" ht="13.8" hidden="false" customHeight="false" outlineLevel="0" collapsed="false"/>
    <row r="2046" customFormat="false" ht="13.8" hidden="false" customHeight="false" outlineLevel="0" collapsed="false"/>
    <row r="2047" customFormat="false" ht="13.8" hidden="false" customHeight="false" outlineLevel="0" collapsed="false"/>
    <row r="2048" customFormat="false" ht="13.8" hidden="false" customHeight="false" outlineLevel="0" collapsed="false"/>
    <row r="2049" customFormat="false" ht="13.8" hidden="false" customHeight="false" outlineLevel="0" collapsed="false"/>
    <row r="2050" customFormat="false" ht="13.8" hidden="false" customHeight="false" outlineLevel="0" collapsed="false"/>
    <row r="2051" customFormat="false" ht="13.8" hidden="false" customHeight="false" outlineLevel="0" collapsed="false"/>
    <row r="2052" customFormat="false" ht="13.8" hidden="false" customHeight="false" outlineLevel="0" collapsed="false"/>
    <row r="2053" customFormat="false" ht="13.8" hidden="false" customHeight="false" outlineLevel="0" collapsed="false"/>
    <row r="2054" customFormat="false" ht="13.8" hidden="false" customHeight="false" outlineLevel="0" collapsed="false"/>
    <row r="2055" customFormat="false" ht="13.8" hidden="false" customHeight="false" outlineLevel="0" collapsed="false"/>
    <row r="2056" customFormat="false" ht="13.8" hidden="false" customHeight="false" outlineLevel="0" collapsed="false"/>
    <row r="2057" customFormat="false" ht="13.8" hidden="false" customHeight="false" outlineLevel="0" collapsed="false"/>
    <row r="2058" customFormat="false" ht="13.8" hidden="false" customHeight="false" outlineLevel="0" collapsed="false"/>
    <row r="2059" customFormat="false" ht="13.8" hidden="false" customHeight="false" outlineLevel="0" collapsed="false"/>
    <row r="2060" customFormat="false" ht="13.8" hidden="false" customHeight="false" outlineLevel="0" collapsed="false"/>
    <row r="2061" customFormat="false" ht="13.8" hidden="false" customHeight="false" outlineLevel="0" collapsed="false"/>
    <row r="2062" customFormat="false" ht="13.8" hidden="false" customHeight="false" outlineLevel="0" collapsed="false"/>
    <row r="2063" customFormat="false" ht="13.8" hidden="false" customHeight="false" outlineLevel="0" collapsed="false"/>
    <row r="2064" customFormat="false" ht="13.8" hidden="false" customHeight="false" outlineLevel="0" collapsed="false"/>
    <row r="2065" customFormat="false" ht="13.8" hidden="false" customHeight="false" outlineLevel="0" collapsed="false"/>
    <row r="2066" customFormat="false" ht="13.8" hidden="false" customHeight="false" outlineLevel="0" collapsed="false"/>
    <row r="2067" customFormat="false" ht="13.8" hidden="false" customHeight="false" outlineLevel="0" collapsed="false"/>
    <row r="2068" customFormat="false" ht="13.8" hidden="false" customHeight="false" outlineLevel="0" collapsed="false"/>
    <row r="2069" customFormat="false" ht="13.8" hidden="false" customHeight="false" outlineLevel="0" collapsed="false"/>
    <row r="2070" customFormat="false" ht="13.8" hidden="false" customHeight="false" outlineLevel="0" collapsed="false"/>
    <row r="2071" customFormat="false" ht="13.8" hidden="false" customHeight="false" outlineLevel="0" collapsed="false"/>
    <row r="2072" customFormat="false" ht="13.8" hidden="false" customHeight="false" outlineLevel="0" collapsed="false"/>
    <row r="2073" customFormat="false" ht="13.8" hidden="false" customHeight="false" outlineLevel="0" collapsed="false"/>
    <row r="2074" customFormat="false" ht="13.8" hidden="false" customHeight="false" outlineLevel="0" collapsed="false"/>
    <row r="2075" customFormat="false" ht="13.8" hidden="false" customHeight="false" outlineLevel="0" collapsed="false"/>
    <row r="2076" customFormat="false" ht="13.8" hidden="false" customHeight="false" outlineLevel="0" collapsed="false"/>
    <row r="2077" customFormat="false" ht="13.8" hidden="false" customHeight="false" outlineLevel="0" collapsed="false"/>
    <row r="2078" customFormat="false" ht="13.8" hidden="false" customHeight="false" outlineLevel="0" collapsed="false"/>
    <row r="2079" customFormat="false" ht="13.8" hidden="false" customHeight="false" outlineLevel="0" collapsed="false"/>
    <row r="2080" customFormat="false" ht="13.8" hidden="false" customHeight="false" outlineLevel="0" collapsed="false"/>
    <row r="2081" customFormat="false" ht="13.8" hidden="false" customHeight="false" outlineLevel="0" collapsed="false"/>
    <row r="2082" customFormat="false" ht="13.8" hidden="false" customHeight="false" outlineLevel="0" collapsed="false"/>
    <row r="2083" customFormat="false" ht="13.8" hidden="false" customHeight="false" outlineLevel="0" collapsed="false"/>
    <row r="2084" customFormat="false" ht="13.8" hidden="false" customHeight="false" outlineLevel="0" collapsed="false"/>
    <row r="2085" customFormat="false" ht="13.8" hidden="false" customHeight="false" outlineLevel="0" collapsed="false"/>
    <row r="2086" customFormat="false" ht="13.8" hidden="false" customHeight="false" outlineLevel="0" collapsed="false"/>
    <row r="2087" customFormat="false" ht="13.8" hidden="false" customHeight="false" outlineLevel="0" collapsed="false"/>
    <row r="2088" customFormat="false" ht="13.8" hidden="false" customHeight="false" outlineLevel="0" collapsed="false"/>
    <row r="2089" customFormat="false" ht="13.8" hidden="false" customHeight="false" outlineLevel="0" collapsed="false"/>
    <row r="2090" customFormat="false" ht="13.8" hidden="false" customHeight="false" outlineLevel="0" collapsed="false"/>
    <row r="2091" customFormat="false" ht="13.8" hidden="false" customHeight="false" outlineLevel="0" collapsed="false"/>
    <row r="2092" customFormat="false" ht="13.8" hidden="false" customHeight="false" outlineLevel="0" collapsed="false"/>
    <row r="2093" customFormat="false" ht="13.8" hidden="false" customHeight="false" outlineLevel="0" collapsed="false"/>
    <row r="2094" customFormat="false" ht="13.8" hidden="false" customHeight="false" outlineLevel="0" collapsed="false"/>
    <row r="2095" customFormat="false" ht="13.8" hidden="false" customHeight="false" outlineLevel="0" collapsed="false"/>
    <row r="2096" customFormat="false" ht="13.8" hidden="false" customHeight="false" outlineLevel="0" collapsed="false"/>
    <row r="2097" customFormat="false" ht="13.8" hidden="false" customHeight="false" outlineLevel="0" collapsed="false"/>
    <row r="2098" customFormat="false" ht="13.8" hidden="false" customHeight="false" outlineLevel="0" collapsed="false"/>
    <row r="2099" customFormat="false" ht="13.8" hidden="false" customHeight="false" outlineLevel="0" collapsed="false"/>
    <row r="2100" customFormat="false" ht="13.8" hidden="false" customHeight="false" outlineLevel="0" collapsed="false"/>
    <row r="2101" customFormat="false" ht="13.8" hidden="false" customHeight="false" outlineLevel="0" collapsed="false"/>
    <row r="2102" customFormat="false" ht="13.8" hidden="false" customHeight="false" outlineLevel="0" collapsed="false"/>
    <row r="2103" customFormat="false" ht="13.8" hidden="false" customHeight="false" outlineLevel="0" collapsed="false"/>
    <row r="2104" customFormat="false" ht="13.8" hidden="false" customHeight="false" outlineLevel="0" collapsed="false"/>
    <row r="2105" customFormat="false" ht="13.8" hidden="false" customHeight="false" outlineLevel="0" collapsed="false"/>
    <row r="2106" customFormat="false" ht="13.8" hidden="false" customHeight="false" outlineLevel="0" collapsed="false"/>
    <row r="2107" customFormat="false" ht="13.8" hidden="false" customHeight="false" outlineLevel="0" collapsed="false"/>
    <row r="2108" customFormat="false" ht="13.8" hidden="false" customHeight="false" outlineLevel="0" collapsed="false"/>
    <row r="2109" customFormat="false" ht="13.8" hidden="false" customHeight="false" outlineLevel="0" collapsed="false"/>
    <row r="2110" customFormat="false" ht="13.8" hidden="false" customHeight="false" outlineLevel="0" collapsed="false"/>
    <row r="2111" customFormat="false" ht="13.8" hidden="false" customHeight="false" outlineLevel="0" collapsed="false"/>
    <row r="2112" customFormat="false" ht="13.8" hidden="false" customHeight="false" outlineLevel="0" collapsed="false"/>
    <row r="2113" customFormat="false" ht="13.8" hidden="false" customHeight="false" outlineLevel="0" collapsed="false"/>
    <row r="2114" customFormat="false" ht="13.8" hidden="false" customHeight="false" outlineLevel="0" collapsed="false"/>
    <row r="2115" customFormat="false" ht="13.8" hidden="false" customHeight="false" outlineLevel="0" collapsed="false"/>
    <row r="2116" customFormat="false" ht="13.8" hidden="false" customHeight="false" outlineLevel="0" collapsed="false"/>
    <row r="2117" customFormat="false" ht="13.8" hidden="false" customHeight="false" outlineLevel="0" collapsed="false"/>
    <row r="2118" customFormat="false" ht="13.8" hidden="false" customHeight="false" outlineLevel="0" collapsed="false"/>
    <row r="2119" customFormat="false" ht="13.8" hidden="false" customHeight="false" outlineLevel="0" collapsed="false"/>
    <row r="2120" customFormat="false" ht="13.8" hidden="false" customHeight="false" outlineLevel="0" collapsed="false"/>
    <row r="2121" customFormat="false" ht="13.8" hidden="false" customHeight="false" outlineLevel="0" collapsed="false"/>
    <row r="2122" customFormat="false" ht="13.8" hidden="false" customHeight="false" outlineLevel="0" collapsed="false"/>
    <row r="2123" customFormat="false" ht="13.8" hidden="false" customHeight="false" outlineLevel="0" collapsed="false"/>
    <row r="2124" customFormat="false" ht="13.8" hidden="false" customHeight="false" outlineLevel="0" collapsed="false"/>
    <row r="2125" customFormat="false" ht="13.8" hidden="false" customHeight="false" outlineLevel="0" collapsed="false"/>
    <row r="2126" customFormat="false" ht="13.8" hidden="false" customHeight="false" outlineLevel="0" collapsed="false"/>
    <row r="2127" customFormat="false" ht="13.8" hidden="false" customHeight="false" outlineLevel="0" collapsed="false"/>
    <row r="2128" customFormat="false" ht="13.8" hidden="false" customHeight="false" outlineLevel="0" collapsed="false"/>
    <row r="2129" customFormat="false" ht="13.8" hidden="false" customHeight="false" outlineLevel="0" collapsed="false"/>
    <row r="2130" customFormat="false" ht="13.8" hidden="false" customHeight="false" outlineLevel="0" collapsed="false"/>
    <row r="2131" customFormat="false" ht="13.8" hidden="false" customHeight="false" outlineLevel="0" collapsed="false"/>
    <row r="2132" customFormat="false" ht="13.8" hidden="false" customHeight="false" outlineLevel="0" collapsed="false"/>
    <row r="2133" customFormat="false" ht="13.8" hidden="false" customHeight="false" outlineLevel="0" collapsed="false"/>
    <row r="2134" customFormat="false" ht="13.8" hidden="false" customHeight="false" outlineLevel="0" collapsed="false"/>
    <row r="2135" customFormat="false" ht="13.8" hidden="false" customHeight="false" outlineLevel="0" collapsed="false"/>
    <row r="2136" customFormat="false" ht="13.8" hidden="false" customHeight="false" outlineLevel="0" collapsed="false"/>
    <row r="2137" customFormat="false" ht="13.8" hidden="false" customHeight="false" outlineLevel="0" collapsed="false"/>
    <row r="2138" customFormat="false" ht="13.8" hidden="false" customHeight="false" outlineLevel="0" collapsed="false"/>
    <row r="2139" customFormat="false" ht="13.8" hidden="false" customHeight="false" outlineLevel="0" collapsed="false"/>
    <row r="2140" customFormat="false" ht="13.8" hidden="false" customHeight="false" outlineLevel="0" collapsed="false"/>
    <row r="2141" customFormat="false" ht="13.8" hidden="false" customHeight="false" outlineLevel="0" collapsed="false"/>
    <row r="2142" customFormat="false" ht="13.8" hidden="false" customHeight="false" outlineLevel="0" collapsed="false"/>
    <row r="2143" customFormat="false" ht="13.8" hidden="false" customHeight="false" outlineLevel="0" collapsed="false"/>
    <row r="2144" customFormat="false" ht="13.8" hidden="false" customHeight="false" outlineLevel="0" collapsed="false"/>
    <row r="2145" customFormat="false" ht="13.8" hidden="false" customHeight="false" outlineLevel="0" collapsed="false"/>
    <row r="2146" customFormat="false" ht="13.8" hidden="false" customHeight="false" outlineLevel="0" collapsed="false"/>
    <row r="2147" customFormat="false" ht="13.8" hidden="false" customHeight="false" outlineLevel="0" collapsed="false"/>
    <row r="2148" customFormat="false" ht="13.8" hidden="false" customHeight="false" outlineLevel="0" collapsed="false"/>
    <row r="2149" customFormat="false" ht="13.8" hidden="false" customHeight="false" outlineLevel="0" collapsed="false"/>
    <row r="2150" customFormat="false" ht="13.8" hidden="false" customHeight="false" outlineLevel="0" collapsed="false"/>
    <row r="2151" customFormat="false" ht="13.8" hidden="false" customHeight="false" outlineLevel="0" collapsed="false"/>
    <row r="2152" customFormat="false" ht="13.8" hidden="false" customHeight="false" outlineLevel="0" collapsed="false"/>
    <row r="2153" customFormat="false" ht="13.8" hidden="false" customHeight="false" outlineLevel="0" collapsed="false"/>
    <row r="2154" customFormat="false" ht="13.8" hidden="false" customHeight="false" outlineLevel="0" collapsed="false"/>
    <row r="2155" customFormat="false" ht="13.8" hidden="false" customHeight="false" outlineLevel="0" collapsed="false"/>
    <row r="2156" customFormat="false" ht="13.8" hidden="false" customHeight="false" outlineLevel="0" collapsed="false"/>
    <row r="2157" customFormat="false" ht="13.8" hidden="false" customHeight="false" outlineLevel="0" collapsed="false"/>
    <row r="2158" customFormat="false" ht="13.8" hidden="false" customHeight="false" outlineLevel="0" collapsed="false"/>
    <row r="2159" customFormat="false" ht="13.8" hidden="false" customHeight="false" outlineLevel="0" collapsed="false"/>
    <row r="2160" customFormat="false" ht="13.8" hidden="false" customHeight="false" outlineLevel="0" collapsed="false"/>
    <row r="2161" customFormat="false" ht="13.8" hidden="false" customHeight="false" outlineLevel="0" collapsed="false"/>
    <row r="2162" customFormat="false" ht="13.8" hidden="false" customHeight="false" outlineLevel="0" collapsed="false"/>
    <row r="2163" customFormat="false" ht="13.8" hidden="false" customHeight="false" outlineLevel="0" collapsed="false"/>
    <row r="2164" customFormat="false" ht="13.8" hidden="false" customHeight="false" outlineLevel="0" collapsed="false"/>
    <row r="2165" customFormat="false" ht="13.8" hidden="false" customHeight="false" outlineLevel="0" collapsed="false"/>
    <row r="2166" customFormat="false" ht="13.8" hidden="false" customHeight="false" outlineLevel="0" collapsed="false"/>
    <row r="2167" customFormat="false" ht="13.8" hidden="false" customHeight="false" outlineLevel="0" collapsed="false"/>
    <row r="2168" customFormat="false" ht="13.8" hidden="false" customHeight="false" outlineLevel="0" collapsed="false"/>
    <row r="2169" customFormat="false" ht="13.8" hidden="false" customHeight="false" outlineLevel="0" collapsed="false"/>
    <row r="2170" customFormat="false" ht="13.8" hidden="false" customHeight="false" outlineLevel="0" collapsed="false"/>
    <row r="2171" customFormat="false" ht="13.8" hidden="false" customHeight="false" outlineLevel="0" collapsed="false"/>
    <row r="2172" customFormat="false" ht="13.8" hidden="false" customHeight="false" outlineLevel="0" collapsed="false"/>
    <row r="2173" customFormat="false" ht="13.8" hidden="false" customHeight="false" outlineLevel="0" collapsed="false"/>
    <row r="2174" customFormat="false" ht="13.8" hidden="false" customHeight="false" outlineLevel="0" collapsed="false"/>
    <row r="2175" customFormat="false" ht="13.8" hidden="false" customHeight="false" outlineLevel="0" collapsed="false"/>
    <row r="2176" customFormat="false" ht="13.8" hidden="false" customHeight="false" outlineLevel="0" collapsed="false"/>
    <row r="2177" customFormat="false" ht="13.8" hidden="false" customHeight="false" outlineLevel="0" collapsed="false"/>
    <row r="2178" customFormat="false" ht="13.8" hidden="false" customHeight="false" outlineLevel="0" collapsed="false"/>
    <row r="2179" customFormat="false" ht="13.8" hidden="false" customHeight="false" outlineLevel="0" collapsed="false"/>
    <row r="2180" customFormat="false" ht="13.8" hidden="false" customHeight="false" outlineLevel="0" collapsed="false"/>
    <row r="2181" customFormat="false" ht="13.8" hidden="false" customHeight="false" outlineLevel="0" collapsed="false"/>
    <row r="2182" customFormat="false" ht="13.8" hidden="false" customHeight="false" outlineLevel="0" collapsed="false"/>
    <row r="2183" customFormat="false" ht="13.8" hidden="false" customHeight="false" outlineLevel="0" collapsed="false"/>
    <row r="2184" customFormat="false" ht="13.8" hidden="false" customHeight="false" outlineLevel="0" collapsed="false"/>
    <row r="2185" customFormat="false" ht="13.8" hidden="false" customHeight="false" outlineLevel="0" collapsed="false"/>
    <row r="2186" customFormat="false" ht="13.8" hidden="false" customHeight="false" outlineLevel="0" collapsed="false"/>
    <row r="2187" customFormat="false" ht="13.8" hidden="false" customHeight="false" outlineLevel="0" collapsed="false"/>
    <row r="2188" customFormat="false" ht="13.8" hidden="false" customHeight="false" outlineLevel="0" collapsed="false"/>
    <row r="2189" customFormat="false" ht="13.8" hidden="false" customHeight="false" outlineLevel="0" collapsed="false"/>
    <row r="2190" customFormat="false" ht="13.8" hidden="false" customHeight="false" outlineLevel="0" collapsed="false"/>
    <row r="2191" customFormat="false" ht="13.8" hidden="false" customHeight="false" outlineLevel="0" collapsed="false"/>
    <row r="2192" customFormat="false" ht="13.8" hidden="false" customHeight="false" outlineLevel="0" collapsed="false"/>
    <row r="2193" customFormat="false" ht="13.8" hidden="false" customHeight="false" outlineLevel="0" collapsed="false"/>
    <row r="2194" customFormat="false" ht="13.8" hidden="false" customHeight="false" outlineLevel="0" collapsed="false"/>
    <row r="2195" customFormat="false" ht="13.8" hidden="false" customHeight="false" outlineLevel="0" collapsed="false"/>
    <row r="2196" customFormat="false" ht="13.8" hidden="false" customHeight="false" outlineLevel="0" collapsed="false"/>
    <row r="2197" customFormat="false" ht="13.8" hidden="false" customHeight="false" outlineLevel="0" collapsed="false"/>
    <row r="2198" customFormat="false" ht="13.8" hidden="false" customHeight="false" outlineLevel="0" collapsed="false"/>
    <row r="2199" customFormat="false" ht="13.8" hidden="false" customHeight="false" outlineLevel="0" collapsed="false"/>
    <row r="2200" customFormat="false" ht="13.8" hidden="false" customHeight="false" outlineLevel="0" collapsed="false"/>
    <row r="2201" customFormat="false" ht="13.8" hidden="false" customHeight="false" outlineLevel="0" collapsed="false"/>
    <row r="2202" customFormat="false" ht="13.8" hidden="false" customHeight="false" outlineLevel="0" collapsed="false"/>
    <row r="2203" customFormat="false" ht="13.8" hidden="false" customHeight="false" outlineLevel="0" collapsed="false"/>
    <row r="2204" customFormat="false" ht="13.8" hidden="false" customHeight="false" outlineLevel="0" collapsed="false"/>
    <row r="2205" customFormat="false" ht="13.8" hidden="false" customHeight="false" outlineLevel="0" collapsed="false"/>
    <row r="2206" customFormat="false" ht="13.8" hidden="false" customHeight="false" outlineLevel="0" collapsed="false"/>
    <row r="2207" customFormat="false" ht="13.8" hidden="false" customHeight="false" outlineLevel="0" collapsed="false"/>
    <row r="2208" customFormat="false" ht="13.8" hidden="false" customHeight="false" outlineLevel="0" collapsed="false"/>
    <row r="2209" customFormat="false" ht="13.8" hidden="false" customHeight="false" outlineLevel="0" collapsed="false"/>
    <row r="2210" customFormat="false" ht="13.8" hidden="false" customHeight="false" outlineLevel="0" collapsed="false"/>
    <row r="2211" customFormat="false" ht="13.8" hidden="false" customHeight="false" outlineLevel="0" collapsed="false"/>
    <row r="2212" customFormat="false" ht="13.8" hidden="false" customHeight="false" outlineLevel="0" collapsed="false"/>
    <row r="2213" customFormat="false" ht="13.8" hidden="false" customHeight="false" outlineLevel="0" collapsed="false"/>
    <row r="2214" customFormat="false" ht="13.8" hidden="false" customHeight="false" outlineLevel="0" collapsed="false"/>
    <row r="2215" customFormat="false" ht="13.8" hidden="false" customHeight="false" outlineLevel="0" collapsed="false"/>
    <row r="2216" customFormat="false" ht="13.8" hidden="false" customHeight="false" outlineLevel="0" collapsed="false"/>
    <row r="2217" customFormat="false" ht="13.8" hidden="false" customHeight="false" outlineLevel="0" collapsed="false"/>
    <row r="2218" customFormat="false" ht="13.8" hidden="false" customHeight="false" outlineLevel="0" collapsed="false"/>
    <row r="2219" customFormat="false" ht="13.8" hidden="false" customHeight="false" outlineLevel="0" collapsed="false"/>
    <row r="2220" customFormat="false" ht="13.8" hidden="false" customHeight="false" outlineLevel="0" collapsed="false"/>
    <row r="2221" customFormat="false" ht="13.8" hidden="false" customHeight="false" outlineLevel="0" collapsed="false"/>
    <row r="2222" customFormat="false" ht="13.8" hidden="false" customHeight="false" outlineLevel="0" collapsed="false"/>
    <row r="2223" customFormat="false" ht="13.8" hidden="false" customHeight="false" outlineLevel="0" collapsed="false"/>
    <row r="2224" customFormat="false" ht="13.8" hidden="false" customHeight="false" outlineLevel="0" collapsed="false"/>
    <row r="2225" customFormat="false" ht="13.8" hidden="false" customHeight="false" outlineLevel="0" collapsed="false"/>
    <row r="2226" customFormat="false" ht="13.8" hidden="false" customHeight="false" outlineLevel="0" collapsed="false"/>
    <row r="2227" customFormat="false" ht="13.8" hidden="false" customHeight="false" outlineLevel="0" collapsed="false"/>
    <row r="2228" customFormat="false" ht="13.8" hidden="false" customHeight="false" outlineLevel="0" collapsed="false"/>
    <row r="2229" customFormat="false" ht="13.8" hidden="false" customHeight="false" outlineLevel="0" collapsed="false"/>
    <row r="2230" customFormat="false" ht="13.8" hidden="false" customHeight="false" outlineLevel="0" collapsed="false"/>
    <row r="2231" customFormat="false" ht="13.8" hidden="false" customHeight="false" outlineLevel="0" collapsed="false"/>
    <row r="2232" customFormat="false" ht="13.8" hidden="false" customHeight="false" outlineLevel="0" collapsed="false"/>
    <row r="2233" customFormat="false" ht="13.8" hidden="false" customHeight="false" outlineLevel="0" collapsed="false"/>
    <row r="2234" customFormat="false" ht="13.8" hidden="false" customHeight="false" outlineLevel="0" collapsed="false"/>
    <row r="2235" customFormat="false" ht="13.8" hidden="false" customHeight="false" outlineLevel="0" collapsed="false"/>
    <row r="2236" customFormat="false" ht="13.8" hidden="false" customHeight="false" outlineLevel="0" collapsed="false"/>
    <row r="2237" customFormat="false" ht="13.8" hidden="false" customHeight="false" outlineLevel="0" collapsed="false"/>
    <row r="2238" customFormat="false" ht="13.8" hidden="false" customHeight="false" outlineLevel="0" collapsed="false"/>
    <row r="2239" customFormat="false" ht="13.8" hidden="false" customHeight="false" outlineLevel="0" collapsed="false"/>
    <row r="2240" customFormat="false" ht="13.8" hidden="false" customHeight="false" outlineLevel="0" collapsed="false"/>
    <row r="2241" customFormat="false" ht="13.8" hidden="false" customHeight="false" outlineLevel="0" collapsed="false"/>
    <row r="2242" customFormat="false" ht="13.8" hidden="false" customHeight="false" outlineLevel="0" collapsed="false"/>
    <row r="2243" customFormat="false" ht="13.8" hidden="false" customHeight="false" outlineLevel="0" collapsed="false"/>
    <row r="2244" customFormat="false" ht="13.8" hidden="false" customHeight="false" outlineLevel="0" collapsed="false"/>
    <row r="2245" customFormat="false" ht="13.8" hidden="false" customHeight="false" outlineLevel="0" collapsed="false"/>
    <row r="2246" customFormat="false" ht="13.8" hidden="false" customHeight="false" outlineLevel="0" collapsed="false"/>
    <row r="2247" customFormat="false" ht="13.8" hidden="false" customHeight="false" outlineLevel="0" collapsed="false"/>
    <row r="2248" customFormat="false" ht="13.8" hidden="false" customHeight="false" outlineLevel="0" collapsed="false"/>
    <row r="2249" customFormat="false" ht="13.8" hidden="false" customHeight="false" outlineLevel="0" collapsed="false"/>
    <row r="2250" customFormat="false" ht="13.8" hidden="false" customHeight="false" outlineLevel="0" collapsed="false"/>
    <row r="2251" customFormat="false" ht="13.8" hidden="false" customHeight="false" outlineLevel="0" collapsed="false"/>
    <row r="2252" customFormat="false" ht="13.8" hidden="false" customHeight="false" outlineLevel="0" collapsed="false"/>
    <row r="2253" customFormat="false" ht="13.8" hidden="false" customHeight="false" outlineLevel="0" collapsed="false"/>
    <row r="2254" customFormat="false" ht="13.8" hidden="false" customHeight="false" outlineLevel="0" collapsed="false"/>
    <row r="2255" customFormat="false" ht="13.8" hidden="false" customHeight="false" outlineLevel="0" collapsed="false"/>
    <row r="2256" customFormat="false" ht="13.8" hidden="false" customHeight="false" outlineLevel="0" collapsed="false"/>
    <row r="2257" customFormat="false" ht="13.8" hidden="false" customHeight="false" outlineLevel="0" collapsed="false"/>
    <row r="2258" customFormat="false" ht="13.8" hidden="false" customHeight="false" outlineLevel="0" collapsed="false"/>
    <row r="2259" customFormat="false" ht="13.8" hidden="false" customHeight="false" outlineLevel="0" collapsed="false"/>
    <row r="2260" customFormat="false" ht="13.8" hidden="false" customHeight="false" outlineLevel="0" collapsed="false"/>
    <row r="2261" customFormat="false" ht="13.8" hidden="false" customHeight="false" outlineLevel="0" collapsed="false"/>
    <row r="2262" customFormat="false" ht="13.8" hidden="false" customHeight="false" outlineLevel="0" collapsed="false"/>
    <row r="2263" customFormat="false" ht="13.8" hidden="false" customHeight="false" outlineLevel="0" collapsed="false"/>
    <row r="2264" customFormat="false" ht="13.8" hidden="false" customHeight="false" outlineLevel="0" collapsed="false"/>
    <row r="2265" customFormat="false" ht="13.8" hidden="false" customHeight="false" outlineLevel="0" collapsed="false"/>
    <row r="2266" customFormat="false" ht="13.8" hidden="false" customHeight="false" outlineLevel="0" collapsed="false"/>
    <row r="2267" customFormat="false" ht="13.8" hidden="false" customHeight="false" outlineLevel="0" collapsed="false"/>
    <row r="2268" customFormat="false" ht="13.8" hidden="false" customHeight="false" outlineLevel="0" collapsed="false"/>
    <row r="2269" customFormat="false" ht="13.8" hidden="false" customHeight="false" outlineLevel="0" collapsed="false"/>
    <row r="2270" customFormat="false" ht="13.8" hidden="false" customHeight="false" outlineLevel="0" collapsed="false"/>
    <row r="2271" customFormat="false" ht="13.8" hidden="false" customHeight="false" outlineLevel="0" collapsed="false"/>
    <row r="2272" customFormat="false" ht="13.8" hidden="false" customHeight="false" outlineLevel="0" collapsed="false"/>
    <row r="2273" customFormat="false" ht="13.8" hidden="false" customHeight="false" outlineLevel="0" collapsed="false"/>
    <row r="2274" customFormat="false" ht="13.8" hidden="false" customHeight="false" outlineLevel="0" collapsed="false"/>
    <row r="2275" customFormat="false" ht="13.8" hidden="false" customHeight="false" outlineLevel="0" collapsed="false"/>
    <row r="2276" customFormat="false" ht="13.8" hidden="false" customHeight="false" outlineLevel="0" collapsed="false"/>
    <row r="2277" customFormat="false" ht="13.8" hidden="false" customHeight="false" outlineLevel="0" collapsed="false"/>
    <row r="2278" customFormat="false" ht="13.8" hidden="false" customHeight="false" outlineLevel="0" collapsed="false"/>
    <row r="2279" customFormat="false" ht="13.8" hidden="false" customHeight="false" outlineLevel="0" collapsed="false"/>
    <row r="2280" customFormat="false" ht="13.8" hidden="false" customHeight="false" outlineLevel="0" collapsed="false"/>
    <row r="2281" customFormat="false" ht="13.8" hidden="false" customHeight="false" outlineLevel="0" collapsed="false"/>
    <row r="2282" customFormat="false" ht="13.8" hidden="false" customHeight="false" outlineLevel="0" collapsed="false"/>
    <row r="2283" customFormat="false" ht="13.8" hidden="false" customHeight="false" outlineLevel="0" collapsed="false"/>
    <row r="2284" customFormat="false" ht="13.8" hidden="false" customHeight="false" outlineLevel="0" collapsed="false"/>
    <row r="2285" customFormat="false" ht="13.8" hidden="false" customHeight="false" outlineLevel="0" collapsed="false"/>
    <row r="2286" customFormat="false" ht="13.8" hidden="false" customHeight="false" outlineLevel="0" collapsed="false"/>
    <row r="2287" customFormat="false" ht="13.8" hidden="false" customHeight="false" outlineLevel="0" collapsed="false"/>
    <row r="2288" customFormat="false" ht="13.8" hidden="false" customHeight="false" outlineLevel="0" collapsed="false"/>
    <row r="2289" customFormat="false" ht="13.8" hidden="false" customHeight="false" outlineLevel="0" collapsed="false"/>
    <row r="2290" customFormat="false" ht="13.8" hidden="false" customHeight="false" outlineLevel="0" collapsed="false"/>
    <row r="2291" customFormat="false" ht="13.8" hidden="false" customHeight="false" outlineLevel="0" collapsed="false"/>
    <row r="2292" customFormat="false" ht="13.8" hidden="false" customHeight="false" outlineLevel="0" collapsed="false"/>
    <row r="2293" customFormat="false" ht="13.8" hidden="false" customHeight="false" outlineLevel="0" collapsed="false"/>
    <row r="2294" customFormat="false" ht="13.8" hidden="false" customHeight="false" outlineLevel="0" collapsed="false"/>
    <row r="2295" customFormat="false" ht="13.8" hidden="false" customHeight="false" outlineLevel="0" collapsed="false"/>
    <row r="2296" customFormat="false" ht="13.8" hidden="false" customHeight="false" outlineLevel="0" collapsed="false"/>
    <row r="2297" customFormat="false" ht="13.8" hidden="false" customHeight="false" outlineLevel="0" collapsed="false"/>
    <row r="2298" customFormat="false" ht="13.8" hidden="false" customHeight="false" outlineLevel="0" collapsed="false"/>
    <row r="2299" customFormat="false" ht="13.8" hidden="false" customHeight="false" outlineLevel="0" collapsed="false"/>
    <row r="2300" customFormat="false" ht="13.8" hidden="false" customHeight="false" outlineLevel="0" collapsed="false"/>
    <row r="2301" customFormat="false" ht="13.8" hidden="false" customHeight="false" outlineLevel="0" collapsed="false"/>
    <row r="2302" customFormat="false" ht="13.8" hidden="false" customHeight="false" outlineLevel="0" collapsed="false"/>
    <row r="2303" customFormat="false" ht="13.8" hidden="false" customHeight="false" outlineLevel="0" collapsed="false"/>
    <row r="2304" customFormat="false" ht="13.8" hidden="false" customHeight="false" outlineLevel="0" collapsed="false"/>
    <row r="2305" customFormat="false" ht="13.8" hidden="false" customHeight="false" outlineLevel="0" collapsed="false"/>
    <row r="2306" customFormat="false" ht="13.8" hidden="false" customHeight="false" outlineLevel="0" collapsed="false"/>
    <row r="2307" customFormat="false" ht="13.8" hidden="false" customHeight="false" outlineLevel="0" collapsed="false"/>
    <row r="2308" customFormat="false" ht="13.8" hidden="false" customHeight="false" outlineLevel="0" collapsed="false"/>
    <row r="2309" customFormat="false" ht="13.8" hidden="false" customHeight="false" outlineLevel="0" collapsed="false"/>
    <row r="2310" customFormat="false" ht="13.8" hidden="false" customHeight="false" outlineLevel="0" collapsed="false"/>
    <row r="2311" customFormat="false" ht="13.8" hidden="false" customHeight="false" outlineLevel="0" collapsed="false"/>
    <row r="2312" customFormat="false" ht="13.8" hidden="false" customHeight="false" outlineLevel="0" collapsed="false"/>
    <row r="2313" customFormat="false" ht="13.8" hidden="false" customHeight="false" outlineLevel="0" collapsed="false"/>
    <row r="2314" customFormat="false" ht="13.8" hidden="false" customHeight="false" outlineLevel="0" collapsed="false"/>
    <row r="2315" customFormat="false" ht="13.8" hidden="false" customHeight="false" outlineLevel="0" collapsed="false"/>
    <row r="2316" customFormat="false" ht="13.8" hidden="false" customHeight="false" outlineLevel="0" collapsed="false"/>
    <row r="2317" customFormat="false" ht="13.8" hidden="false" customHeight="false" outlineLevel="0" collapsed="false"/>
    <row r="2318" customFormat="false" ht="13.8" hidden="false" customHeight="false" outlineLevel="0" collapsed="false"/>
    <row r="2319" customFormat="false" ht="13.8" hidden="false" customHeight="false" outlineLevel="0" collapsed="false"/>
    <row r="2320" customFormat="false" ht="13.8" hidden="false" customHeight="false" outlineLevel="0" collapsed="false"/>
    <row r="2321" customFormat="false" ht="13.8" hidden="false" customHeight="false" outlineLevel="0" collapsed="false"/>
    <row r="2322" customFormat="false" ht="13.8" hidden="false" customHeight="false" outlineLevel="0" collapsed="false"/>
    <row r="2323" customFormat="false" ht="13.8" hidden="false" customHeight="false" outlineLevel="0" collapsed="false"/>
    <row r="2324" customFormat="false" ht="13.8" hidden="false" customHeight="false" outlineLevel="0" collapsed="false"/>
    <row r="2325" customFormat="false" ht="13.8" hidden="false" customHeight="false" outlineLevel="0" collapsed="false"/>
    <row r="2326" customFormat="false" ht="13.8" hidden="false" customHeight="false" outlineLevel="0" collapsed="false"/>
    <row r="2327" customFormat="false" ht="13.8" hidden="false" customHeight="false" outlineLevel="0" collapsed="false"/>
    <row r="2328" customFormat="false" ht="13.8" hidden="false" customHeight="false" outlineLevel="0" collapsed="false"/>
    <row r="2329" customFormat="false" ht="13.8" hidden="false" customHeight="false" outlineLevel="0" collapsed="false"/>
    <row r="2330" customFormat="false" ht="13.8" hidden="false" customHeight="false" outlineLevel="0" collapsed="false"/>
    <row r="2331" customFormat="false" ht="13.8" hidden="false" customHeight="false" outlineLevel="0" collapsed="false"/>
    <row r="2332" customFormat="false" ht="13.8" hidden="false" customHeight="false" outlineLevel="0" collapsed="false"/>
    <row r="2333" customFormat="false" ht="13.8" hidden="false" customHeight="false" outlineLevel="0" collapsed="false"/>
    <row r="2334" customFormat="false" ht="13.8" hidden="false" customHeight="false" outlineLevel="0" collapsed="false"/>
    <row r="2335" customFormat="false" ht="13.8" hidden="false" customHeight="false" outlineLevel="0" collapsed="false"/>
    <row r="2336" customFormat="false" ht="13.8" hidden="false" customHeight="false" outlineLevel="0" collapsed="false"/>
    <row r="2337" customFormat="false" ht="13.8" hidden="false" customHeight="false" outlineLevel="0" collapsed="false"/>
    <row r="2338" customFormat="false" ht="13.8" hidden="false" customHeight="false" outlineLevel="0" collapsed="false"/>
    <row r="2339" customFormat="false" ht="13.8" hidden="false" customHeight="false" outlineLevel="0" collapsed="false"/>
    <row r="2340" customFormat="false" ht="13.8" hidden="false" customHeight="false" outlineLevel="0" collapsed="false"/>
    <row r="2341" customFormat="false" ht="13.8" hidden="false" customHeight="false" outlineLevel="0" collapsed="false"/>
    <row r="2342" customFormat="false" ht="13.8" hidden="false" customHeight="false" outlineLevel="0" collapsed="false"/>
    <row r="2343" customFormat="false" ht="13.8" hidden="false" customHeight="false" outlineLevel="0" collapsed="false"/>
    <row r="2344" customFormat="false" ht="13.8" hidden="false" customHeight="false" outlineLevel="0" collapsed="false"/>
    <row r="2345" customFormat="false" ht="13.8" hidden="false" customHeight="false" outlineLevel="0" collapsed="false"/>
    <row r="2346" customFormat="false" ht="13.8" hidden="false" customHeight="false" outlineLevel="0" collapsed="false"/>
    <row r="2347" customFormat="false" ht="13.8" hidden="false" customHeight="false" outlineLevel="0" collapsed="false"/>
    <row r="2348" customFormat="false" ht="13.8" hidden="false" customHeight="false" outlineLevel="0" collapsed="false"/>
    <row r="2349" customFormat="false" ht="13.8" hidden="false" customHeight="false" outlineLevel="0" collapsed="false"/>
    <row r="2350" customFormat="false" ht="13.8" hidden="false" customHeight="false" outlineLevel="0" collapsed="false"/>
    <row r="2351" customFormat="false" ht="13.8" hidden="false" customHeight="false" outlineLevel="0" collapsed="false"/>
    <row r="2352" customFormat="false" ht="13.8" hidden="false" customHeight="false" outlineLevel="0" collapsed="false"/>
    <row r="2353" customFormat="false" ht="13.8" hidden="false" customHeight="false" outlineLevel="0" collapsed="false"/>
    <row r="2354" customFormat="false" ht="13.8" hidden="false" customHeight="false" outlineLevel="0" collapsed="false"/>
    <row r="2355" customFormat="false" ht="13.8" hidden="false" customHeight="false" outlineLevel="0" collapsed="false"/>
    <row r="2356" customFormat="false" ht="13.8" hidden="false" customHeight="false" outlineLevel="0" collapsed="false"/>
    <row r="2357" customFormat="false" ht="13.8" hidden="false" customHeight="false" outlineLevel="0" collapsed="false"/>
    <row r="2358" customFormat="false" ht="13.8" hidden="false" customHeight="false" outlineLevel="0" collapsed="false"/>
    <row r="2359" customFormat="false" ht="13.8" hidden="false" customHeight="false" outlineLevel="0" collapsed="false"/>
    <row r="2360" customFormat="false" ht="13.8" hidden="false" customHeight="false" outlineLevel="0" collapsed="false"/>
    <row r="2361" customFormat="false" ht="13.8" hidden="false" customHeight="false" outlineLevel="0" collapsed="false"/>
    <row r="2362" customFormat="false" ht="13.8" hidden="false" customHeight="false" outlineLevel="0" collapsed="false"/>
    <row r="2363" customFormat="false" ht="13.8" hidden="false" customHeight="false" outlineLevel="0" collapsed="false"/>
    <row r="2364" customFormat="false" ht="13.8" hidden="false" customHeight="false" outlineLevel="0" collapsed="false"/>
    <row r="2365" customFormat="false" ht="13.8" hidden="false" customHeight="false" outlineLevel="0" collapsed="false"/>
    <row r="2366" customFormat="false" ht="13.8" hidden="false" customHeight="false" outlineLevel="0" collapsed="false"/>
    <row r="2367" customFormat="false" ht="13.8" hidden="false" customHeight="false" outlineLevel="0" collapsed="false"/>
    <row r="2368" customFormat="false" ht="13.8" hidden="false" customHeight="false" outlineLevel="0" collapsed="false"/>
    <row r="2369" customFormat="false" ht="13.8" hidden="false" customHeight="false" outlineLevel="0" collapsed="false"/>
    <row r="2370" customFormat="false" ht="13.8" hidden="false" customHeight="false" outlineLevel="0" collapsed="false"/>
    <row r="2371" customFormat="false" ht="13.8" hidden="false" customHeight="false" outlineLevel="0" collapsed="false"/>
    <row r="2372" customFormat="false" ht="13.8" hidden="false" customHeight="false" outlineLevel="0" collapsed="false"/>
    <row r="2373" customFormat="false" ht="13.8" hidden="false" customHeight="false" outlineLevel="0" collapsed="false"/>
    <row r="2374" customFormat="false" ht="13.8" hidden="false" customHeight="false" outlineLevel="0" collapsed="false"/>
    <row r="2375" customFormat="false" ht="13.8" hidden="false" customHeight="false" outlineLevel="0" collapsed="false"/>
    <row r="2376" customFormat="false" ht="13.8" hidden="false" customHeight="false" outlineLevel="0" collapsed="false"/>
    <row r="2377" customFormat="false" ht="13.8" hidden="false" customHeight="false" outlineLevel="0" collapsed="false"/>
    <row r="2378" customFormat="false" ht="13.8" hidden="false" customHeight="false" outlineLevel="0" collapsed="false"/>
    <row r="2379" customFormat="false" ht="13.8" hidden="false" customHeight="false" outlineLevel="0" collapsed="false"/>
    <row r="2380" customFormat="false" ht="13.8" hidden="false" customHeight="false" outlineLevel="0" collapsed="false"/>
    <row r="2381" customFormat="false" ht="13.8" hidden="false" customHeight="false" outlineLevel="0" collapsed="false"/>
    <row r="2382" customFormat="false" ht="13.8" hidden="false" customHeight="false" outlineLevel="0" collapsed="false"/>
    <row r="2383" customFormat="false" ht="13.8" hidden="false" customHeight="false" outlineLevel="0" collapsed="false"/>
    <row r="2384" customFormat="false" ht="13.8" hidden="false" customHeight="false" outlineLevel="0" collapsed="false"/>
    <row r="2385" customFormat="false" ht="13.8" hidden="false" customHeight="false" outlineLevel="0" collapsed="false"/>
    <row r="2386" customFormat="false" ht="13.8" hidden="false" customHeight="false" outlineLevel="0" collapsed="false"/>
    <row r="2387" customFormat="false" ht="13.8" hidden="false" customHeight="false" outlineLevel="0" collapsed="false"/>
    <row r="2388" customFormat="false" ht="13.8" hidden="false" customHeight="false" outlineLevel="0" collapsed="false"/>
    <row r="2389" customFormat="false" ht="13.8" hidden="false" customHeight="false" outlineLevel="0" collapsed="false"/>
    <row r="2390" customFormat="false" ht="13.8" hidden="false" customHeight="false" outlineLevel="0" collapsed="false"/>
    <row r="2391" customFormat="false" ht="13.8" hidden="false" customHeight="false" outlineLevel="0" collapsed="false"/>
    <row r="2392" customFormat="false" ht="13.8" hidden="false" customHeight="false" outlineLevel="0" collapsed="false"/>
    <row r="2393" customFormat="false" ht="13.8" hidden="false" customHeight="false" outlineLevel="0" collapsed="false"/>
    <row r="2394" customFormat="false" ht="13.8" hidden="false" customHeight="false" outlineLevel="0" collapsed="false"/>
    <row r="2395" customFormat="false" ht="13.8" hidden="false" customHeight="false" outlineLevel="0" collapsed="false"/>
    <row r="2396" customFormat="false" ht="13.8" hidden="false" customHeight="false" outlineLevel="0" collapsed="false"/>
    <row r="2397" customFormat="false" ht="13.8" hidden="false" customHeight="false" outlineLevel="0" collapsed="false"/>
    <row r="2398" customFormat="false" ht="13.8" hidden="false" customHeight="false" outlineLevel="0" collapsed="false"/>
    <row r="2399" customFormat="false" ht="13.8" hidden="false" customHeight="false" outlineLevel="0" collapsed="false"/>
    <row r="2400" customFormat="false" ht="13.8" hidden="false" customHeight="false" outlineLevel="0" collapsed="false"/>
    <row r="2401" customFormat="false" ht="13.8" hidden="false" customHeight="false" outlineLevel="0" collapsed="false"/>
    <row r="2402" customFormat="false" ht="13.8" hidden="false" customHeight="false" outlineLevel="0" collapsed="false"/>
    <row r="2403" customFormat="false" ht="13.8" hidden="false" customHeight="false" outlineLevel="0" collapsed="false"/>
    <row r="2404" customFormat="false" ht="13.8" hidden="false" customHeight="false" outlineLevel="0" collapsed="false"/>
    <row r="2405" customFormat="false" ht="13.8" hidden="false" customHeight="false" outlineLevel="0" collapsed="false"/>
    <row r="2406" customFormat="false" ht="13.8" hidden="false" customHeight="false" outlineLevel="0" collapsed="false"/>
    <row r="2407" customFormat="false" ht="13.8" hidden="false" customHeight="false" outlineLevel="0" collapsed="false"/>
    <row r="2408" customFormat="false" ht="13.8" hidden="false" customHeight="false" outlineLevel="0" collapsed="false"/>
    <row r="2409" customFormat="false" ht="13.8" hidden="false" customHeight="false" outlineLevel="0" collapsed="false"/>
    <row r="2410" customFormat="false" ht="13.8" hidden="false" customHeight="false" outlineLevel="0" collapsed="false"/>
    <row r="2411" customFormat="false" ht="13.8" hidden="false" customHeight="false" outlineLevel="0" collapsed="false"/>
    <row r="2412" customFormat="false" ht="13.8" hidden="false" customHeight="false" outlineLevel="0" collapsed="false"/>
    <row r="2413" customFormat="false" ht="13.8" hidden="false" customHeight="false" outlineLevel="0" collapsed="false"/>
    <row r="2414" customFormat="false" ht="13.8" hidden="false" customHeight="false" outlineLevel="0" collapsed="false"/>
    <row r="2415" customFormat="false" ht="13.8" hidden="false" customHeight="false" outlineLevel="0" collapsed="false"/>
    <row r="2416" customFormat="false" ht="13.8" hidden="false" customHeight="false" outlineLevel="0" collapsed="false"/>
    <row r="2417" customFormat="false" ht="13.8" hidden="false" customHeight="false" outlineLevel="0" collapsed="false"/>
    <row r="2418" customFormat="false" ht="13.8" hidden="false" customHeight="false" outlineLevel="0" collapsed="false"/>
    <row r="2419" customFormat="false" ht="13.8" hidden="false" customHeight="false" outlineLevel="0" collapsed="false"/>
    <row r="2420" customFormat="false" ht="13.8" hidden="false" customHeight="false" outlineLevel="0" collapsed="false"/>
    <row r="2421" customFormat="false" ht="13.8" hidden="false" customHeight="false" outlineLevel="0" collapsed="false"/>
    <row r="2422" customFormat="false" ht="13.8" hidden="false" customHeight="false" outlineLevel="0" collapsed="false"/>
    <row r="2423" customFormat="false" ht="13.8" hidden="false" customHeight="false" outlineLevel="0" collapsed="false"/>
    <row r="2424" customFormat="false" ht="13.8" hidden="false" customHeight="false" outlineLevel="0" collapsed="false"/>
    <row r="2425" customFormat="false" ht="13.8" hidden="false" customHeight="false" outlineLevel="0" collapsed="false"/>
    <row r="2426" customFormat="false" ht="13.8" hidden="false" customHeight="false" outlineLevel="0" collapsed="false"/>
    <row r="2427" customFormat="false" ht="13.8" hidden="false" customHeight="false" outlineLevel="0" collapsed="false"/>
    <row r="2428" customFormat="false" ht="13.8" hidden="false" customHeight="false" outlineLevel="0" collapsed="false"/>
    <row r="2429" customFormat="false" ht="13.8" hidden="false" customHeight="false" outlineLevel="0" collapsed="false"/>
    <row r="2430" customFormat="false" ht="13.8" hidden="false" customHeight="false" outlineLevel="0" collapsed="false"/>
    <row r="2431" customFormat="false" ht="13.8" hidden="false" customHeight="false" outlineLevel="0" collapsed="false"/>
    <row r="2432" customFormat="false" ht="13.8" hidden="false" customHeight="false" outlineLevel="0" collapsed="false"/>
    <row r="2433" customFormat="false" ht="13.8" hidden="false" customHeight="false" outlineLevel="0" collapsed="false"/>
    <row r="2434" customFormat="false" ht="13.8" hidden="false" customHeight="false" outlineLevel="0" collapsed="false"/>
    <row r="2435" customFormat="false" ht="13.8" hidden="false" customHeight="false" outlineLevel="0" collapsed="false"/>
    <row r="2436" customFormat="false" ht="13.8" hidden="false" customHeight="false" outlineLevel="0" collapsed="false"/>
    <row r="2437" customFormat="false" ht="13.8" hidden="false" customHeight="false" outlineLevel="0" collapsed="false"/>
    <row r="2438" customFormat="false" ht="13.8" hidden="false" customHeight="false" outlineLevel="0" collapsed="false"/>
    <row r="2439" customFormat="false" ht="13.8" hidden="false" customHeight="false" outlineLevel="0" collapsed="false"/>
    <row r="2440" customFormat="false" ht="13.8" hidden="false" customHeight="false" outlineLevel="0" collapsed="false"/>
    <row r="2441" customFormat="false" ht="13.8" hidden="false" customHeight="false" outlineLevel="0" collapsed="false"/>
    <row r="2442" customFormat="false" ht="13.8" hidden="false" customHeight="false" outlineLevel="0" collapsed="false"/>
    <row r="2443" customFormat="false" ht="13.8" hidden="false" customHeight="false" outlineLevel="0" collapsed="false"/>
    <row r="2444" customFormat="false" ht="13.8" hidden="false" customHeight="false" outlineLevel="0" collapsed="false"/>
    <row r="2445" customFormat="false" ht="13.8" hidden="false" customHeight="false" outlineLevel="0" collapsed="false"/>
    <row r="2446" customFormat="false" ht="13.8" hidden="false" customHeight="false" outlineLevel="0" collapsed="false"/>
    <row r="2447" customFormat="false" ht="13.8" hidden="false" customHeight="false" outlineLevel="0" collapsed="false"/>
    <row r="2448" customFormat="false" ht="13.8" hidden="false" customHeight="false" outlineLevel="0" collapsed="false"/>
    <row r="2449" customFormat="false" ht="13.8" hidden="false" customHeight="false" outlineLevel="0" collapsed="false"/>
    <row r="2450" customFormat="false" ht="13.8" hidden="false" customHeight="false" outlineLevel="0" collapsed="false"/>
    <row r="2451" customFormat="false" ht="13.8" hidden="false" customHeight="false" outlineLevel="0" collapsed="false"/>
    <row r="2452" customFormat="false" ht="13.8" hidden="false" customHeight="false" outlineLevel="0" collapsed="false"/>
    <row r="2453" customFormat="false" ht="13.8" hidden="false" customHeight="false" outlineLevel="0" collapsed="false"/>
    <row r="2454" customFormat="false" ht="13.8" hidden="false" customHeight="false" outlineLevel="0" collapsed="false"/>
    <row r="2455" customFormat="false" ht="13.8" hidden="false" customHeight="false" outlineLevel="0" collapsed="false"/>
    <row r="2456" customFormat="false" ht="13.8" hidden="false" customHeight="false" outlineLevel="0" collapsed="false"/>
    <row r="2457" customFormat="false" ht="13.8" hidden="false" customHeight="false" outlineLevel="0" collapsed="false"/>
    <row r="2458" customFormat="false" ht="13.8" hidden="false" customHeight="false" outlineLevel="0" collapsed="false"/>
    <row r="2459" customFormat="false" ht="13.8" hidden="false" customHeight="false" outlineLevel="0" collapsed="false"/>
    <row r="2460" customFormat="false" ht="13.8" hidden="false" customHeight="false" outlineLevel="0" collapsed="false"/>
    <row r="2461" customFormat="false" ht="13.8" hidden="false" customHeight="false" outlineLevel="0" collapsed="false"/>
    <row r="2462" customFormat="false" ht="13.8" hidden="false" customHeight="false" outlineLevel="0" collapsed="false"/>
    <row r="2463" customFormat="false" ht="13.8" hidden="false" customHeight="false" outlineLevel="0" collapsed="false"/>
    <row r="2464" customFormat="false" ht="13.8" hidden="false" customHeight="false" outlineLevel="0" collapsed="false"/>
    <row r="2465" customFormat="false" ht="13.8" hidden="false" customHeight="false" outlineLevel="0" collapsed="false"/>
    <row r="2466" customFormat="false" ht="13.8" hidden="false" customHeight="false" outlineLevel="0" collapsed="false"/>
    <row r="2467" customFormat="false" ht="13.8" hidden="false" customHeight="false" outlineLevel="0" collapsed="false"/>
    <row r="2468" customFormat="false" ht="13.8" hidden="false" customHeight="false" outlineLevel="0" collapsed="false"/>
    <row r="2469" customFormat="false" ht="13.8" hidden="false" customHeight="false" outlineLevel="0" collapsed="false"/>
    <row r="2470" customFormat="false" ht="13.8" hidden="false" customHeight="false" outlineLevel="0" collapsed="false"/>
    <row r="2471" customFormat="false" ht="13.8" hidden="false" customHeight="false" outlineLevel="0" collapsed="false"/>
    <row r="2472" customFormat="false" ht="13.8" hidden="false" customHeight="false" outlineLevel="0" collapsed="false"/>
    <row r="2473" customFormat="false" ht="13.8" hidden="false" customHeight="false" outlineLevel="0" collapsed="false"/>
    <row r="2474" customFormat="false" ht="13.8" hidden="false" customHeight="false" outlineLevel="0" collapsed="false"/>
    <row r="2475" customFormat="false" ht="13.8" hidden="false" customHeight="false" outlineLevel="0" collapsed="false"/>
    <row r="2476" customFormat="false" ht="13.8" hidden="false" customHeight="false" outlineLevel="0" collapsed="false"/>
    <row r="2477" customFormat="false" ht="13.8" hidden="false" customHeight="false" outlineLevel="0" collapsed="false"/>
    <row r="2478" customFormat="false" ht="13.8" hidden="false" customHeight="false" outlineLevel="0" collapsed="false"/>
    <row r="2479" customFormat="false" ht="13.8" hidden="false" customHeight="false" outlineLevel="0" collapsed="false"/>
    <row r="2480" customFormat="false" ht="13.8" hidden="false" customHeight="false" outlineLevel="0" collapsed="false"/>
    <row r="2481" customFormat="false" ht="13.8" hidden="false" customHeight="false" outlineLevel="0" collapsed="false"/>
    <row r="2482" customFormat="false" ht="13.8" hidden="false" customHeight="false" outlineLevel="0" collapsed="false"/>
    <row r="2483" customFormat="false" ht="13.8" hidden="false" customHeight="false" outlineLevel="0" collapsed="false"/>
    <row r="2484" customFormat="false" ht="13.8" hidden="false" customHeight="false" outlineLevel="0" collapsed="false"/>
    <row r="2485" customFormat="false" ht="13.8" hidden="false" customHeight="false" outlineLevel="0" collapsed="false"/>
    <row r="2486" customFormat="false" ht="13.8" hidden="false" customHeight="false" outlineLevel="0" collapsed="false"/>
    <row r="2487" customFormat="false" ht="13.8" hidden="false" customHeight="false" outlineLevel="0" collapsed="false"/>
    <row r="2488" customFormat="false" ht="13.8" hidden="false" customHeight="false" outlineLevel="0" collapsed="false"/>
    <row r="2489" customFormat="false" ht="13.8" hidden="false" customHeight="false" outlineLevel="0" collapsed="false"/>
    <row r="2490" customFormat="false" ht="13.8" hidden="false" customHeight="false" outlineLevel="0" collapsed="false"/>
    <row r="2491" customFormat="false" ht="13.8" hidden="false" customHeight="false" outlineLevel="0" collapsed="false"/>
    <row r="2492" customFormat="false" ht="13.8" hidden="false" customHeight="false" outlineLevel="0" collapsed="false"/>
    <row r="2493" customFormat="false" ht="13.8" hidden="false" customHeight="false" outlineLevel="0" collapsed="false"/>
    <row r="2494" customFormat="false" ht="13.8" hidden="false" customHeight="false" outlineLevel="0" collapsed="false"/>
    <row r="2495" customFormat="false" ht="13.8" hidden="false" customHeight="false" outlineLevel="0" collapsed="false"/>
    <row r="2496" customFormat="false" ht="13.8" hidden="false" customHeight="false" outlineLevel="0" collapsed="false"/>
    <row r="2497" customFormat="false" ht="13.8" hidden="false" customHeight="false" outlineLevel="0" collapsed="false"/>
    <row r="2498" customFormat="false" ht="13.8" hidden="false" customHeight="false" outlineLevel="0" collapsed="false"/>
    <row r="2499" customFormat="false" ht="13.8" hidden="false" customHeight="false" outlineLevel="0" collapsed="false"/>
    <row r="2500" customFormat="false" ht="13.8" hidden="false" customHeight="false" outlineLevel="0" collapsed="false"/>
    <row r="2501" customFormat="false" ht="13.8" hidden="false" customHeight="false" outlineLevel="0" collapsed="false"/>
    <row r="2502" customFormat="false" ht="13.8" hidden="false" customHeight="false" outlineLevel="0" collapsed="false"/>
    <row r="2503" customFormat="false" ht="13.8" hidden="false" customHeight="false" outlineLevel="0" collapsed="false"/>
    <row r="2504" customFormat="false" ht="13.8" hidden="false" customHeight="false" outlineLevel="0" collapsed="false"/>
    <row r="2505" customFormat="false" ht="13.8" hidden="false" customHeight="false" outlineLevel="0" collapsed="false"/>
    <row r="2506" customFormat="false" ht="13.8" hidden="false" customHeight="false" outlineLevel="0" collapsed="false"/>
    <row r="2507" customFormat="false" ht="13.8" hidden="false" customHeight="false" outlineLevel="0" collapsed="false"/>
    <row r="2508" customFormat="false" ht="13.8" hidden="false" customHeight="false" outlineLevel="0" collapsed="false"/>
    <row r="2509" customFormat="false" ht="13.8" hidden="false" customHeight="false" outlineLevel="0" collapsed="false"/>
    <row r="2510" customFormat="false" ht="13.8" hidden="false" customHeight="false" outlineLevel="0" collapsed="false"/>
    <row r="2511" customFormat="false" ht="13.8" hidden="false" customHeight="false" outlineLevel="0" collapsed="false"/>
    <row r="2512" customFormat="false" ht="13.8" hidden="false" customHeight="false" outlineLevel="0" collapsed="false"/>
    <row r="2513" customFormat="false" ht="13.8" hidden="false" customHeight="false" outlineLevel="0" collapsed="false"/>
    <row r="2514" customFormat="false" ht="13.8" hidden="false" customHeight="false" outlineLevel="0" collapsed="false"/>
    <row r="2515" customFormat="false" ht="13.8" hidden="false" customHeight="false" outlineLevel="0" collapsed="false"/>
    <row r="2516" customFormat="false" ht="13.8" hidden="false" customHeight="false" outlineLevel="0" collapsed="false"/>
    <row r="2517" customFormat="false" ht="13.8" hidden="false" customHeight="false" outlineLevel="0" collapsed="false"/>
    <row r="2518" customFormat="false" ht="13.8" hidden="false" customHeight="false" outlineLevel="0" collapsed="false"/>
    <row r="2519" customFormat="false" ht="13.8" hidden="false" customHeight="false" outlineLevel="0" collapsed="false"/>
    <row r="2520" customFormat="false" ht="13.8" hidden="false" customHeight="false" outlineLevel="0" collapsed="false"/>
    <row r="2521" customFormat="false" ht="13.8" hidden="false" customHeight="false" outlineLevel="0" collapsed="false"/>
    <row r="2522" customFormat="false" ht="13.8" hidden="false" customHeight="false" outlineLevel="0" collapsed="false"/>
    <row r="2523" customFormat="false" ht="13.8" hidden="false" customHeight="false" outlineLevel="0" collapsed="false"/>
    <row r="2524" customFormat="false" ht="13.8" hidden="false" customHeight="false" outlineLevel="0" collapsed="false"/>
    <row r="2525" customFormat="false" ht="13.8" hidden="false" customHeight="false" outlineLevel="0" collapsed="false"/>
    <row r="2526" customFormat="false" ht="13.8" hidden="false" customHeight="false" outlineLevel="0" collapsed="false"/>
    <row r="2527" customFormat="false" ht="13.8" hidden="false" customHeight="false" outlineLevel="0" collapsed="false"/>
    <row r="2528" customFormat="false" ht="13.8" hidden="false" customHeight="false" outlineLevel="0" collapsed="false"/>
    <row r="2529" customFormat="false" ht="13.8" hidden="false" customHeight="false" outlineLevel="0" collapsed="false"/>
    <row r="2530" customFormat="false" ht="13.8" hidden="false" customHeight="false" outlineLevel="0" collapsed="false"/>
    <row r="2531" customFormat="false" ht="13.8" hidden="false" customHeight="false" outlineLevel="0" collapsed="false"/>
    <row r="2532" customFormat="false" ht="13.8" hidden="false" customHeight="false" outlineLevel="0" collapsed="false"/>
    <row r="2533" customFormat="false" ht="13.8" hidden="false" customHeight="false" outlineLevel="0" collapsed="false"/>
    <row r="2534" customFormat="false" ht="13.8" hidden="false" customHeight="false" outlineLevel="0" collapsed="false"/>
    <row r="2535" customFormat="false" ht="13.8" hidden="false" customHeight="false" outlineLevel="0" collapsed="false"/>
    <row r="2536" customFormat="false" ht="13.8" hidden="false" customHeight="false" outlineLevel="0" collapsed="false"/>
    <row r="2537" customFormat="false" ht="13.8" hidden="false" customHeight="false" outlineLevel="0" collapsed="false"/>
    <row r="2538" customFormat="false" ht="13.8" hidden="false" customHeight="false" outlineLevel="0" collapsed="false"/>
    <row r="2539" customFormat="false" ht="13.8" hidden="false" customHeight="false" outlineLevel="0" collapsed="false"/>
    <row r="2540" customFormat="false" ht="13.8" hidden="false" customHeight="false" outlineLevel="0" collapsed="false"/>
    <row r="2541" customFormat="false" ht="13.8" hidden="false" customHeight="false" outlineLevel="0" collapsed="false"/>
    <row r="2542" customFormat="false" ht="13.8" hidden="false" customHeight="false" outlineLevel="0" collapsed="false"/>
    <row r="2543" customFormat="false" ht="13.8" hidden="false" customHeight="false" outlineLevel="0" collapsed="false"/>
    <row r="2544" customFormat="false" ht="13.8" hidden="false" customHeight="false" outlineLevel="0" collapsed="false"/>
    <row r="2545" customFormat="false" ht="13.8" hidden="false" customHeight="false" outlineLevel="0" collapsed="false"/>
    <row r="2546" customFormat="false" ht="13.8" hidden="false" customHeight="false" outlineLevel="0" collapsed="false"/>
    <row r="2547" customFormat="false" ht="13.8" hidden="false" customHeight="false" outlineLevel="0" collapsed="false"/>
    <row r="2548" customFormat="false" ht="13.8" hidden="false" customHeight="false" outlineLevel="0" collapsed="false"/>
    <row r="2549" customFormat="false" ht="13.8" hidden="false" customHeight="false" outlineLevel="0" collapsed="false"/>
    <row r="2550" customFormat="false" ht="13.8" hidden="false" customHeight="false" outlineLevel="0" collapsed="false"/>
    <row r="2551" customFormat="false" ht="13.8" hidden="false" customHeight="false" outlineLevel="0" collapsed="false"/>
    <row r="2552" customFormat="false" ht="13.8" hidden="false" customHeight="false" outlineLevel="0" collapsed="false"/>
    <row r="2553" customFormat="false" ht="13.8" hidden="false" customHeight="false" outlineLevel="0" collapsed="false"/>
    <row r="2554" customFormat="false" ht="13.8" hidden="false" customHeight="false" outlineLevel="0" collapsed="false"/>
    <row r="2555" customFormat="false" ht="13.8" hidden="false" customHeight="false" outlineLevel="0" collapsed="false"/>
    <row r="2556" customFormat="false" ht="13.8" hidden="false" customHeight="false" outlineLevel="0" collapsed="false"/>
    <row r="2557" customFormat="false" ht="13.8" hidden="false" customHeight="false" outlineLevel="0" collapsed="false"/>
    <row r="2558" customFormat="false" ht="13.8" hidden="false" customHeight="false" outlineLevel="0" collapsed="false"/>
    <row r="2559" customFormat="false" ht="13.8" hidden="false" customHeight="false" outlineLevel="0" collapsed="false"/>
    <row r="2560" customFormat="false" ht="13.8" hidden="false" customHeight="false" outlineLevel="0" collapsed="false"/>
    <row r="2561" customFormat="false" ht="13.8" hidden="false" customHeight="false" outlineLevel="0" collapsed="false"/>
    <row r="2562" customFormat="false" ht="13.8" hidden="false" customHeight="false" outlineLevel="0" collapsed="false"/>
    <row r="2563" customFormat="false" ht="13.8" hidden="false" customHeight="false" outlineLevel="0" collapsed="false"/>
    <row r="2564" customFormat="false" ht="13.8" hidden="false" customHeight="false" outlineLevel="0" collapsed="false"/>
    <row r="2565" customFormat="false" ht="13.8" hidden="false" customHeight="false" outlineLevel="0" collapsed="false"/>
    <row r="2566" customFormat="false" ht="13.8" hidden="false" customHeight="false" outlineLevel="0" collapsed="false"/>
    <row r="2567" customFormat="false" ht="13.8" hidden="false" customHeight="false" outlineLevel="0" collapsed="false"/>
    <row r="2568" customFormat="false" ht="13.8" hidden="false" customHeight="false" outlineLevel="0" collapsed="false"/>
    <row r="2569" customFormat="false" ht="13.8" hidden="false" customHeight="false" outlineLevel="0" collapsed="false"/>
    <row r="2570" customFormat="false" ht="13.8" hidden="false" customHeight="false" outlineLevel="0" collapsed="false"/>
    <row r="2571" customFormat="false" ht="13.8" hidden="false" customHeight="false" outlineLevel="0" collapsed="false"/>
    <row r="2572" customFormat="false" ht="13.8" hidden="false" customHeight="false" outlineLevel="0" collapsed="false"/>
    <row r="2573" customFormat="false" ht="13.8" hidden="false" customHeight="false" outlineLevel="0" collapsed="false"/>
    <row r="2574" customFormat="false" ht="13.8" hidden="false" customHeight="false" outlineLevel="0" collapsed="false"/>
    <row r="2575" customFormat="false" ht="13.8" hidden="false" customHeight="false" outlineLevel="0" collapsed="false"/>
    <row r="2576" customFormat="false" ht="13.8" hidden="false" customHeight="false" outlineLevel="0" collapsed="false"/>
    <row r="2577" customFormat="false" ht="13.8" hidden="false" customHeight="false" outlineLevel="0" collapsed="false"/>
    <row r="2578" customFormat="false" ht="13.8" hidden="false" customHeight="false" outlineLevel="0" collapsed="false"/>
    <row r="2579" customFormat="false" ht="13.8" hidden="false" customHeight="false" outlineLevel="0" collapsed="false"/>
    <row r="2580" customFormat="false" ht="13.8" hidden="false" customHeight="false" outlineLevel="0" collapsed="false"/>
    <row r="2581" customFormat="false" ht="13.8" hidden="false" customHeight="false" outlineLevel="0" collapsed="false"/>
    <row r="2582" customFormat="false" ht="13.8" hidden="false" customHeight="false" outlineLevel="0" collapsed="false"/>
    <row r="2583" customFormat="false" ht="13.8" hidden="false" customHeight="false" outlineLevel="0" collapsed="false"/>
    <row r="2584" customFormat="false" ht="13.8" hidden="false" customHeight="false" outlineLevel="0" collapsed="false"/>
    <row r="2585" customFormat="false" ht="13.8" hidden="false" customHeight="false" outlineLevel="0" collapsed="false"/>
    <row r="2586" customFormat="false" ht="13.8" hidden="false" customHeight="false" outlineLevel="0" collapsed="false"/>
    <row r="2587" customFormat="false" ht="13.8" hidden="false" customHeight="false" outlineLevel="0" collapsed="false"/>
    <row r="2588" customFormat="false" ht="13.8" hidden="false" customHeight="false" outlineLevel="0" collapsed="false"/>
    <row r="2589" customFormat="false" ht="13.8" hidden="false" customHeight="false" outlineLevel="0" collapsed="false"/>
    <row r="2590" customFormat="false" ht="13.8" hidden="false" customHeight="false" outlineLevel="0" collapsed="false"/>
    <row r="2591" customFormat="false" ht="13.8" hidden="false" customHeight="false" outlineLevel="0" collapsed="false"/>
    <row r="2592" customFormat="false" ht="13.8" hidden="false" customHeight="false" outlineLevel="0" collapsed="false"/>
    <row r="2593" customFormat="false" ht="13.8" hidden="false" customHeight="false" outlineLevel="0" collapsed="false"/>
    <row r="2594" customFormat="false" ht="13.8" hidden="false" customHeight="false" outlineLevel="0" collapsed="false"/>
    <row r="2595" customFormat="false" ht="13.8" hidden="false" customHeight="false" outlineLevel="0" collapsed="false"/>
    <row r="2596" customFormat="false" ht="13.8" hidden="false" customHeight="false" outlineLevel="0" collapsed="false"/>
    <row r="2597" customFormat="false" ht="13.8" hidden="false" customHeight="false" outlineLevel="0" collapsed="false"/>
    <row r="2598" customFormat="false" ht="13.8" hidden="false" customHeight="false" outlineLevel="0" collapsed="false"/>
    <row r="2599" customFormat="false" ht="13.8" hidden="false" customHeight="false" outlineLevel="0" collapsed="false"/>
    <row r="2600" customFormat="false" ht="13.8" hidden="false" customHeight="false" outlineLevel="0" collapsed="false"/>
    <row r="2601" customFormat="false" ht="13.8" hidden="false" customHeight="false" outlineLevel="0" collapsed="false"/>
    <row r="2602" customFormat="false" ht="13.8" hidden="false" customHeight="false" outlineLevel="0" collapsed="false"/>
    <row r="2603" customFormat="false" ht="13.8" hidden="false" customHeight="false" outlineLevel="0" collapsed="false"/>
    <row r="2604" customFormat="false" ht="13.8" hidden="false" customHeight="false" outlineLevel="0" collapsed="false"/>
    <row r="2605" customFormat="false" ht="13.8" hidden="false" customHeight="false" outlineLevel="0" collapsed="false"/>
    <row r="2606" customFormat="false" ht="13.8" hidden="false" customHeight="false" outlineLevel="0" collapsed="false"/>
    <row r="2607" customFormat="false" ht="13.8" hidden="false" customHeight="false" outlineLevel="0" collapsed="false"/>
    <row r="2608" customFormat="false" ht="13.8" hidden="false" customHeight="false" outlineLevel="0" collapsed="false"/>
    <row r="2609" customFormat="false" ht="13.8" hidden="false" customHeight="false" outlineLevel="0" collapsed="false"/>
    <row r="2610" customFormat="false" ht="13.8" hidden="false" customHeight="false" outlineLevel="0" collapsed="false"/>
    <row r="2611" customFormat="false" ht="13.8" hidden="false" customHeight="false" outlineLevel="0" collapsed="false"/>
    <row r="2612" customFormat="false" ht="13.8" hidden="false" customHeight="false" outlineLevel="0" collapsed="false"/>
    <row r="2613" customFormat="false" ht="13.8" hidden="false" customHeight="false" outlineLevel="0" collapsed="false"/>
    <row r="2614" customFormat="false" ht="13.8" hidden="false" customHeight="false" outlineLevel="0" collapsed="false"/>
    <row r="2615" customFormat="false" ht="13.8" hidden="false" customHeight="false" outlineLevel="0" collapsed="false"/>
    <row r="2616" customFormat="false" ht="13.8" hidden="false" customHeight="false" outlineLevel="0" collapsed="false"/>
    <row r="2617" customFormat="false" ht="13.8" hidden="false" customHeight="false" outlineLevel="0" collapsed="false"/>
    <row r="2618" customFormat="false" ht="13.8" hidden="false" customHeight="false" outlineLevel="0" collapsed="false"/>
    <row r="2619" customFormat="false" ht="13.8" hidden="false" customHeight="false" outlineLevel="0" collapsed="false"/>
    <row r="2620" customFormat="false" ht="13.8" hidden="false" customHeight="false" outlineLevel="0" collapsed="false"/>
    <row r="2621" customFormat="false" ht="13.8" hidden="false" customHeight="false" outlineLevel="0" collapsed="false"/>
    <row r="2622" customFormat="false" ht="13.8" hidden="false" customHeight="false" outlineLevel="0" collapsed="false"/>
    <row r="2623" customFormat="false" ht="13.8" hidden="false" customHeight="false" outlineLevel="0" collapsed="false"/>
    <row r="2624" customFormat="false" ht="13.8" hidden="false" customHeight="false" outlineLevel="0" collapsed="false"/>
    <row r="2625" customFormat="false" ht="13.8" hidden="false" customHeight="false" outlineLevel="0" collapsed="false"/>
    <row r="2626" customFormat="false" ht="13.8" hidden="false" customHeight="false" outlineLevel="0" collapsed="false"/>
    <row r="2627" customFormat="false" ht="13.8" hidden="false" customHeight="false" outlineLevel="0" collapsed="false"/>
    <row r="2628" customFormat="false" ht="13.8" hidden="false" customHeight="false" outlineLevel="0" collapsed="false"/>
    <row r="2629" customFormat="false" ht="13.8" hidden="false" customHeight="false" outlineLevel="0" collapsed="false"/>
    <row r="2630" customFormat="false" ht="13.8" hidden="false" customHeight="false" outlineLevel="0" collapsed="false"/>
    <row r="2631" customFormat="false" ht="13.8" hidden="false" customHeight="false" outlineLevel="0" collapsed="false"/>
    <row r="2632" customFormat="false" ht="13.8" hidden="false" customHeight="false" outlineLevel="0" collapsed="false"/>
    <row r="2633" customFormat="false" ht="13.8" hidden="false" customHeight="false" outlineLevel="0" collapsed="false"/>
    <row r="2634" customFormat="false" ht="13.8" hidden="false" customHeight="false" outlineLevel="0" collapsed="false"/>
    <row r="2635" customFormat="false" ht="13.8" hidden="false" customHeight="false" outlineLevel="0" collapsed="false"/>
    <row r="2636" customFormat="false" ht="13.8" hidden="false" customHeight="false" outlineLevel="0" collapsed="false"/>
    <row r="2637" customFormat="false" ht="13.8" hidden="false" customHeight="false" outlineLevel="0" collapsed="false"/>
    <row r="2638" customFormat="false" ht="13.8" hidden="false" customHeight="false" outlineLevel="0" collapsed="false"/>
    <row r="2639" customFormat="false" ht="13.8" hidden="false" customHeight="false" outlineLevel="0" collapsed="false"/>
    <row r="2640" customFormat="false" ht="13.8" hidden="false" customHeight="false" outlineLevel="0" collapsed="false"/>
    <row r="2641" customFormat="false" ht="13.8" hidden="false" customHeight="false" outlineLevel="0" collapsed="false"/>
    <row r="2642" customFormat="false" ht="13.8" hidden="false" customHeight="false" outlineLevel="0" collapsed="false"/>
    <row r="2643" customFormat="false" ht="13.8" hidden="false" customHeight="false" outlineLevel="0" collapsed="false"/>
    <row r="2644" customFormat="false" ht="13.8" hidden="false" customHeight="false" outlineLevel="0" collapsed="false"/>
    <row r="2645" customFormat="false" ht="13.8" hidden="false" customHeight="false" outlineLevel="0" collapsed="false"/>
    <row r="2646" customFormat="false" ht="13.8" hidden="false" customHeight="false" outlineLevel="0" collapsed="false"/>
    <row r="2647" customFormat="false" ht="13.8" hidden="false" customHeight="false" outlineLevel="0" collapsed="false"/>
    <row r="2648" customFormat="false" ht="13.8" hidden="false" customHeight="false" outlineLevel="0" collapsed="false"/>
    <row r="2649" customFormat="false" ht="13.8" hidden="false" customHeight="false" outlineLevel="0" collapsed="false"/>
    <row r="2650" customFormat="false" ht="13.8" hidden="false" customHeight="false" outlineLevel="0" collapsed="false"/>
    <row r="2651" customFormat="false" ht="13.8" hidden="false" customHeight="false" outlineLevel="0" collapsed="false"/>
    <row r="2652" customFormat="false" ht="13.8" hidden="false" customHeight="false" outlineLevel="0" collapsed="false"/>
    <row r="2653" customFormat="false" ht="13.8" hidden="false" customHeight="false" outlineLevel="0" collapsed="false"/>
    <row r="2654" customFormat="false" ht="13.8" hidden="false" customHeight="false" outlineLevel="0" collapsed="false"/>
    <row r="2655" customFormat="false" ht="13.8" hidden="false" customHeight="false" outlineLevel="0" collapsed="false"/>
    <row r="2656" customFormat="false" ht="13.8" hidden="false" customHeight="false" outlineLevel="0" collapsed="false"/>
    <row r="2657" customFormat="false" ht="13.8" hidden="false" customHeight="false" outlineLevel="0" collapsed="false"/>
    <row r="2658" customFormat="false" ht="13.8" hidden="false" customHeight="false" outlineLevel="0" collapsed="false"/>
    <row r="2659" customFormat="false" ht="13.8" hidden="false" customHeight="false" outlineLevel="0" collapsed="false"/>
    <row r="2660" customFormat="false" ht="13.8" hidden="false" customHeight="false" outlineLevel="0" collapsed="false"/>
    <row r="2661" customFormat="false" ht="13.8" hidden="false" customHeight="false" outlineLevel="0" collapsed="false"/>
    <row r="2662" customFormat="false" ht="13.8" hidden="false" customHeight="false" outlineLevel="0" collapsed="false"/>
    <row r="2663" customFormat="false" ht="13.8" hidden="false" customHeight="false" outlineLevel="0" collapsed="false"/>
    <row r="2664" customFormat="false" ht="13.8" hidden="false" customHeight="false" outlineLevel="0" collapsed="false"/>
    <row r="2665" customFormat="false" ht="13.8" hidden="false" customHeight="false" outlineLevel="0" collapsed="false"/>
    <row r="2666" customFormat="false" ht="13.8" hidden="false" customHeight="false" outlineLevel="0" collapsed="false"/>
    <row r="2667" customFormat="false" ht="13.8" hidden="false" customHeight="false" outlineLevel="0" collapsed="false"/>
    <row r="2668" customFormat="false" ht="13.8" hidden="false" customHeight="false" outlineLevel="0" collapsed="false"/>
    <row r="2669" customFormat="false" ht="13.8" hidden="false" customHeight="false" outlineLevel="0" collapsed="false"/>
    <row r="2670" customFormat="false" ht="13.8" hidden="false" customHeight="false" outlineLevel="0" collapsed="false"/>
    <row r="2671" customFormat="false" ht="13.8" hidden="false" customHeight="false" outlineLevel="0" collapsed="false"/>
    <row r="2672" customFormat="false" ht="13.8" hidden="false" customHeight="false" outlineLevel="0" collapsed="false"/>
    <row r="2673" customFormat="false" ht="13.8" hidden="false" customHeight="false" outlineLevel="0" collapsed="false"/>
    <row r="2674" customFormat="false" ht="13.8" hidden="false" customHeight="false" outlineLevel="0" collapsed="false"/>
    <row r="2675" customFormat="false" ht="13.8" hidden="false" customHeight="false" outlineLevel="0" collapsed="false"/>
    <row r="2676" customFormat="false" ht="13.8" hidden="false" customHeight="false" outlineLevel="0" collapsed="false"/>
    <row r="2677" customFormat="false" ht="13.8" hidden="false" customHeight="false" outlineLevel="0" collapsed="false"/>
    <row r="2678" customFormat="false" ht="13.8" hidden="false" customHeight="false" outlineLevel="0" collapsed="false"/>
    <row r="2679" customFormat="false" ht="13.8" hidden="false" customHeight="false" outlineLevel="0" collapsed="false"/>
    <row r="2680" customFormat="false" ht="13.8" hidden="false" customHeight="false" outlineLevel="0" collapsed="false"/>
    <row r="2681" customFormat="false" ht="13.8" hidden="false" customHeight="false" outlineLevel="0" collapsed="false"/>
    <row r="2682" customFormat="false" ht="13.8" hidden="false" customHeight="false" outlineLevel="0" collapsed="false"/>
    <row r="2683" customFormat="false" ht="13.8" hidden="false" customHeight="false" outlineLevel="0" collapsed="false"/>
    <row r="2684" customFormat="false" ht="13.8" hidden="false" customHeight="false" outlineLevel="0" collapsed="false"/>
    <row r="2685" customFormat="false" ht="13.8" hidden="false" customHeight="false" outlineLevel="0" collapsed="false"/>
    <row r="2686" customFormat="false" ht="13.8" hidden="false" customHeight="false" outlineLevel="0" collapsed="false"/>
    <row r="2687" customFormat="false" ht="13.8" hidden="false" customHeight="false" outlineLevel="0" collapsed="false"/>
    <row r="2688" customFormat="false" ht="13.8" hidden="false" customHeight="false" outlineLevel="0" collapsed="false"/>
    <row r="2689" customFormat="false" ht="13.8" hidden="false" customHeight="false" outlineLevel="0" collapsed="false"/>
    <row r="2690" customFormat="false" ht="13.8" hidden="false" customHeight="false" outlineLevel="0" collapsed="false"/>
    <row r="2691" customFormat="false" ht="13.8" hidden="false" customHeight="false" outlineLevel="0" collapsed="false"/>
    <row r="2692" customFormat="false" ht="13.8" hidden="false" customHeight="false" outlineLevel="0" collapsed="false"/>
    <row r="2693" customFormat="false" ht="13.8" hidden="false" customHeight="false" outlineLevel="0" collapsed="false"/>
    <row r="2694" customFormat="false" ht="13.8" hidden="false" customHeight="false" outlineLevel="0" collapsed="false"/>
    <row r="2695" customFormat="false" ht="13.8" hidden="false" customHeight="false" outlineLevel="0" collapsed="false"/>
    <row r="2696" customFormat="false" ht="13.8" hidden="false" customHeight="false" outlineLevel="0" collapsed="false"/>
    <row r="2697" customFormat="false" ht="13.8" hidden="false" customHeight="false" outlineLevel="0" collapsed="false"/>
    <row r="2698" customFormat="false" ht="13.8" hidden="false" customHeight="false" outlineLevel="0" collapsed="false"/>
    <row r="2699" customFormat="false" ht="13.8" hidden="false" customHeight="false" outlineLevel="0" collapsed="false"/>
    <row r="2700" customFormat="false" ht="13.8" hidden="false" customHeight="false" outlineLevel="0" collapsed="false"/>
    <row r="2701" customFormat="false" ht="13.8" hidden="false" customHeight="false" outlineLevel="0" collapsed="false"/>
    <row r="2702" customFormat="false" ht="13.8" hidden="false" customHeight="false" outlineLevel="0" collapsed="false"/>
    <row r="2703" customFormat="false" ht="13.8" hidden="false" customHeight="false" outlineLevel="0" collapsed="false"/>
    <row r="2704" customFormat="false" ht="13.8" hidden="false" customHeight="false" outlineLevel="0" collapsed="false"/>
    <row r="2705" customFormat="false" ht="13.8" hidden="false" customHeight="false" outlineLevel="0" collapsed="false"/>
    <row r="2706" customFormat="false" ht="13.8" hidden="false" customHeight="false" outlineLevel="0" collapsed="false"/>
    <row r="2707" customFormat="false" ht="13.8" hidden="false" customHeight="false" outlineLevel="0" collapsed="false"/>
    <row r="2708" customFormat="false" ht="13.8" hidden="false" customHeight="false" outlineLevel="0" collapsed="false"/>
    <row r="2709" customFormat="false" ht="13.8" hidden="false" customHeight="false" outlineLevel="0" collapsed="false"/>
    <row r="2710" customFormat="false" ht="13.8" hidden="false" customHeight="false" outlineLevel="0" collapsed="false"/>
    <row r="2711" customFormat="false" ht="13.8" hidden="false" customHeight="false" outlineLevel="0" collapsed="false"/>
    <row r="2712" customFormat="false" ht="13.8" hidden="false" customHeight="false" outlineLevel="0" collapsed="false"/>
    <row r="2713" customFormat="false" ht="13.8" hidden="false" customHeight="false" outlineLevel="0" collapsed="false"/>
    <row r="2714" customFormat="false" ht="13.8" hidden="false" customHeight="false" outlineLevel="0" collapsed="false"/>
    <row r="2715" customFormat="false" ht="13.8" hidden="false" customHeight="false" outlineLevel="0" collapsed="false"/>
    <row r="2716" customFormat="false" ht="13.8" hidden="false" customHeight="false" outlineLevel="0" collapsed="false"/>
    <row r="2717" customFormat="false" ht="13.8" hidden="false" customHeight="false" outlineLevel="0" collapsed="false"/>
    <row r="2718" customFormat="false" ht="13.8" hidden="false" customHeight="false" outlineLevel="0" collapsed="false"/>
    <row r="2719" customFormat="false" ht="13.8" hidden="false" customHeight="false" outlineLevel="0" collapsed="false"/>
    <row r="2720" customFormat="false" ht="13.8" hidden="false" customHeight="false" outlineLevel="0" collapsed="false"/>
    <row r="2721" customFormat="false" ht="13.8" hidden="false" customHeight="false" outlineLevel="0" collapsed="false"/>
    <row r="2722" customFormat="false" ht="13.8" hidden="false" customHeight="false" outlineLevel="0" collapsed="false"/>
    <row r="2723" customFormat="false" ht="13.8" hidden="false" customHeight="false" outlineLevel="0" collapsed="false"/>
    <row r="2724" customFormat="false" ht="13.8" hidden="false" customHeight="false" outlineLevel="0" collapsed="false"/>
    <row r="2725" customFormat="false" ht="13.8" hidden="false" customHeight="false" outlineLevel="0" collapsed="false"/>
    <row r="2726" customFormat="false" ht="13.8" hidden="false" customHeight="false" outlineLevel="0" collapsed="false"/>
    <row r="2727" customFormat="false" ht="13.8" hidden="false" customHeight="false" outlineLevel="0" collapsed="false"/>
    <row r="2728" customFormat="false" ht="13.8" hidden="false" customHeight="false" outlineLevel="0" collapsed="false"/>
    <row r="2729" customFormat="false" ht="13.8" hidden="false" customHeight="false" outlineLevel="0" collapsed="false"/>
    <row r="2730" customFormat="false" ht="13.8" hidden="false" customHeight="false" outlineLevel="0" collapsed="false"/>
    <row r="2731" customFormat="false" ht="13.8" hidden="false" customHeight="false" outlineLevel="0" collapsed="false"/>
    <row r="2732" customFormat="false" ht="13.8" hidden="false" customHeight="false" outlineLevel="0" collapsed="false"/>
    <row r="2733" customFormat="false" ht="13.8" hidden="false" customHeight="false" outlineLevel="0" collapsed="false"/>
    <row r="2734" customFormat="false" ht="13.8" hidden="false" customHeight="false" outlineLevel="0" collapsed="false"/>
    <row r="2735" customFormat="false" ht="13.8" hidden="false" customHeight="false" outlineLevel="0" collapsed="false"/>
    <row r="2736" customFormat="false" ht="13.8" hidden="false" customHeight="false" outlineLevel="0" collapsed="false"/>
    <row r="2737" customFormat="false" ht="13.8" hidden="false" customHeight="false" outlineLevel="0" collapsed="false"/>
    <row r="2738" customFormat="false" ht="13.8" hidden="false" customHeight="false" outlineLevel="0" collapsed="false"/>
    <row r="2739" customFormat="false" ht="13.8" hidden="false" customHeight="false" outlineLevel="0" collapsed="false"/>
    <row r="2740" customFormat="false" ht="13.8" hidden="false" customHeight="false" outlineLevel="0" collapsed="false"/>
    <row r="2741" customFormat="false" ht="13.8" hidden="false" customHeight="false" outlineLevel="0" collapsed="false"/>
    <row r="2742" customFormat="false" ht="13.8" hidden="false" customHeight="false" outlineLevel="0" collapsed="false"/>
    <row r="2743" customFormat="false" ht="13.8" hidden="false" customHeight="false" outlineLevel="0" collapsed="false"/>
    <row r="2744" customFormat="false" ht="13.8" hidden="false" customHeight="false" outlineLevel="0" collapsed="false"/>
    <row r="2745" customFormat="false" ht="13.8" hidden="false" customHeight="false" outlineLevel="0" collapsed="false"/>
    <row r="2746" customFormat="false" ht="13.8" hidden="false" customHeight="false" outlineLevel="0" collapsed="false"/>
    <row r="2747" customFormat="false" ht="13.8" hidden="false" customHeight="false" outlineLevel="0" collapsed="false"/>
    <row r="2748" customFormat="false" ht="13.8" hidden="false" customHeight="false" outlineLevel="0" collapsed="false"/>
    <row r="2749" customFormat="false" ht="13.8" hidden="false" customHeight="false" outlineLevel="0" collapsed="false"/>
    <row r="2750" customFormat="false" ht="13.8" hidden="false" customHeight="false" outlineLevel="0" collapsed="false"/>
    <row r="2751" customFormat="false" ht="13.8" hidden="false" customHeight="false" outlineLevel="0" collapsed="false"/>
    <row r="2752" customFormat="false" ht="13.8" hidden="false" customHeight="false" outlineLevel="0" collapsed="false"/>
    <row r="2753" customFormat="false" ht="13.8" hidden="false" customHeight="false" outlineLevel="0" collapsed="false"/>
    <row r="2754" customFormat="false" ht="13.8" hidden="false" customHeight="false" outlineLevel="0" collapsed="false"/>
    <row r="2755" customFormat="false" ht="13.8" hidden="false" customHeight="false" outlineLevel="0" collapsed="false"/>
    <row r="2756" customFormat="false" ht="13.8" hidden="false" customHeight="false" outlineLevel="0" collapsed="false"/>
    <row r="2757" customFormat="false" ht="13.8" hidden="false" customHeight="false" outlineLevel="0" collapsed="false"/>
    <row r="2758" customFormat="false" ht="13.8" hidden="false" customHeight="false" outlineLevel="0" collapsed="false"/>
    <row r="2759" customFormat="false" ht="13.8" hidden="false" customHeight="false" outlineLevel="0" collapsed="false"/>
    <row r="2760" customFormat="false" ht="13.8" hidden="false" customHeight="false" outlineLevel="0" collapsed="false"/>
    <row r="2761" customFormat="false" ht="13.8" hidden="false" customHeight="false" outlineLevel="0" collapsed="false"/>
    <row r="2762" customFormat="false" ht="13.8" hidden="false" customHeight="false" outlineLevel="0" collapsed="false"/>
    <row r="2763" customFormat="false" ht="13.8" hidden="false" customHeight="false" outlineLevel="0" collapsed="false"/>
    <row r="2764" customFormat="false" ht="13.8" hidden="false" customHeight="false" outlineLevel="0" collapsed="false"/>
    <row r="2765" customFormat="false" ht="13.8" hidden="false" customHeight="false" outlineLevel="0" collapsed="false"/>
    <row r="2766" customFormat="false" ht="13.8" hidden="false" customHeight="false" outlineLevel="0" collapsed="false"/>
    <row r="2767" customFormat="false" ht="13.8" hidden="false" customHeight="false" outlineLevel="0" collapsed="false"/>
    <row r="2768" customFormat="false" ht="13.8" hidden="false" customHeight="false" outlineLevel="0" collapsed="false"/>
    <row r="2769" customFormat="false" ht="13.8" hidden="false" customHeight="false" outlineLevel="0" collapsed="false"/>
    <row r="2770" customFormat="false" ht="13.8" hidden="false" customHeight="false" outlineLevel="0" collapsed="false"/>
    <row r="2771" customFormat="false" ht="13.8" hidden="false" customHeight="false" outlineLevel="0" collapsed="false"/>
    <row r="2772" customFormat="false" ht="13.8" hidden="false" customHeight="false" outlineLevel="0" collapsed="false"/>
    <row r="2773" customFormat="false" ht="13.8" hidden="false" customHeight="false" outlineLevel="0" collapsed="false"/>
    <row r="2774" customFormat="false" ht="13.8" hidden="false" customHeight="false" outlineLevel="0" collapsed="false"/>
    <row r="2775" customFormat="false" ht="13.8" hidden="false" customHeight="false" outlineLevel="0" collapsed="false"/>
    <row r="2776" customFormat="false" ht="13.8" hidden="false" customHeight="false" outlineLevel="0" collapsed="false"/>
    <row r="2777" customFormat="false" ht="13.8" hidden="false" customHeight="false" outlineLevel="0" collapsed="false"/>
    <row r="2778" customFormat="false" ht="13.8" hidden="false" customHeight="false" outlineLevel="0" collapsed="false"/>
    <row r="2779" customFormat="false" ht="13.8" hidden="false" customHeight="false" outlineLevel="0" collapsed="false"/>
    <row r="2780" customFormat="false" ht="13.8" hidden="false" customHeight="false" outlineLevel="0" collapsed="false"/>
    <row r="2781" customFormat="false" ht="13.8" hidden="false" customHeight="false" outlineLevel="0" collapsed="false"/>
    <row r="2782" customFormat="false" ht="13.8" hidden="false" customHeight="false" outlineLevel="0" collapsed="false"/>
    <row r="2783" customFormat="false" ht="13.8" hidden="false" customHeight="false" outlineLevel="0" collapsed="false"/>
    <row r="2784" customFormat="false" ht="13.8" hidden="false" customHeight="false" outlineLevel="0" collapsed="false"/>
    <row r="2785" customFormat="false" ht="13.8" hidden="false" customHeight="false" outlineLevel="0" collapsed="false"/>
    <row r="2786" customFormat="false" ht="13.8" hidden="false" customHeight="false" outlineLevel="0" collapsed="false"/>
    <row r="2787" customFormat="false" ht="13.8" hidden="false" customHeight="false" outlineLevel="0" collapsed="false"/>
    <row r="2788" customFormat="false" ht="13.8" hidden="false" customHeight="false" outlineLevel="0" collapsed="false"/>
    <row r="2789" customFormat="false" ht="13.8" hidden="false" customHeight="false" outlineLevel="0" collapsed="false"/>
    <row r="2790" customFormat="false" ht="13.8" hidden="false" customHeight="false" outlineLevel="0" collapsed="false"/>
    <row r="2791" customFormat="false" ht="13.8" hidden="false" customHeight="false" outlineLevel="0" collapsed="false"/>
    <row r="2792" customFormat="false" ht="13.8" hidden="false" customHeight="false" outlineLevel="0" collapsed="false"/>
    <row r="2793" customFormat="false" ht="13.8" hidden="false" customHeight="false" outlineLevel="0" collapsed="false"/>
    <row r="2794" customFormat="false" ht="13.8" hidden="false" customHeight="false" outlineLevel="0" collapsed="false"/>
    <row r="2795" customFormat="false" ht="13.8" hidden="false" customHeight="false" outlineLevel="0" collapsed="false"/>
    <row r="2796" customFormat="false" ht="13.8" hidden="false" customHeight="false" outlineLevel="0" collapsed="false"/>
    <row r="2797" customFormat="false" ht="13.8" hidden="false" customHeight="false" outlineLevel="0" collapsed="false"/>
    <row r="2798" customFormat="false" ht="13.8" hidden="false" customHeight="false" outlineLevel="0" collapsed="false"/>
    <row r="2799" customFormat="false" ht="13.8" hidden="false" customHeight="false" outlineLevel="0" collapsed="false"/>
    <row r="2800" customFormat="false" ht="13.8" hidden="false" customHeight="false" outlineLevel="0" collapsed="false"/>
    <row r="2801" customFormat="false" ht="13.8" hidden="false" customHeight="false" outlineLevel="0" collapsed="false"/>
    <row r="2802" customFormat="false" ht="13.8" hidden="false" customHeight="false" outlineLevel="0" collapsed="false"/>
    <row r="2803" customFormat="false" ht="13.8" hidden="false" customHeight="false" outlineLevel="0" collapsed="false"/>
    <row r="2804" customFormat="false" ht="13.8" hidden="false" customHeight="false" outlineLevel="0" collapsed="false"/>
    <row r="2805" customFormat="false" ht="13.8" hidden="false" customHeight="false" outlineLevel="0" collapsed="false"/>
    <row r="2806" customFormat="false" ht="13.8" hidden="false" customHeight="false" outlineLevel="0" collapsed="false"/>
    <row r="2807" customFormat="false" ht="13.8" hidden="false" customHeight="false" outlineLevel="0" collapsed="false"/>
    <row r="2808" customFormat="false" ht="13.8" hidden="false" customHeight="false" outlineLevel="0" collapsed="false"/>
    <row r="2809" customFormat="false" ht="13.8" hidden="false" customHeight="false" outlineLevel="0" collapsed="false"/>
    <row r="2810" customFormat="false" ht="13.8" hidden="false" customHeight="false" outlineLevel="0" collapsed="false"/>
    <row r="2811" customFormat="false" ht="13.8" hidden="false" customHeight="false" outlineLevel="0" collapsed="false"/>
    <row r="2812" customFormat="false" ht="13.8" hidden="false" customHeight="false" outlineLevel="0" collapsed="false"/>
    <row r="2813" customFormat="false" ht="13.8" hidden="false" customHeight="false" outlineLevel="0" collapsed="false"/>
    <row r="2814" customFormat="false" ht="13.8" hidden="false" customHeight="false" outlineLevel="0" collapsed="false"/>
    <row r="2815" customFormat="false" ht="13.8" hidden="false" customHeight="false" outlineLevel="0" collapsed="false"/>
    <row r="2816" customFormat="false" ht="13.8" hidden="false" customHeight="false" outlineLevel="0" collapsed="false"/>
    <row r="2817" customFormat="false" ht="13.8" hidden="false" customHeight="false" outlineLevel="0" collapsed="false"/>
    <row r="2818" customFormat="false" ht="13.8" hidden="false" customHeight="false" outlineLevel="0" collapsed="false"/>
    <row r="2819" customFormat="false" ht="13.8" hidden="false" customHeight="false" outlineLevel="0" collapsed="false"/>
    <row r="2820" customFormat="false" ht="13.8" hidden="false" customHeight="false" outlineLevel="0" collapsed="false"/>
    <row r="2821" customFormat="false" ht="13.8" hidden="false" customHeight="false" outlineLevel="0" collapsed="false"/>
    <row r="2822" customFormat="false" ht="13.8" hidden="false" customHeight="false" outlineLevel="0" collapsed="false"/>
    <row r="2823" customFormat="false" ht="13.8" hidden="false" customHeight="false" outlineLevel="0" collapsed="false"/>
    <row r="2824" customFormat="false" ht="13.8" hidden="false" customHeight="false" outlineLevel="0" collapsed="false"/>
    <row r="2825" customFormat="false" ht="13.8" hidden="false" customHeight="false" outlineLevel="0" collapsed="false"/>
    <row r="2826" customFormat="false" ht="13.8" hidden="false" customHeight="false" outlineLevel="0" collapsed="false"/>
    <row r="2827" customFormat="false" ht="13.8" hidden="false" customHeight="false" outlineLevel="0" collapsed="false"/>
    <row r="2828" customFormat="false" ht="13.8" hidden="false" customHeight="false" outlineLevel="0" collapsed="false"/>
    <row r="2829" customFormat="false" ht="13.8" hidden="false" customHeight="false" outlineLevel="0" collapsed="false"/>
    <row r="2830" customFormat="false" ht="13.8" hidden="false" customHeight="false" outlineLevel="0" collapsed="false"/>
    <row r="2831" customFormat="false" ht="13.8" hidden="false" customHeight="false" outlineLevel="0" collapsed="false"/>
    <row r="2832" customFormat="false" ht="13.8" hidden="false" customHeight="false" outlineLevel="0" collapsed="false"/>
    <row r="2833" customFormat="false" ht="13.8" hidden="false" customHeight="false" outlineLevel="0" collapsed="false"/>
    <row r="2834" customFormat="false" ht="13.8" hidden="false" customHeight="false" outlineLevel="0" collapsed="false"/>
    <row r="2835" customFormat="false" ht="13.8" hidden="false" customHeight="false" outlineLevel="0" collapsed="false"/>
    <row r="2836" customFormat="false" ht="13.8" hidden="false" customHeight="false" outlineLevel="0" collapsed="false"/>
    <row r="2837" customFormat="false" ht="13.8" hidden="false" customHeight="false" outlineLevel="0" collapsed="false"/>
    <row r="2838" customFormat="false" ht="13.8" hidden="false" customHeight="false" outlineLevel="0" collapsed="false"/>
    <row r="2839" customFormat="false" ht="13.8" hidden="false" customHeight="false" outlineLevel="0" collapsed="false"/>
    <row r="2840" customFormat="false" ht="13.8" hidden="false" customHeight="false" outlineLevel="0" collapsed="false"/>
    <row r="2841" customFormat="false" ht="13.8" hidden="false" customHeight="false" outlineLevel="0" collapsed="false"/>
    <row r="2842" customFormat="false" ht="13.8" hidden="false" customHeight="false" outlineLevel="0" collapsed="false"/>
    <row r="2843" customFormat="false" ht="13.8" hidden="false" customHeight="false" outlineLevel="0" collapsed="false"/>
    <row r="2844" customFormat="false" ht="13.8" hidden="false" customHeight="false" outlineLevel="0" collapsed="false"/>
    <row r="2845" customFormat="false" ht="13.8" hidden="false" customHeight="false" outlineLevel="0" collapsed="false"/>
    <row r="2846" customFormat="false" ht="13.8" hidden="false" customHeight="false" outlineLevel="0" collapsed="false"/>
    <row r="2847" customFormat="false" ht="13.8" hidden="false" customHeight="false" outlineLevel="0" collapsed="false"/>
    <row r="2848" customFormat="false" ht="13.8" hidden="false" customHeight="false" outlineLevel="0" collapsed="false"/>
    <row r="2849" customFormat="false" ht="13.8" hidden="false" customHeight="false" outlineLevel="0" collapsed="false"/>
    <row r="2850" customFormat="false" ht="13.8" hidden="false" customHeight="false" outlineLevel="0" collapsed="false"/>
    <row r="2851" customFormat="false" ht="13.8" hidden="false" customHeight="false" outlineLevel="0" collapsed="false"/>
    <row r="2852" customFormat="false" ht="13.8" hidden="false" customHeight="false" outlineLevel="0" collapsed="false"/>
    <row r="2853" customFormat="false" ht="13.8" hidden="false" customHeight="false" outlineLevel="0" collapsed="false"/>
    <row r="2854" customFormat="false" ht="13.8" hidden="false" customHeight="false" outlineLevel="0" collapsed="false"/>
    <row r="2855" customFormat="false" ht="13.8" hidden="false" customHeight="false" outlineLevel="0" collapsed="false"/>
    <row r="2856" customFormat="false" ht="13.8" hidden="false" customHeight="false" outlineLevel="0" collapsed="false"/>
    <row r="2857" customFormat="false" ht="13.8" hidden="false" customHeight="false" outlineLevel="0" collapsed="false"/>
    <row r="2858" customFormat="false" ht="13.8" hidden="false" customHeight="false" outlineLevel="0" collapsed="false"/>
    <row r="2859" customFormat="false" ht="13.8" hidden="false" customHeight="false" outlineLevel="0" collapsed="false"/>
    <row r="2860" customFormat="false" ht="13.8" hidden="false" customHeight="false" outlineLevel="0" collapsed="false"/>
    <row r="2861" customFormat="false" ht="13.8" hidden="false" customHeight="false" outlineLevel="0" collapsed="false"/>
    <row r="2862" customFormat="false" ht="13.8" hidden="false" customHeight="false" outlineLevel="0" collapsed="false"/>
    <row r="2863" customFormat="false" ht="13.8" hidden="false" customHeight="false" outlineLevel="0" collapsed="false"/>
    <row r="2864" customFormat="false" ht="13.8" hidden="false" customHeight="false" outlineLevel="0" collapsed="false"/>
    <row r="2865" customFormat="false" ht="13.8" hidden="false" customHeight="false" outlineLevel="0" collapsed="false"/>
    <row r="2866" customFormat="false" ht="13.8" hidden="false" customHeight="false" outlineLevel="0" collapsed="false"/>
    <row r="2867" customFormat="false" ht="13.8" hidden="false" customHeight="false" outlineLevel="0" collapsed="false"/>
    <row r="2868" customFormat="false" ht="13.8" hidden="false" customHeight="false" outlineLevel="0" collapsed="false"/>
    <row r="2869" customFormat="false" ht="13.8" hidden="false" customHeight="false" outlineLevel="0" collapsed="false"/>
    <row r="2870" customFormat="false" ht="13.8" hidden="false" customHeight="false" outlineLevel="0" collapsed="false"/>
    <row r="2871" customFormat="false" ht="13.8" hidden="false" customHeight="false" outlineLevel="0" collapsed="false"/>
    <row r="2872" customFormat="false" ht="13.8" hidden="false" customHeight="false" outlineLevel="0" collapsed="false"/>
    <row r="2873" customFormat="false" ht="13.8" hidden="false" customHeight="false" outlineLevel="0" collapsed="false"/>
    <row r="2874" customFormat="false" ht="13.8" hidden="false" customHeight="false" outlineLevel="0" collapsed="false"/>
    <row r="2875" customFormat="false" ht="13.8" hidden="false" customHeight="false" outlineLevel="0" collapsed="false"/>
    <row r="2876" customFormat="false" ht="13.8" hidden="false" customHeight="false" outlineLevel="0" collapsed="false"/>
    <row r="2877" customFormat="false" ht="13.8" hidden="false" customHeight="false" outlineLevel="0" collapsed="false"/>
    <row r="2878" customFormat="false" ht="13.8" hidden="false" customHeight="false" outlineLevel="0" collapsed="false"/>
    <row r="2879" customFormat="false" ht="13.8" hidden="false" customHeight="false" outlineLevel="0" collapsed="false"/>
    <row r="2880" customFormat="false" ht="13.8" hidden="false" customHeight="false" outlineLevel="0" collapsed="false"/>
    <row r="2881" customFormat="false" ht="13.8" hidden="false" customHeight="false" outlineLevel="0" collapsed="false"/>
    <row r="2882" customFormat="false" ht="13.8" hidden="false" customHeight="false" outlineLevel="0" collapsed="false"/>
    <row r="2883" customFormat="false" ht="13.8" hidden="false" customHeight="false" outlineLevel="0" collapsed="false"/>
    <row r="2884" customFormat="false" ht="13.8" hidden="false" customHeight="false" outlineLevel="0" collapsed="false"/>
    <row r="2885" customFormat="false" ht="13.8" hidden="false" customHeight="false" outlineLevel="0" collapsed="false"/>
    <row r="2886" customFormat="false" ht="13.8" hidden="false" customHeight="false" outlineLevel="0" collapsed="false"/>
    <row r="2887" customFormat="false" ht="13.8" hidden="false" customHeight="false" outlineLevel="0" collapsed="false"/>
    <row r="2888" customFormat="false" ht="13.8" hidden="false" customHeight="false" outlineLevel="0" collapsed="false"/>
    <row r="2889" customFormat="false" ht="13.8" hidden="false" customHeight="false" outlineLevel="0" collapsed="false"/>
    <row r="2890" customFormat="false" ht="13.8" hidden="false" customHeight="false" outlineLevel="0" collapsed="false"/>
    <row r="2891" customFormat="false" ht="13.8" hidden="false" customHeight="false" outlineLevel="0" collapsed="false"/>
    <row r="2892" customFormat="false" ht="13.8" hidden="false" customHeight="false" outlineLevel="0" collapsed="false"/>
    <row r="2893" customFormat="false" ht="13.8" hidden="false" customHeight="false" outlineLevel="0" collapsed="false"/>
    <row r="2894" customFormat="false" ht="13.8" hidden="false" customHeight="false" outlineLevel="0" collapsed="false"/>
    <row r="2895" customFormat="false" ht="13.8" hidden="false" customHeight="false" outlineLevel="0" collapsed="false"/>
    <row r="2896" customFormat="false" ht="13.8" hidden="false" customHeight="false" outlineLevel="0" collapsed="false"/>
    <row r="2897" customFormat="false" ht="13.8" hidden="false" customHeight="false" outlineLevel="0" collapsed="false"/>
    <row r="2898" customFormat="false" ht="13.8" hidden="false" customHeight="false" outlineLevel="0" collapsed="false"/>
    <row r="2899" customFormat="false" ht="13.8" hidden="false" customHeight="false" outlineLevel="0" collapsed="false"/>
    <row r="2900" customFormat="false" ht="13.8" hidden="false" customHeight="false" outlineLevel="0" collapsed="false"/>
    <row r="2901" customFormat="false" ht="13.8" hidden="false" customHeight="false" outlineLevel="0" collapsed="false"/>
    <row r="2902" customFormat="false" ht="13.8" hidden="false" customHeight="false" outlineLevel="0" collapsed="false"/>
    <row r="2903" customFormat="false" ht="13.8" hidden="false" customHeight="false" outlineLevel="0" collapsed="false"/>
    <row r="2904" customFormat="false" ht="13.8" hidden="false" customHeight="false" outlineLevel="0" collapsed="false"/>
    <row r="2905" customFormat="false" ht="13.8" hidden="false" customHeight="false" outlineLevel="0" collapsed="false"/>
    <row r="2906" customFormat="false" ht="13.8" hidden="false" customHeight="false" outlineLevel="0" collapsed="false"/>
    <row r="2907" customFormat="false" ht="13.8" hidden="false" customHeight="false" outlineLevel="0" collapsed="false"/>
    <row r="2908" customFormat="false" ht="13.8" hidden="false" customHeight="false" outlineLevel="0" collapsed="false"/>
    <row r="2909" customFormat="false" ht="13.8" hidden="false" customHeight="false" outlineLevel="0" collapsed="false"/>
    <row r="2910" customFormat="false" ht="13.8" hidden="false" customHeight="false" outlineLevel="0" collapsed="false"/>
    <row r="2911" customFormat="false" ht="13.8" hidden="false" customHeight="false" outlineLevel="0" collapsed="false"/>
    <row r="2912" customFormat="false" ht="13.8" hidden="false" customHeight="false" outlineLevel="0" collapsed="false"/>
    <row r="2913" customFormat="false" ht="13.8" hidden="false" customHeight="false" outlineLevel="0" collapsed="false"/>
    <row r="2914" customFormat="false" ht="13.8" hidden="false" customHeight="false" outlineLevel="0" collapsed="false"/>
    <row r="2915" customFormat="false" ht="13.8" hidden="false" customHeight="false" outlineLevel="0" collapsed="false"/>
    <row r="2916" customFormat="false" ht="13.8" hidden="false" customHeight="false" outlineLevel="0" collapsed="false"/>
    <row r="2917" customFormat="false" ht="13.8" hidden="false" customHeight="false" outlineLevel="0" collapsed="false"/>
    <row r="2918" customFormat="false" ht="13.8" hidden="false" customHeight="false" outlineLevel="0" collapsed="false"/>
    <row r="2919" customFormat="false" ht="13.8" hidden="false" customHeight="false" outlineLevel="0" collapsed="false"/>
    <row r="2920" customFormat="false" ht="13.8" hidden="false" customHeight="false" outlineLevel="0" collapsed="false"/>
    <row r="2921" customFormat="false" ht="13.8" hidden="false" customHeight="false" outlineLevel="0" collapsed="false"/>
    <row r="2922" customFormat="false" ht="13.8" hidden="false" customHeight="false" outlineLevel="0" collapsed="false"/>
    <row r="2923" customFormat="false" ht="13.8" hidden="false" customHeight="false" outlineLevel="0" collapsed="false"/>
    <row r="2924" customFormat="false" ht="13.8" hidden="false" customHeight="false" outlineLevel="0" collapsed="false"/>
    <row r="2925" customFormat="false" ht="13.8" hidden="false" customHeight="false" outlineLevel="0" collapsed="false"/>
    <row r="2926" customFormat="false" ht="13.8" hidden="false" customHeight="false" outlineLevel="0" collapsed="false"/>
    <row r="2927" customFormat="false" ht="13.8" hidden="false" customHeight="false" outlineLevel="0" collapsed="false"/>
    <row r="2928" customFormat="false" ht="13.8" hidden="false" customHeight="false" outlineLevel="0" collapsed="false"/>
    <row r="2929" customFormat="false" ht="13.8" hidden="false" customHeight="false" outlineLevel="0" collapsed="false"/>
    <row r="2930" customFormat="false" ht="13.8" hidden="false" customHeight="false" outlineLevel="0" collapsed="false"/>
    <row r="2931" customFormat="false" ht="13.8" hidden="false" customHeight="false" outlineLevel="0" collapsed="false"/>
    <row r="2932" customFormat="false" ht="13.8" hidden="false" customHeight="false" outlineLevel="0" collapsed="false"/>
    <row r="2933" customFormat="false" ht="13.8" hidden="false" customHeight="false" outlineLevel="0" collapsed="false"/>
    <row r="2934" customFormat="false" ht="13.8" hidden="false" customHeight="false" outlineLevel="0" collapsed="false"/>
    <row r="2935" customFormat="false" ht="13.8" hidden="false" customHeight="false" outlineLevel="0" collapsed="false"/>
    <row r="2936" customFormat="false" ht="13.8" hidden="false" customHeight="false" outlineLevel="0" collapsed="false"/>
    <row r="2937" customFormat="false" ht="13.8" hidden="false" customHeight="false" outlineLevel="0" collapsed="false"/>
    <row r="2938" customFormat="false" ht="13.8" hidden="false" customHeight="false" outlineLevel="0" collapsed="false"/>
    <row r="2939" customFormat="false" ht="13.8" hidden="false" customHeight="false" outlineLevel="0" collapsed="false"/>
    <row r="2940" customFormat="false" ht="13.8" hidden="false" customHeight="false" outlineLevel="0" collapsed="false"/>
    <row r="2941" customFormat="false" ht="13.8" hidden="false" customHeight="false" outlineLevel="0" collapsed="false"/>
    <row r="2942" customFormat="false" ht="13.8" hidden="false" customHeight="false" outlineLevel="0" collapsed="false"/>
    <row r="2943" customFormat="false" ht="13.8" hidden="false" customHeight="false" outlineLevel="0" collapsed="false"/>
    <row r="2944" customFormat="false" ht="13.8" hidden="false" customHeight="false" outlineLevel="0" collapsed="false"/>
    <row r="2945" customFormat="false" ht="13.8" hidden="false" customHeight="false" outlineLevel="0" collapsed="false"/>
    <row r="2946" customFormat="false" ht="13.8" hidden="false" customHeight="false" outlineLevel="0" collapsed="false"/>
    <row r="2947" customFormat="false" ht="13.8" hidden="false" customHeight="false" outlineLevel="0" collapsed="false"/>
    <row r="2948" customFormat="false" ht="13.8" hidden="false" customHeight="false" outlineLevel="0" collapsed="false"/>
    <row r="2949" customFormat="false" ht="13.8" hidden="false" customHeight="false" outlineLevel="0" collapsed="false"/>
    <row r="2950" customFormat="false" ht="13.8" hidden="false" customHeight="false" outlineLevel="0" collapsed="false"/>
    <row r="2951" customFormat="false" ht="13.8" hidden="false" customHeight="false" outlineLevel="0" collapsed="false"/>
    <row r="2952" customFormat="false" ht="13.8" hidden="false" customHeight="false" outlineLevel="0" collapsed="false"/>
    <row r="2953" customFormat="false" ht="13.8" hidden="false" customHeight="false" outlineLevel="0" collapsed="false"/>
    <row r="2954" customFormat="false" ht="13.8" hidden="false" customHeight="false" outlineLevel="0" collapsed="false"/>
    <row r="2955" customFormat="false" ht="13.8" hidden="false" customHeight="false" outlineLevel="0" collapsed="false"/>
    <row r="2956" customFormat="false" ht="13.8" hidden="false" customHeight="false" outlineLevel="0" collapsed="false"/>
    <row r="2957" customFormat="false" ht="13.8" hidden="false" customHeight="false" outlineLevel="0" collapsed="false"/>
    <row r="2958" customFormat="false" ht="13.8" hidden="false" customHeight="false" outlineLevel="0" collapsed="false"/>
    <row r="2959" customFormat="false" ht="13.8" hidden="false" customHeight="false" outlineLevel="0" collapsed="false"/>
    <row r="2960" customFormat="false" ht="13.8" hidden="false" customHeight="false" outlineLevel="0" collapsed="false"/>
    <row r="2961" customFormat="false" ht="13.8" hidden="false" customHeight="false" outlineLevel="0" collapsed="false"/>
    <row r="2962" customFormat="false" ht="13.8" hidden="false" customHeight="false" outlineLevel="0" collapsed="false"/>
    <row r="2963" customFormat="false" ht="13.8" hidden="false" customHeight="false" outlineLevel="0" collapsed="false"/>
    <row r="2964" customFormat="false" ht="13.8" hidden="false" customHeight="false" outlineLevel="0" collapsed="false"/>
    <row r="2965" customFormat="false" ht="13.8" hidden="false" customHeight="false" outlineLevel="0" collapsed="false"/>
    <row r="2966" customFormat="false" ht="13.8" hidden="false" customHeight="false" outlineLevel="0" collapsed="false"/>
    <row r="2967" customFormat="false" ht="13.8" hidden="false" customHeight="false" outlineLevel="0" collapsed="false"/>
    <row r="2968" customFormat="false" ht="13.8" hidden="false" customHeight="false" outlineLevel="0" collapsed="false"/>
    <row r="2969" customFormat="false" ht="13.8" hidden="false" customHeight="false" outlineLevel="0" collapsed="false"/>
    <row r="2970" customFormat="false" ht="13.8" hidden="false" customHeight="false" outlineLevel="0" collapsed="false"/>
    <row r="2971" customFormat="false" ht="13.8" hidden="false" customHeight="false" outlineLevel="0" collapsed="false"/>
    <row r="2972" customFormat="false" ht="13.8" hidden="false" customHeight="false" outlineLevel="0" collapsed="false"/>
    <row r="2973" customFormat="false" ht="13.8" hidden="false" customHeight="false" outlineLevel="0" collapsed="false"/>
    <row r="2974" customFormat="false" ht="13.8" hidden="false" customHeight="false" outlineLevel="0" collapsed="false"/>
    <row r="2975" customFormat="false" ht="13.8" hidden="false" customHeight="false" outlineLevel="0" collapsed="false"/>
    <row r="2976" customFormat="false" ht="13.8" hidden="false" customHeight="false" outlineLevel="0" collapsed="false"/>
    <row r="2977" customFormat="false" ht="13.8" hidden="false" customHeight="false" outlineLevel="0" collapsed="false"/>
    <row r="2978" customFormat="false" ht="13.8" hidden="false" customHeight="false" outlineLevel="0" collapsed="false"/>
    <row r="2979" customFormat="false" ht="13.8" hidden="false" customHeight="false" outlineLevel="0" collapsed="false"/>
    <row r="2980" customFormat="false" ht="13.8" hidden="false" customHeight="false" outlineLevel="0" collapsed="false"/>
    <row r="2981" customFormat="false" ht="13.8" hidden="false" customHeight="false" outlineLevel="0" collapsed="false"/>
    <row r="2982" customFormat="false" ht="13.8" hidden="false" customHeight="false" outlineLevel="0" collapsed="false"/>
    <row r="2983" customFormat="false" ht="13.8" hidden="false" customHeight="false" outlineLevel="0" collapsed="false"/>
    <row r="2984" customFormat="false" ht="13.8" hidden="false" customHeight="false" outlineLevel="0" collapsed="false"/>
    <row r="2985" customFormat="false" ht="13.8" hidden="false" customHeight="false" outlineLevel="0" collapsed="false"/>
    <row r="2986" customFormat="false" ht="13.8" hidden="false" customHeight="false" outlineLevel="0" collapsed="false"/>
    <row r="2987" customFormat="false" ht="13.8" hidden="false" customHeight="false" outlineLevel="0" collapsed="false"/>
    <row r="2988" customFormat="false" ht="13.8" hidden="false" customHeight="false" outlineLevel="0" collapsed="false"/>
    <row r="2989" customFormat="false" ht="13.8" hidden="false" customHeight="false" outlineLevel="0" collapsed="false"/>
    <row r="2990" customFormat="false" ht="13.8" hidden="false" customHeight="false" outlineLevel="0" collapsed="false"/>
    <row r="2991" customFormat="false" ht="13.8" hidden="false" customHeight="false" outlineLevel="0" collapsed="false"/>
    <row r="2992" customFormat="false" ht="13.8" hidden="false" customHeight="false" outlineLevel="0" collapsed="false"/>
    <row r="2993" customFormat="false" ht="13.8" hidden="false" customHeight="false" outlineLevel="0" collapsed="false"/>
    <row r="2994" customFormat="false" ht="13.8" hidden="false" customHeight="false" outlineLevel="0" collapsed="false"/>
    <row r="2995" customFormat="false" ht="13.8" hidden="false" customHeight="false" outlineLevel="0" collapsed="false"/>
    <row r="2996" customFormat="false" ht="13.8" hidden="false" customHeight="false" outlineLevel="0" collapsed="false"/>
    <row r="2997" customFormat="false" ht="13.8" hidden="false" customHeight="false" outlineLevel="0" collapsed="false"/>
    <row r="2998" customFormat="false" ht="13.8" hidden="false" customHeight="false" outlineLevel="0" collapsed="false"/>
    <row r="2999" customFormat="false" ht="13.8" hidden="false" customHeight="false" outlineLevel="0" collapsed="false"/>
    <row r="3000" customFormat="false" ht="13.8" hidden="false" customHeight="false" outlineLevel="0" collapsed="false"/>
    <row r="3001" customFormat="false" ht="13.8" hidden="false" customHeight="false" outlineLevel="0" collapsed="false"/>
    <row r="3002" customFormat="false" ht="13.8" hidden="false" customHeight="false" outlineLevel="0" collapsed="false"/>
    <row r="3003" customFormat="false" ht="13.8" hidden="false" customHeight="false" outlineLevel="0" collapsed="false"/>
    <row r="3004" customFormat="false" ht="13.8" hidden="false" customHeight="false" outlineLevel="0" collapsed="false"/>
    <row r="3005" customFormat="false" ht="13.8" hidden="false" customHeight="false" outlineLevel="0" collapsed="false"/>
    <row r="3006" customFormat="false" ht="13.8" hidden="false" customHeight="false" outlineLevel="0" collapsed="false"/>
    <row r="3007" customFormat="false" ht="13.8" hidden="false" customHeight="false" outlineLevel="0" collapsed="false"/>
    <row r="3008" customFormat="false" ht="13.8" hidden="false" customHeight="false" outlineLevel="0" collapsed="false"/>
    <row r="3009" customFormat="false" ht="13.8" hidden="false" customHeight="false" outlineLevel="0" collapsed="false"/>
    <row r="3010" customFormat="false" ht="13.8" hidden="false" customHeight="false" outlineLevel="0" collapsed="false"/>
    <row r="3011" customFormat="false" ht="13.8" hidden="false" customHeight="false" outlineLevel="0" collapsed="false"/>
    <row r="3012" customFormat="false" ht="13.8" hidden="false" customHeight="false" outlineLevel="0" collapsed="false"/>
    <row r="3013" customFormat="false" ht="13.8" hidden="false" customHeight="false" outlineLevel="0" collapsed="false"/>
    <row r="3014" customFormat="false" ht="13.8" hidden="false" customHeight="false" outlineLevel="0" collapsed="false"/>
    <row r="3015" customFormat="false" ht="13.8" hidden="false" customHeight="false" outlineLevel="0" collapsed="false"/>
    <row r="3016" customFormat="false" ht="13.8" hidden="false" customHeight="false" outlineLevel="0" collapsed="false"/>
    <row r="3017" customFormat="false" ht="13.8" hidden="false" customHeight="false" outlineLevel="0" collapsed="false"/>
    <row r="3018" customFormat="false" ht="13.8" hidden="false" customHeight="false" outlineLevel="0" collapsed="false"/>
    <row r="3019" customFormat="false" ht="13.8" hidden="false" customHeight="false" outlineLevel="0" collapsed="false"/>
    <row r="3020" customFormat="false" ht="13.8" hidden="false" customHeight="false" outlineLevel="0" collapsed="false"/>
    <row r="3021" customFormat="false" ht="13.8" hidden="false" customHeight="false" outlineLevel="0" collapsed="false"/>
    <row r="3022" customFormat="false" ht="13.8" hidden="false" customHeight="false" outlineLevel="0" collapsed="false"/>
    <row r="3023" customFormat="false" ht="13.8" hidden="false" customHeight="false" outlineLevel="0" collapsed="false"/>
    <row r="3024" customFormat="false" ht="13.8" hidden="false" customHeight="false" outlineLevel="0" collapsed="false"/>
    <row r="3025" customFormat="false" ht="13.8" hidden="false" customHeight="false" outlineLevel="0" collapsed="false"/>
    <row r="3026" customFormat="false" ht="13.8" hidden="false" customHeight="false" outlineLevel="0" collapsed="false"/>
    <row r="3027" customFormat="false" ht="13.8" hidden="false" customHeight="false" outlineLevel="0" collapsed="false"/>
    <row r="3028" customFormat="false" ht="13.8" hidden="false" customHeight="false" outlineLevel="0" collapsed="false"/>
    <row r="3029" customFormat="false" ht="13.8" hidden="false" customHeight="false" outlineLevel="0" collapsed="false"/>
    <row r="3030" customFormat="false" ht="13.8" hidden="false" customHeight="false" outlineLevel="0" collapsed="false"/>
    <row r="3031" customFormat="false" ht="13.8" hidden="false" customHeight="false" outlineLevel="0" collapsed="false"/>
    <row r="3032" customFormat="false" ht="13.8" hidden="false" customHeight="false" outlineLevel="0" collapsed="false"/>
    <row r="3033" customFormat="false" ht="13.8" hidden="false" customHeight="false" outlineLevel="0" collapsed="false"/>
    <row r="3034" customFormat="false" ht="13.8" hidden="false" customHeight="false" outlineLevel="0" collapsed="false"/>
    <row r="3035" customFormat="false" ht="13.8" hidden="false" customHeight="false" outlineLevel="0" collapsed="false"/>
    <row r="3036" customFormat="false" ht="13.8" hidden="false" customHeight="false" outlineLevel="0" collapsed="false"/>
    <row r="3037" customFormat="false" ht="13.8" hidden="false" customHeight="false" outlineLevel="0" collapsed="false"/>
    <row r="3038" customFormat="false" ht="13.8" hidden="false" customHeight="false" outlineLevel="0" collapsed="false"/>
    <row r="3039" customFormat="false" ht="13.8" hidden="false" customHeight="false" outlineLevel="0" collapsed="false"/>
    <row r="3040" customFormat="false" ht="13.8" hidden="false" customHeight="false" outlineLevel="0" collapsed="false"/>
    <row r="3041" customFormat="false" ht="13.8" hidden="false" customHeight="false" outlineLevel="0" collapsed="false"/>
    <row r="3042" customFormat="false" ht="13.8" hidden="false" customHeight="false" outlineLevel="0" collapsed="false"/>
    <row r="3043" customFormat="false" ht="13.8" hidden="false" customHeight="false" outlineLevel="0" collapsed="false"/>
    <row r="3044" customFormat="false" ht="13.8" hidden="false" customHeight="false" outlineLevel="0" collapsed="false"/>
    <row r="3045" customFormat="false" ht="13.8" hidden="false" customHeight="false" outlineLevel="0" collapsed="false"/>
    <row r="3046" customFormat="false" ht="13.8" hidden="false" customHeight="false" outlineLevel="0" collapsed="false"/>
    <row r="3047" customFormat="false" ht="13.8" hidden="false" customHeight="false" outlineLevel="0" collapsed="false"/>
    <row r="3048" customFormat="false" ht="13.8" hidden="false" customHeight="false" outlineLevel="0" collapsed="false"/>
    <row r="3049" customFormat="false" ht="13.8" hidden="false" customHeight="false" outlineLevel="0" collapsed="false"/>
    <row r="3050" customFormat="false" ht="13.8" hidden="false" customHeight="false" outlineLevel="0" collapsed="false"/>
    <row r="3051" customFormat="false" ht="13.8" hidden="false" customHeight="false" outlineLevel="0" collapsed="false"/>
    <row r="3052" customFormat="false" ht="13.8" hidden="false" customHeight="false" outlineLevel="0" collapsed="false"/>
    <row r="3053" customFormat="false" ht="13.8" hidden="false" customHeight="false" outlineLevel="0" collapsed="false"/>
    <row r="3054" customFormat="false" ht="13.8" hidden="false" customHeight="false" outlineLevel="0" collapsed="false"/>
    <row r="3055" customFormat="false" ht="13.8" hidden="false" customHeight="false" outlineLevel="0" collapsed="false"/>
    <row r="3056" customFormat="false" ht="13.8" hidden="false" customHeight="false" outlineLevel="0" collapsed="false"/>
    <row r="3057" customFormat="false" ht="13.8" hidden="false" customHeight="false" outlineLevel="0" collapsed="false"/>
    <row r="3058" customFormat="false" ht="13.8" hidden="false" customHeight="false" outlineLevel="0" collapsed="false"/>
    <row r="3059" customFormat="false" ht="13.8" hidden="false" customHeight="false" outlineLevel="0" collapsed="false"/>
    <row r="3060" customFormat="false" ht="13.8" hidden="false" customHeight="false" outlineLevel="0" collapsed="false"/>
    <row r="3061" customFormat="false" ht="13.8" hidden="false" customHeight="false" outlineLevel="0" collapsed="false"/>
    <row r="3062" customFormat="false" ht="13.8" hidden="false" customHeight="false" outlineLevel="0" collapsed="false"/>
    <row r="3063" customFormat="false" ht="13.8" hidden="false" customHeight="false" outlineLevel="0" collapsed="false"/>
    <row r="3064" customFormat="false" ht="13.8" hidden="false" customHeight="false" outlineLevel="0" collapsed="false"/>
    <row r="3065" customFormat="false" ht="13.8" hidden="false" customHeight="false" outlineLevel="0" collapsed="false"/>
    <row r="3066" customFormat="false" ht="13.8" hidden="false" customHeight="false" outlineLevel="0" collapsed="false"/>
    <row r="3067" customFormat="false" ht="13.8" hidden="false" customHeight="false" outlineLevel="0" collapsed="false"/>
    <row r="3068" customFormat="false" ht="13.8" hidden="false" customHeight="false" outlineLevel="0" collapsed="false"/>
    <row r="3069" customFormat="false" ht="13.8" hidden="false" customHeight="false" outlineLevel="0" collapsed="false"/>
    <row r="3070" customFormat="false" ht="13.8" hidden="false" customHeight="false" outlineLevel="0" collapsed="false"/>
    <row r="3071" customFormat="false" ht="13.8" hidden="false" customHeight="false" outlineLevel="0" collapsed="false"/>
    <row r="3072" customFormat="false" ht="13.8" hidden="false" customHeight="false" outlineLevel="0" collapsed="false"/>
    <row r="3073" customFormat="false" ht="13.8" hidden="false" customHeight="false" outlineLevel="0" collapsed="false"/>
    <row r="3074" customFormat="false" ht="13.8" hidden="false" customHeight="false" outlineLevel="0" collapsed="false"/>
    <row r="3075" customFormat="false" ht="13.8" hidden="false" customHeight="false" outlineLevel="0" collapsed="false"/>
    <row r="3076" customFormat="false" ht="13.8" hidden="false" customHeight="false" outlineLevel="0" collapsed="false"/>
    <row r="3077" customFormat="false" ht="13.8" hidden="false" customHeight="false" outlineLevel="0" collapsed="false"/>
    <row r="3078" customFormat="false" ht="13.8" hidden="false" customHeight="false" outlineLevel="0" collapsed="false"/>
    <row r="3079" customFormat="false" ht="13.8" hidden="false" customHeight="false" outlineLevel="0" collapsed="false"/>
    <row r="3080" customFormat="false" ht="13.8" hidden="false" customHeight="false" outlineLevel="0" collapsed="false"/>
    <row r="3081" customFormat="false" ht="13.8" hidden="false" customHeight="false" outlineLevel="0" collapsed="false"/>
    <row r="3082" customFormat="false" ht="13.8" hidden="false" customHeight="false" outlineLevel="0" collapsed="false"/>
    <row r="3083" customFormat="false" ht="13.8" hidden="false" customHeight="false" outlineLevel="0" collapsed="false"/>
    <row r="3084" customFormat="false" ht="13.8" hidden="false" customHeight="false" outlineLevel="0" collapsed="false"/>
    <row r="3085" customFormat="false" ht="13.8" hidden="false" customHeight="false" outlineLevel="0" collapsed="false"/>
    <row r="3086" customFormat="false" ht="13.8" hidden="false" customHeight="false" outlineLevel="0" collapsed="false"/>
    <row r="3087" customFormat="false" ht="13.8" hidden="false" customHeight="false" outlineLevel="0" collapsed="false"/>
    <row r="3088" customFormat="false" ht="13.8" hidden="false" customHeight="false" outlineLevel="0" collapsed="false"/>
    <row r="3089" customFormat="false" ht="13.8" hidden="false" customHeight="false" outlineLevel="0" collapsed="false"/>
    <row r="3090" customFormat="false" ht="13.8" hidden="false" customHeight="false" outlineLevel="0" collapsed="false"/>
    <row r="3091" customFormat="false" ht="13.8" hidden="false" customHeight="false" outlineLevel="0" collapsed="false"/>
    <row r="3092" customFormat="false" ht="13.8" hidden="false" customHeight="false" outlineLevel="0" collapsed="false"/>
    <row r="3093" customFormat="false" ht="13.8" hidden="false" customHeight="false" outlineLevel="0" collapsed="false"/>
    <row r="3094" customFormat="false" ht="13.8" hidden="false" customHeight="false" outlineLevel="0" collapsed="false"/>
    <row r="3095" customFormat="false" ht="13.8" hidden="false" customHeight="false" outlineLevel="0" collapsed="false"/>
    <row r="3096" customFormat="false" ht="13.8" hidden="false" customHeight="false" outlineLevel="0" collapsed="false"/>
    <row r="3097" customFormat="false" ht="13.8" hidden="false" customHeight="false" outlineLevel="0" collapsed="false"/>
    <row r="3098" customFormat="false" ht="13.8" hidden="false" customHeight="false" outlineLevel="0" collapsed="false"/>
    <row r="3099" customFormat="false" ht="13.8" hidden="false" customHeight="false" outlineLevel="0" collapsed="false"/>
    <row r="3100" customFormat="false" ht="13.8" hidden="false" customHeight="false" outlineLevel="0" collapsed="false"/>
    <row r="3101" customFormat="false" ht="13.8" hidden="false" customHeight="false" outlineLevel="0" collapsed="false"/>
    <row r="3102" customFormat="false" ht="13.8" hidden="false" customHeight="false" outlineLevel="0" collapsed="false"/>
    <row r="3103" customFormat="false" ht="13.8" hidden="false" customHeight="false" outlineLevel="0" collapsed="false"/>
    <row r="3104" customFormat="false" ht="13.8" hidden="false" customHeight="false" outlineLevel="0" collapsed="false"/>
    <row r="3105" customFormat="false" ht="13.8" hidden="false" customHeight="false" outlineLevel="0" collapsed="false"/>
    <row r="3106" customFormat="false" ht="13.8" hidden="false" customHeight="false" outlineLevel="0" collapsed="false"/>
    <row r="3107" customFormat="false" ht="13.8" hidden="false" customHeight="false" outlineLevel="0" collapsed="false"/>
    <row r="3108" customFormat="false" ht="13.8" hidden="false" customHeight="false" outlineLevel="0" collapsed="false"/>
    <row r="3109" customFormat="false" ht="13.8" hidden="false" customHeight="false" outlineLevel="0" collapsed="false"/>
    <row r="3110" customFormat="false" ht="13.8" hidden="false" customHeight="false" outlineLevel="0" collapsed="false"/>
    <row r="3111" customFormat="false" ht="13.8" hidden="false" customHeight="false" outlineLevel="0" collapsed="false"/>
    <row r="3112" customFormat="false" ht="13.8" hidden="false" customHeight="false" outlineLevel="0" collapsed="false"/>
    <row r="3113" customFormat="false" ht="13.8" hidden="false" customHeight="false" outlineLevel="0" collapsed="false"/>
    <row r="3114" customFormat="false" ht="13.8" hidden="false" customHeight="false" outlineLevel="0" collapsed="false"/>
    <row r="3115" customFormat="false" ht="13.8" hidden="false" customHeight="false" outlineLevel="0" collapsed="false"/>
    <row r="3116" customFormat="false" ht="13.8" hidden="false" customHeight="false" outlineLevel="0" collapsed="false"/>
    <row r="3117" customFormat="false" ht="13.8" hidden="false" customHeight="false" outlineLevel="0" collapsed="false"/>
    <row r="3118" customFormat="false" ht="13.8" hidden="false" customHeight="false" outlineLevel="0" collapsed="false"/>
    <row r="3119" customFormat="false" ht="13.8" hidden="false" customHeight="false" outlineLevel="0" collapsed="false"/>
    <row r="3120" customFormat="false" ht="13.8" hidden="false" customHeight="false" outlineLevel="0" collapsed="false"/>
    <row r="3121" customFormat="false" ht="13.8" hidden="false" customHeight="false" outlineLevel="0" collapsed="false"/>
    <row r="3122" customFormat="false" ht="13.8" hidden="false" customHeight="false" outlineLevel="0" collapsed="false"/>
    <row r="3123" customFormat="false" ht="13.8" hidden="false" customHeight="false" outlineLevel="0" collapsed="false"/>
    <row r="3124" customFormat="false" ht="13.8" hidden="false" customHeight="false" outlineLevel="0" collapsed="false"/>
    <row r="3125" customFormat="false" ht="13.8" hidden="false" customHeight="false" outlineLevel="0" collapsed="false"/>
    <row r="3126" customFormat="false" ht="13.8" hidden="false" customHeight="false" outlineLevel="0" collapsed="false"/>
    <row r="3127" customFormat="false" ht="13.8" hidden="false" customHeight="false" outlineLevel="0" collapsed="false"/>
    <row r="3128" customFormat="false" ht="13.8" hidden="false" customHeight="false" outlineLevel="0" collapsed="false"/>
    <row r="3129" customFormat="false" ht="13.8" hidden="false" customHeight="false" outlineLevel="0" collapsed="false"/>
    <row r="3130" customFormat="false" ht="13.8" hidden="false" customHeight="false" outlineLevel="0" collapsed="false"/>
    <row r="3131" customFormat="false" ht="13.8" hidden="false" customHeight="false" outlineLevel="0" collapsed="false"/>
    <row r="3132" customFormat="false" ht="13.8" hidden="false" customHeight="false" outlineLevel="0" collapsed="false"/>
    <row r="3133" customFormat="false" ht="13.8" hidden="false" customHeight="false" outlineLevel="0" collapsed="false"/>
    <row r="3134" customFormat="false" ht="13.8" hidden="false" customHeight="false" outlineLevel="0" collapsed="false"/>
    <row r="3135" customFormat="false" ht="13.8" hidden="false" customHeight="false" outlineLevel="0" collapsed="false"/>
    <row r="3136" customFormat="false" ht="13.8" hidden="false" customHeight="false" outlineLevel="0" collapsed="false"/>
    <row r="3137" customFormat="false" ht="13.8" hidden="false" customHeight="false" outlineLevel="0" collapsed="false"/>
    <row r="3138" customFormat="false" ht="13.8" hidden="false" customHeight="false" outlineLevel="0" collapsed="false"/>
    <row r="3139" customFormat="false" ht="13.8" hidden="false" customHeight="false" outlineLevel="0" collapsed="false"/>
    <row r="3140" customFormat="false" ht="13.8" hidden="false" customHeight="false" outlineLevel="0" collapsed="false"/>
    <row r="3141" customFormat="false" ht="13.8" hidden="false" customHeight="false" outlineLevel="0" collapsed="false"/>
    <row r="3142" customFormat="false" ht="13.8" hidden="false" customHeight="false" outlineLevel="0" collapsed="false"/>
    <row r="3143" customFormat="false" ht="13.8" hidden="false" customHeight="false" outlineLevel="0" collapsed="false"/>
    <row r="3144" customFormat="false" ht="13.8" hidden="false" customHeight="false" outlineLevel="0" collapsed="false"/>
    <row r="3145" customFormat="false" ht="13.8" hidden="false" customHeight="false" outlineLevel="0" collapsed="false"/>
    <row r="3146" customFormat="false" ht="13.8" hidden="false" customHeight="false" outlineLevel="0" collapsed="false"/>
    <row r="3147" customFormat="false" ht="13.8" hidden="false" customHeight="false" outlineLevel="0" collapsed="false"/>
    <row r="3148" customFormat="false" ht="13.8" hidden="false" customHeight="false" outlineLevel="0" collapsed="false"/>
    <row r="3149" customFormat="false" ht="13.8" hidden="false" customHeight="false" outlineLevel="0" collapsed="false"/>
    <row r="3150" customFormat="false" ht="13.8" hidden="false" customHeight="false" outlineLevel="0" collapsed="false"/>
    <row r="3151" customFormat="false" ht="13.8" hidden="false" customHeight="false" outlineLevel="0" collapsed="false"/>
    <row r="3152" customFormat="false" ht="13.8" hidden="false" customHeight="false" outlineLevel="0" collapsed="false"/>
    <row r="3153" customFormat="false" ht="13.8" hidden="false" customHeight="false" outlineLevel="0" collapsed="false"/>
    <row r="3154" customFormat="false" ht="13.8" hidden="false" customHeight="false" outlineLevel="0" collapsed="false"/>
    <row r="3155" customFormat="false" ht="13.8" hidden="false" customHeight="false" outlineLevel="0" collapsed="false"/>
    <row r="3156" customFormat="false" ht="13.8" hidden="false" customHeight="false" outlineLevel="0" collapsed="false"/>
    <row r="3157" customFormat="false" ht="13.8" hidden="false" customHeight="false" outlineLevel="0" collapsed="false"/>
    <row r="3158" customFormat="false" ht="13.8" hidden="false" customHeight="false" outlineLevel="0" collapsed="false"/>
    <row r="3159" customFormat="false" ht="13.8" hidden="false" customHeight="false" outlineLevel="0" collapsed="false"/>
    <row r="3160" customFormat="false" ht="13.8" hidden="false" customHeight="false" outlineLevel="0" collapsed="false"/>
    <row r="3161" customFormat="false" ht="13.8" hidden="false" customHeight="false" outlineLevel="0" collapsed="false"/>
    <row r="3162" customFormat="false" ht="13.8" hidden="false" customHeight="false" outlineLevel="0" collapsed="false"/>
    <row r="3163" customFormat="false" ht="13.8" hidden="false" customHeight="false" outlineLevel="0" collapsed="false"/>
    <row r="3164" customFormat="false" ht="13.8" hidden="false" customHeight="false" outlineLevel="0" collapsed="false"/>
    <row r="3165" customFormat="false" ht="13.8" hidden="false" customHeight="false" outlineLevel="0" collapsed="false"/>
    <row r="3166" customFormat="false" ht="13.8" hidden="false" customHeight="false" outlineLevel="0" collapsed="false"/>
    <row r="3167" customFormat="false" ht="13.8" hidden="false" customHeight="false" outlineLevel="0" collapsed="false"/>
    <row r="3168" customFormat="false" ht="13.8" hidden="false" customHeight="false" outlineLevel="0" collapsed="false"/>
    <row r="3169" customFormat="false" ht="13.8" hidden="false" customHeight="false" outlineLevel="0" collapsed="false"/>
    <row r="3170" customFormat="false" ht="13.8" hidden="false" customHeight="false" outlineLevel="0" collapsed="false"/>
    <row r="3171" customFormat="false" ht="13.8" hidden="false" customHeight="false" outlineLevel="0" collapsed="false"/>
    <row r="3172" customFormat="false" ht="13.8" hidden="false" customHeight="false" outlineLevel="0" collapsed="false"/>
    <row r="3173" customFormat="false" ht="13.8" hidden="false" customHeight="false" outlineLevel="0" collapsed="false"/>
    <row r="3174" customFormat="false" ht="13.8" hidden="false" customHeight="false" outlineLevel="0" collapsed="false"/>
    <row r="3175" customFormat="false" ht="13.8" hidden="false" customHeight="false" outlineLevel="0" collapsed="false"/>
    <row r="3176" customFormat="false" ht="13.8" hidden="false" customHeight="false" outlineLevel="0" collapsed="false"/>
    <row r="3177" customFormat="false" ht="13.8" hidden="false" customHeight="false" outlineLevel="0" collapsed="false"/>
    <row r="3178" customFormat="false" ht="13.8" hidden="false" customHeight="false" outlineLevel="0" collapsed="false"/>
    <row r="3179" customFormat="false" ht="13.8" hidden="false" customHeight="false" outlineLevel="0" collapsed="false"/>
    <row r="3180" customFormat="false" ht="13.8" hidden="false" customHeight="false" outlineLevel="0" collapsed="false"/>
    <row r="3181" customFormat="false" ht="13.8" hidden="false" customHeight="false" outlineLevel="0" collapsed="false"/>
    <row r="3182" customFormat="false" ht="13.8" hidden="false" customHeight="false" outlineLevel="0" collapsed="false"/>
    <row r="3183" customFormat="false" ht="13.8" hidden="false" customHeight="false" outlineLevel="0" collapsed="false"/>
    <row r="3184" customFormat="false" ht="13.8" hidden="false" customHeight="false" outlineLevel="0" collapsed="false"/>
    <row r="3185" customFormat="false" ht="13.8" hidden="false" customHeight="false" outlineLevel="0" collapsed="false"/>
    <row r="3186" customFormat="false" ht="13.8" hidden="false" customHeight="false" outlineLevel="0" collapsed="false"/>
    <row r="3187" customFormat="false" ht="13.8" hidden="false" customHeight="false" outlineLevel="0" collapsed="false"/>
    <row r="3188" customFormat="false" ht="13.8" hidden="false" customHeight="false" outlineLevel="0" collapsed="false"/>
    <row r="3189" customFormat="false" ht="13.8" hidden="false" customHeight="false" outlineLevel="0" collapsed="false"/>
    <row r="3190" customFormat="false" ht="13.8" hidden="false" customHeight="false" outlineLevel="0" collapsed="false"/>
    <row r="3191" customFormat="false" ht="13.8" hidden="false" customHeight="false" outlineLevel="0" collapsed="false"/>
    <row r="3192" customFormat="false" ht="13.8" hidden="false" customHeight="false" outlineLevel="0" collapsed="false"/>
    <row r="3193" customFormat="false" ht="13.8" hidden="false" customHeight="false" outlineLevel="0" collapsed="false"/>
    <row r="3194" customFormat="false" ht="13.8" hidden="false" customHeight="false" outlineLevel="0" collapsed="false"/>
    <row r="3195" customFormat="false" ht="13.8" hidden="false" customHeight="false" outlineLevel="0" collapsed="false"/>
    <row r="3196" customFormat="false" ht="13.8" hidden="false" customHeight="false" outlineLevel="0" collapsed="false"/>
    <row r="3197" customFormat="false" ht="13.8" hidden="false" customHeight="false" outlineLevel="0" collapsed="false"/>
    <row r="3198" customFormat="false" ht="13.8" hidden="false" customHeight="false" outlineLevel="0" collapsed="false"/>
    <row r="3199" customFormat="false" ht="13.8" hidden="false" customHeight="false" outlineLevel="0" collapsed="false"/>
    <row r="3200" customFormat="false" ht="13.8" hidden="false" customHeight="false" outlineLevel="0" collapsed="false"/>
    <row r="3201" customFormat="false" ht="13.8" hidden="false" customHeight="false" outlineLevel="0" collapsed="false"/>
    <row r="3202" customFormat="false" ht="13.8" hidden="false" customHeight="false" outlineLevel="0" collapsed="false"/>
    <row r="3203" customFormat="false" ht="13.8" hidden="false" customHeight="false" outlineLevel="0" collapsed="false"/>
    <row r="3204" customFormat="false" ht="13.8" hidden="false" customHeight="false" outlineLevel="0" collapsed="false"/>
    <row r="3205" customFormat="false" ht="13.8" hidden="false" customHeight="false" outlineLevel="0" collapsed="false"/>
    <row r="3206" customFormat="false" ht="13.8" hidden="false" customHeight="false" outlineLevel="0" collapsed="false"/>
    <row r="3207" customFormat="false" ht="13.8" hidden="false" customHeight="false" outlineLevel="0" collapsed="false"/>
    <row r="3208" customFormat="false" ht="13.8" hidden="false" customHeight="false" outlineLevel="0" collapsed="false"/>
    <row r="3209" customFormat="false" ht="13.8" hidden="false" customHeight="false" outlineLevel="0" collapsed="false"/>
    <row r="3210" customFormat="false" ht="13.8" hidden="false" customHeight="false" outlineLevel="0" collapsed="false"/>
    <row r="3211" customFormat="false" ht="13.8" hidden="false" customHeight="false" outlineLevel="0" collapsed="false"/>
    <row r="3212" customFormat="false" ht="13.8" hidden="false" customHeight="false" outlineLevel="0" collapsed="false"/>
    <row r="3213" customFormat="false" ht="13.8" hidden="false" customHeight="false" outlineLevel="0" collapsed="false"/>
    <row r="3214" customFormat="false" ht="13.8" hidden="false" customHeight="false" outlineLevel="0" collapsed="false"/>
    <row r="3215" customFormat="false" ht="13.8" hidden="false" customHeight="false" outlineLevel="0" collapsed="false"/>
    <row r="3216" customFormat="false" ht="13.8" hidden="false" customHeight="false" outlineLevel="0" collapsed="false"/>
    <row r="3217" customFormat="false" ht="13.8" hidden="false" customHeight="false" outlineLevel="0" collapsed="false"/>
    <row r="3218" customFormat="false" ht="13.8" hidden="false" customHeight="false" outlineLevel="0" collapsed="false"/>
    <row r="3219" customFormat="false" ht="13.8" hidden="false" customHeight="false" outlineLevel="0" collapsed="false"/>
    <row r="3220" customFormat="false" ht="13.8" hidden="false" customHeight="false" outlineLevel="0" collapsed="false"/>
    <row r="3221" customFormat="false" ht="13.8" hidden="false" customHeight="false" outlineLevel="0" collapsed="false"/>
    <row r="3222" customFormat="false" ht="13.8" hidden="false" customHeight="false" outlineLevel="0" collapsed="false"/>
    <row r="3223" customFormat="false" ht="13.8" hidden="false" customHeight="false" outlineLevel="0" collapsed="false"/>
    <row r="3224" customFormat="false" ht="13.8" hidden="false" customHeight="false" outlineLevel="0" collapsed="false"/>
    <row r="3225" customFormat="false" ht="13.8" hidden="false" customHeight="false" outlineLevel="0" collapsed="false"/>
    <row r="3226" customFormat="false" ht="13.8" hidden="false" customHeight="false" outlineLevel="0" collapsed="false"/>
    <row r="3227" customFormat="false" ht="13.8" hidden="false" customHeight="false" outlineLevel="0" collapsed="false"/>
    <row r="3228" customFormat="false" ht="13.8" hidden="false" customHeight="false" outlineLevel="0" collapsed="false"/>
    <row r="3229" customFormat="false" ht="13.8" hidden="false" customHeight="false" outlineLevel="0" collapsed="false"/>
    <row r="3230" customFormat="false" ht="13.8" hidden="false" customHeight="false" outlineLevel="0" collapsed="false"/>
    <row r="3231" customFormat="false" ht="13.8" hidden="false" customHeight="false" outlineLevel="0" collapsed="false"/>
    <row r="3232" customFormat="false" ht="13.8" hidden="false" customHeight="false" outlineLevel="0" collapsed="false"/>
    <row r="3233" customFormat="false" ht="13.8" hidden="false" customHeight="false" outlineLevel="0" collapsed="false"/>
    <row r="3234" customFormat="false" ht="13.8" hidden="false" customHeight="false" outlineLevel="0" collapsed="false"/>
    <row r="3235" customFormat="false" ht="13.8" hidden="false" customHeight="false" outlineLevel="0" collapsed="false"/>
    <row r="3236" customFormat="false" ht="13.8" hidden="false" customHeight="false" outlineLevel="0" collapsed="false"/>
    <row r="3237" customFormat="false" ht="13.8" hidden="false" customHeight="false" outlineLevel="0" collapsed="false"/>
    <row r="3238" customFormat="false" ht="13.8" hidden="false" customHeight="false" outlineLevel="0" collapsed="false"/>
    <row r="3239" customFormat="false" ht="13.8" hidden="false" customHeight="false" outlineLevel="0" collapsed="false"/>
    <row r="3240" customFormat="false" ht="13.8" hidden="false" customHeight="false" outlineLevel="0" collapsed="false"/>
    <row r="3241" customFormat="false" ht="13.8" hidden="false" customHeight="false" outlineLevel="0" collapsed="false"/>
    <row r="3242" customFormat="false" ht="13.8" hidden="false" customHeight="false" outlineLevel="0" collapsed="false"/>
    <row r="3243" customFormat="false" ht="13.8" hidden="false" customHeight="false" outlineLevel="0" collapsed="false"/>
    <row r="3244" customFormat="false" ht="13.8" hidden="false" customHeight="false" outlineLevel="0" collapsed="false"/>
    <row r="3245" customFormat="false" ht="13.8" hidden="false" customHeight="false" outlineLevel="0" collapsed="false"/>
    <row r="3246" customFormat="false" ht="13.8" hidden="false" customHeight="false" outlineLevel="0" collapsed="false"/>
    <row r="3247" customFormat="false" ht="13.8" hidden="false" customHeight="false" outlineLevel="0" collapsed="false"/>
    <row r="3248" customFormat="false" ht="13.8" hidden="false" customHeight="false" outlineLevel="0" collapsed="false"/>
    <row r="3249" customFormat="false" ht="13.8" hidden="false" customHeight="false" outlineLevel="0" collapsed="false"/>
    <row r="3250" customFormat="false" ht="13.8" hidden="false" customHeight="false" outlineLevel="0" collapsed="false"/>
    <row r="3251" customFormat="false" ht="13.8" hidden="false" customHeight="false" outlineLevel="0" collapsed="false"/>
    <row r="3252" customFormat="false" ht="13.8" hidden="false" customHeight="false" outlineLevel="0" collapsed="false"/>
    <row r="3253" customFormat="false" ht="13.8" hidden="false" customHeight="false" outlineLevel="0" collapsed="false"/>
    <row r="3254" customFormat="false" ht="13.8" hidden="false" customHeight="false" outlineLevel="0" collapsed="false"/>
    <row r="3255" customFormat="false" ht="13.8" hidden="false" customHeight="false" outlineLevel="0" collapsed="false"/>
    <row r="3256" customFormat="false" ht="13.8" hidden="false" customHeight="false" outlineLevel="0" collapsed="false"/>
    <row r="3257" customFormat="false" ht="13.8" hidden="false" customHeight="false" outlineLevel="0" collapsed="false"/>
    <row r="3258" customFormat="false" ht="13.8" hidden="false" customHeight="false" outlineLevel="0" collapsed="false"/>
    <row r="3259" customFormat="false" ht="13.8" hidden="false" customHeight="false" outlineLevel="0" collapsed="false"/>
    <row r="3260" customFormat="false" ht="13.8" hidden="false" customHeight="false" outlineLevel="0" collapsed="false"/>
    <row r="3261" customFormat="false" ht="13.8" hidden="false" customHeight="false" outlineLevel="0" collapsed="false"/>
    <row r="3262" customFormat="false" ht="13.8" hidden="false" customHeight="false" outlineLevel="0" collapsed="false"/>
    <row r="3263" customFormat="false" ht="13.8" hidden="false" customHeight="false" outlineLevel="0" collapsed="false"/>
    <row r="3264" customFormat="false" ht="13.8" hidden="false" customHeight="false" outlineLevel="0" collapsed="false"/>
    <row r="3265" customFormat="false" ht="13.8" hidden="false" customHeight="false" outlineLevel="0" collapsed="false"/>
    <row r="3266" customFormat="false" ht="13.8" hidden="false" customHeight="false" outlineLevel="0" collapsed="false"/>
    <row r="3267" customFormat="false" ht="13.8" hidden="false" customHeight="false" outlineLevel="0" collapsed="false"/>
    <row r="3268" customFormat="false" ht="13.8" hidden="false" customHeight="false" outlineLevel="0" collapsed="false"/>
    <row r="3269" customFormat="false" ht="13.8" hidden="false" customHeight="false" outlineLevel="0" collapsed="false"/>
    <row r="3270" customFormat="false" ht="13.8" hidden="false" customHeight="false" outlineLevel="0" collapsed="false"/>
    <row r="3271" customFormat="false" ht="13.8" hidden="false" customHeight="false" outlineLevel="0" collapsed="false"/>
    <row r="3272" customFormat="false" ht="13.8" hidden="false" customHeight="false" outlineLevel="0" collapsed="false"/>
    <row r="3273" customFormat="false" ht="13.8" hidden="false" customHeight="false" outlineLevel="0" collapsed="false"/>
    <row r="3274" customFormat="false" ht="13.8" hidden="false" customHeight="false" outlineLevel="0" collapsed="false"/>
    <row r="3275" customFormat="false" ht="13.8" hidden="false" customHeight="false" outlineLevel="0" collapsed="false"/>
    <row r="3276" customFormat="false" ht="13.8" hidden="false" customHeight="false" outlineLevel="0" collapsed="false"/>
    <row r="3277" customFormat="false" ht="13.8" hidden="false" customHeight="false" outlineLevel="0" collapsed="false"/>
    <row r="3278" customFormat="false" ht="13.8" hidden="false" customHeight="false" outlineLevel="0" collapsed="false"/>
    <row r="3279" customFormat="false" ht="13.8" hidden="false" customHeight="false" outlineLevel="0" collapsed="false"/>
    <row r="3280" customFormat="false" ht="13.8" hidden="false" customHeight="false" outlineLevel="0" collapsed="false"/>
    <row r="3281" customFormat="false" ht="13.8" hidden="false" customHeight="false" outlineLevel="0" collapsed="false"/>
    <row r="3282" customFormat="false" ht="13.8" hidden="false" customHeight="false" outlineLevel="0" collapsed="false"/>
    <row r="3283" customFormat="false" ht="13.8" hidden="false" customHeight="false" outlineLevel="0" collapsed="false"/>
    <row r="3284" customFormat="false" ht="13.8" hidden="false" customHeight="false" outlineLevel="0" collapsed="false"/>
    <row r="3285" customFormat="false" ht="13.8" hidden="false" customHeight="false" outlineLevel="0" collapsed="false"/>
    <row r="3286" customFormat="false" ht="13.8" hidden="false" customHeight="false" outlineLevel="0" collapsed="false"/>
    <row r="3287" customFormat="false" ht="13.8" hidden="false" customHeight="false" outlineLevel="0" collapsed="false"/>
    <row r="3288" customFormat="false" ht="13.8" hidden="false" customHeight="false" outlineLevel="0" collapsed="false"/>
    <row r="3289" customFormat="false" ht="13.8" hidden="false" customHeight="false" outlineLevel="0" collapsed="false"/>
    <row r="3290" customFormat="false" ht="13.8" hidden="false" customHeight="false" outlineLevel="0" collapsed="false"/>
    <row r="3291" customFormat="false" ht="13.8" hidden="false" customHeight="false" outlineLevel="0" collapsed="false"/>
    <row r="3292" customFormat="false" ht="13.8" hidden="false" customHeight="false" outlineLevel="0" collapsed="false"/>
    <row r="3293" customFormat="false" ht="13.8" hidden="false" customHeight="false" outlineLevel="0" collapsed="false"/>
    <row r="3294" customFormat="false" ht="13.8" hidden="false" customHeight="false" outlineLevel="0" collapsed="false"/>
    <row r="3295" customFormat="false" ht="13.8" hidden="false" customHeight="false" outlineLevel="0" collapsed="false"/>
    <row r="3296" customFormat="false" ht="13.8" hidden="false" customHeight="false" outlineLevel="0" collapsed="false"/>
    <row r="3297" customFormat="false" ht="13.8" hidden="false" customHeight="false" outlineLevel="0" collapsed="false"/>
    <row r="3298" customFormat="false" ht="13.8" hidden="false" customHeight="false" outlineLevel="0" collapsed="false"/>
    <row r="3299" customFormat="false" ht="13.8" hidden="false" customHeight="false" outlineLevel="0" collapsed="false"/>
    <row r="3300" customFormat="false" ht="13.8" hidden="false" customHeight="false" outlineLevel="0" collapsed="false"/>
    <row r="3301" customFormat="false" ht="13.8" hidden="false" customHeight="false" outlineLevel="0" collapsed="false"/>
    <row r="3302" customFormat="false" ht="13.8" hidden="false" customHeight="false" outlineLevel="0" collapsed="false"/>
    <row r="3303" customFormat="false" ht="13.8" hidden="false" customHeight="false" outlineLevel="0" collapsed="false"/>
    <row r="3304" customFormat="false" ht="13.8" hidden="false" customHeight="false" outlineLevel="0" collapsed="false"/>
    <row r="3305" customFormat="false" ht="13.8" hidden="false" customHeight="false" outlineLevel="0" collapsed="false"/>
    <row r="3306" customFormat="false" ht="13.8" hidden="false" customHeight="false" outlineLevel="0" collapsed="false"/>
    <row r="3307" customFormat="false" ht="13.8" hidden="false" customHeight="false" outlineLevel="0" collapsed="false"/>
    <row r="3308" customFormat="false" ht="13.8" hidden="false" customHeight="false" outlineLevel="0" collapsed="false"/>
    <row r="3309" customFormat="false" ht="13.8" hidden="false" customHeight="false" outlineLevel="0" collapsed="false"/>
    <row r="3310" customFormat="false" ht="13.8" hidden="false" customHeight="false" outlineLevel="0" collapsed="false"/>
    <row r="3311" customFormat="false" ht="13.8" hidden="false" customHeight="false" outlineLevel="0" collapsed="false"/>
    <row r="3312" customFormat="false" ht="13.8" hidden="false" customHeight="false" outlineLevel="0" collapsed="false"/>
    <row r="3313" customFormat="false" ht="13.8" hidden="false" customHeight="false" outlineLevel="0" collapsed="false"/>
    <row r="3314" customFormat="false" ht="13.8" hidden="false" customHeight="false" outlineLevel="0" collapsed="false"/>
    <row r="3315" customFormat="false" ht="13.8" hidden="false" customHeight="false" outlineLevel="0" collapsed="false"/>
    <row r="3316" customFormat="false" ht="13.8" hidden="false" customHeight="false" outlineLevel="0" collapsed="false"/>
    <row r="3317" customFormat="false" ht="13.8" hidden="false" customHeight="false" outlineLevel="0" collapsed="false"/>
    <row r="3318" customFormat="false" ht="13.8" hidden="false" customHeight="false" outlineLevel="0" collapsed="false"/>
    <row r="3319" customFormat="false" ht="13.8" hidden="false" customHeight="false" outlineLevel="0" collapsed="false"/>
    <row r="3320" customFormat="false" ht="13.8" hidden="false" customHeight="false" outlineLevel="0" collapsed="false"/>
    <row r="3321" customFormat="false" ht="13.8" hidden="false" customHeight="false" outlineLevel="0" collapsed="false"/>
    <row r="3322" customFormat="false" ht="13.8" hidden="false" customHeight="false" outlineLevel="0" collapsed="false"/>
    <row r="3323" customFormat="false" ht="13.8" hidden="false" customHeight="false" outlineLevel="0" collapsed="false"/>
    <row r="3324" customFormat="false" ht="13.8" hidden="false" customHeight="false" outlineLevel="0" collapsed="false"/>
    <row r="3325" customFormat="false" ht="13.8" hidden="false" customHeight="false" outlineLevel="0" collapsed="false"/>
    <row r="3326" customFormat="false" ht="13.8" hidden="false" customHeight="false" outlineLevel="0" collapsed="false"/>
    <row r="3327" customFormat="false" ht="13.8" hidden="false" customHeight="false" outlineLevel="0" collapsed="false"/>
    <row r="3328" customFormat="false" ht="13.8" hidden="false" customHeight="false" outlineLevel="0" collapsed="false"/>
    <row r="3329" customFormat="false" ht="13.8" hidden="false" customHeight="false" outlineLevel="0" collapsed="false"/>
    <row r="3330" customFormat="false" ht="13.8" hidden="false" customHeight="false" outlineLevel="0" collapsed="false"/>
    <row r="3331" customFormat="false" ht="13.8" hidden="false" customHeight="false" outlineLevel="0" collapsed="false"/>
    <row r="3332" customFormat="false" ht="13.8" hidden="false" customHeight="false" outlineLevel="0" collapsed="false"/>
    <row r="3333" customFormat="false" ht="13.8" hidden="false" customHeight="false" outlineLevel="0" collapsed="false"/>
    <row r="3334" customFormat="false" ht="13.8" hidden="false" customHeight="false" outlineLevel="0" collapsed="false"/>
    <row r="3335" customFormat="false" ht="13.8" hidden="false" customHeight="false" outlineLevel="0" collapsed="false"/>
    <row r="3336" customFormat="false" ht="13.8" hidden="false" customHeight="false" outlineLevel="0" collapsed="false"/>
    <row r="3337" customFormat="false" ht="13.8" hidden="false" customHeight="false" outlineLevel="0" collapsed="false"/>
    <row r="3338" customFormat="false" ht="13.8" hidden="false" customHeight="false" outlineLevel="0" collapsed="false"/>
    <row r="3339" customFormat="false" ht="13.8" hidden="false" customHeight="false" outlineLevel="0" collapsed="false"/>
    <row r="3340" customFormat="false" ht="13.8" hidden="false" customHeight="false" outlineLevel="0" collapsed="false"/>
    <row r="3341" customFormat="false" ht="13.8" hidden="false" customHeight="false" outlineLevel="0" collapsed="false"/>
    <row r="3342" customFormat="false" ht="13.8" hidden="false" customHeight="false" outlineLevel="0" collapsed="false"/>
    <row r="3343" customFormat="false" ht="13.8" hidden="false" customHeight="false" outlineLevel="0" collapsed="false"/>
    <row r="3344" customFormat="false" ht="13.8" hidden="false" customHeight="false" outlineLevel="0" collapsed="false"/>
    <row r="3345" customFormat="false" ht="13.8" hidden="false" customHeight="false" outlineLevel="0" collapsed="false"/>
    <row r="3346" customFormat="false" ht="13.8" hidden="false" customHeight="false" outlineLevel="0" collapsed="false"/>
    <row r="3347" customFormat="false" ht="13.8" hidden="false" customHeight="false" outlineLevel="0" collapsed="false"/>
    <row r="3348" customFormat="false" ht="13.8" hidden="false" customHeight="false" outlineLevel="0" collapsed="false"/>
    <row r="3349" customFormat="false" ht="13.8" hidden="false" customHeight="false" outlineLevel="0" collapsed="false"/>
    <row r="3350" customFormat="false" ht="13.8" hidden="false" customHeight="false" outlineLevel="0" collapsed="false"/>
    <row r="3351" customFormat="false" ht="13.8" hidden="false" customHeight="false" outlineLevel="0" collapsed="false"/>
    <row r="3352" customFormat="false" ht="13.8" hidden="false" customHeight="false" outlineLevel="0" collapsed="false"/>
    <row r="3353" customFormat="false" ht="13.8" hidden="false" customHeight="false" outlineLevel="0" collapsed="false"/>
    <row r="3354" customFormat="false" ht="13.8" hidden="false" customHeight="false" outlineLevel="0" collapsed="false"/>
    <row r="3355" customFormat="false" ht="13.8" hidden="false" customHeight="false" outlineLevel="0" collapsed="false"/>
    <row r="3356" customFormat="false" ht="13.8" hidden="false" customHeight="false" outlineLevel="0" collapsed="false"/>
    <row r="3357" customFormat="false" ht="13.8" hidden="false" customHeight="false" outlineLevel="0" collapsed="false"/>
    <row r="3358" customFormat="false" ht="13.8" hidden="false" customHeight="false" outlineLevel="0" collapsed="false"/>
    <row r="3359" customFormat="false" ht="13.8" hidden="false" customHeight="false" outlineLevel="0" collapsed="false"/>
    <row r="3360" customFormat="false" ht="13.8" hidden="false" customHeight="false" outlineLevel="0" collapsed="false"/>
    <row r="3361" customFormat="false" ht="13.8" hidden="false" customHeight="false" outlineLevel="0" collapsed="false"/>
    <row r="3362" customFormat="false" ht="13.8" hidden="false" customHeight="false" outlineLevel="0" collapsed="false"/>
    <row r="3363" customFormat="false" ht="13.8" hidden="false" customHeight="false" outlineLevel="0" collapsed="false"/>
    <row r="3364" customFormat="false" ht="13.8" hidden="false" customHeight="false" outlineLevel="0" collapsed="false"/>
    <row r="3365" customFormat="false" ht="13.8" hidden="false" customHeight="false" outlineLevel="0" collapsed="false"/>
    <row r="3366" customFormat="false" ht="13.8" hidden="false" customHeight="false" outlineLevel="0" collapsed="false"/>
    <row r="3367" customFormat="false" ht="13.8" hidden="false" customHeight="false" outlineLevel="0" collapsed="false"/>
    <row r="3368" customFormat="false" ht="13.8" hidden="false" customHeight="false" outlineLevel="0" collapsed="false"/>
    <row r="3369" customFormat="false" ht="13.8" hidden="false" customHeight="false" outlineLevel="0" collapsed="false"/>
    <row r="3370" customFormat="false" ht="13.8" hidden="false" customHeight="false" outlineLevel="0" collapsed="false"/>
    <row r="3371" customFormat="false" ht="13.8" hidden="false" customHeight="false" outlineLevel="0" collapsed="false"/>
    <row r="3372" customFormat="false" ht="13.8" hidden="false" customHeight="false" outlineLevel="0" collapsed="false"/>
    <row r="3373" customFormat="false" ht="13.8" hidden="false" customHeight="false" outlineLevel="0" collapsed="false"/>
    <row r="3374" customFormat="false" ht="13.8" hidden="false" customHeight="false" outlineLevel="0" collapsed="false"/>
    <row r="3375" customFormat="false" ht="13.8" hidden="false" customHeight="false" outlineLevel="0" collapsed="false"/>
    <row r="3376" customFormat="false" ht="13.8" hidden="false" customHeight="false" outlineLevel="0" collapsed="false"/>
    <row r="3377" customFormat="false" ht="13.8" hidden="false" customHeight="false" outlineLevel="0" collapsed="false"/>
    <row r="3378" customFormat="false" ht="13.8" hidden="false" customHeight="false" outlineLevel="0" collapsed="false"/>
    <row r="3379" customFormat="false" ht="13.8" hidden="false" customHeight="false" outlineLevel="0" collapsed="false"/>
    <row r="3380" customFormat="false" ht="13.8" hidden="false" customHeight="false" outlineLevel="0" collapsed="false"/>
    <row r="3381" customFormat="false" ht="13.8" hidden="false" customHeight="false" outlineLevel="0" collapsed="false"/>
    <row r="3382" customFormat="false" ht="13.8" hidden="false" customHeight="false" outlineLevel="0" collapsed="false"/>
    <row r="3383" customFormat="false" ht="13.8" hidden="false" customHeight="false" outlineLevel="0" collapsed="false"/>
    <row r="3384" customFormat="false" ht="13.8" hidden="false" customHeight="false" outlineLevel="0" collapsed="false"/>
    <row r="3385" customFormat="false" ht="13.8" hidden="false" customHeight="false" outlineLevel="0" collapsed="false"/>
    <row r="3386" customFormat="false" ht="13.8" hidden="false" customHeight="false" outlineLevel="0" collapsed="false"/>
    <row r="3387" customFormat="false" ht="13.8" hidden="false" customHeight="false" outlineLevel="0" collapsed="false"/>
    <row r="3388" customFormat="false" ht="13.8" hidden="false" customHeight="false" outlineLevel="0" collapsed="false"/>
    <row r="3389" customFormat="false" ht="13.8" hidden="false" customHeight="false" outlineLevel="0" collapsed="false"/>
    <row r="3390" customFormat="false" ht="13.8" hidden="false" customHeight="false" outlineLevel="0" collapsed="false"/>
    <row r="3391" customFormat="false" ht="13.8" hidden="false" customHeight="false" outlineLevel="0" collapsed="false"/>
    <row r="3392" customFormat="false" ht="13.8" hidden="false" customHeight="false" outlineLevel="0" collapsed="false"/>
    <row r="3393" customFormat="false" ht="13.8" hidden="false" customHeight="false" outlineLevel="0" collapsed="false"/>
    <row r="3394" customFormat="false" ht="13.8" hidden="false" customHeight="false" outlineLevel="0" collapsed="false"/>
    <row r="3395" customFormat="false" ht="13.8" hidden="false" customHeight="false" outlineLevel="0" collapsed="false"/>
    <row r="3396" customFormat="false" ht="13.8" hidden="false" customHeight="false" outlineLevel="0" collapsed="false"/>
    <row r="3397" customFormat="false" ht="13.8" hidden="false" customHeight="false" outlineLevel="0" collapsed="false"/>
    <row r="3398" customFormat="false" ht="13.8" hidden="false" customHeight="false" outlineLevel="0" collapsed="false"/>
    <row r="3399" customFormat="false" ht="13.8" hidden="false" customHeight="false" outlineLevel="0" collapsed="false"/>
    <row r="3400" customFormat="false" ht="13.8" hidden="false" customHeight="false" outlineLevel="0" collapsed="false"/>
    <row r="3401" customFormat="false" ht="13.8" hidden="false" customHeight="false" outlineLevel="0" collapsed="false"/>
    <row r="3402" customFormat="false" ht="13.8" hidden="false" customHeight="false" outlineLevel="0" collapsed="false"/>
    <row r="3403" customFormat="false" ht="13.8" hidden="false" customHeight="false" outlineLevel="0" collapsed="false"/>
    <row r="3404" customFormat="false" ht="13.8" hidden="false" customHeight="false" outlineLevel="0" collapsed="false"/>
    <row r="3405" customFormat="false" ht="13.8" hidden="false" customHeight="false" outlineLevel="0" collapsed="false"/>
    <row r="3406" customFormat="false" ht="13.8" hidden="false" customHeight="false" outlineLevel="0" collapsed="false"/>
    <row r="3407" customFormat="false" ht="13.8" hidden="false" customHeight="false" outlineLevel="0" collapsed="false"/>
    <row r="3408" customFormat="false" ht="13.8" hidden="false" customHeight="false" outlineLevel="0" collapsed="false"/>
    <row r="3409" customFormat="false" ht="13.8" hidden="false" customHeight="false" outlineLevel="0" collapsed="false"/>
    <row r="3410" customFormat="false" ht="13.8" hidden="false" customHeight="false" outlineLevel="0" collapsed="false"/>
    <row r="3411" customFormat="false" ht="13.8" hidden="false" customHeight="false" outlineLevel="0" collapsed="false"/>
    <row r="3412" customFormat="false" ht="13.8" hidden="false" customHeight="false" outlineLevel="0" collapsed="false"/>
    <row r="3413" customFormat="false" ht="13.8" hidden="false" customHeight="false" outlineLevel="0" collapsed="false"/>
    <row r="3414" customFormat="false" ht="13.8" hidden="false" customHeight="false" outlineLevel="0" collapsed="false"/>
    <row r="3415" customFormat="false" ht="13.8" hidden="false" customHeight="false" outlineLevel="0" collapsed="false"/>
    <row r="3416" customFormat="false" ht="13.8" hidden="false" customHeight="false" outlineLevel="0" collapsed="false"/>
    <row r="3417" customFormat="false" ht="13.8" hidden="false" customHeight="false" outlineLevel="0" collapsed="false"/>
    <row r="3418" customFormat="false" ht="13.8" hidden="false" customHeight="false" outlineLevel="0" collapsed="false"/>
    <row r="3419" customFormat="false" ht="13.8" hidden="false" customHeight="false" outlineLevel="0" collapsed="false"/>
    <row r="3420" customFormat="false" ht="13.8" hidden="false" customHeight="false" outlineLevel="0" collapsed="false"/>
    <row r="3421" customFormat="false" ht="13.8" hidden="false" customHeight="false" outlineLevel="0" collapsed="false"/>
    <row r="3422" customFormat="false" ht="13.8" hidden="false" customHeight="false" outlineLevel="0" collapsed="false"/>
    <row r="3423" customFormat="false" ht="13.8" hidden="false" customHeight="false" outlineLevel="0" collapsed="false"/>
    <row r="3424" customFormat="false" ht="13.8" hidden="false" customHeight="false" outlineLevel="0" collapsed="false"/>
    <row r="3425" customFormat="false" ht="13.8" hidden="false" customHeight="false" outlineLevel="0" collapsed="false"/>
    <row r="3426" customFormat="false" ht="13.8" hidden="false" customHeight="false" outlineLevel="0" collapsed="false"/>
    <row r="3427" customFormat="false" ht="13.8" hidden="false" customHeight="false" outlineLevel="0" collapsed="false"/>
    <row r="3428" customFormat="false" ht="13.8" hidden="false" customHeight="false" outlineLevel="0" collapsed="false"/>
    <row r="3429" customFormat="false" ht="13.8" hidden="false" customHeight="false" outlineLevel="0" collapsed="false"/>
    <row r="3430" customFormat="false" ht="13.8" hidden="false" customHeight="false" outlineLevel="0" collapsed="false"/>
    <row r="3431" customFormat="false" ht="13.8" hidden="false" customHeight="false" outlineLevel="0" collapsed="false"/>
    <row r="3432" customFormat="false" ht="13.8" hidden="false" customHeight="false" outlineLevel="0" collapsed="false"/>
    <row r="3433" customFormat="false" ht="13.8" hidden="false" customHeight="false" outlineLevel="0" collapsed="false"/>
    <row r="3434" customFormat="false" ht="13.8" hidden="false" customHeight="false" outlineLevel="0" collapsed="false"/>
    <row r="3435" customFormat="false" ht="13.8" hidden="false" customHeight="false" outlineLevel="0" collapsed="false"/>
    <row r="3436" customFormat="false" ht="13.8" hidden="false" customHeight="false" outlineLevel="0" collapsed="false"/>
    <row r="3437" customFormat="false" ht="13.8" hidden="false" customHeight="false" outlineLevel="0" collapsed="false"/>
    <row r="3438" customFormat="false" ht="13.8" hidden="false" customHeight="false" outlineLevel="0" collapsed="false"/>
    <row r="3439" customFormat="false" ht="13.8" hidden="false" customHeight="false" outlineLevel="0" collapsed="false"/>
    <row r="3440" customFormat="false" ht="13.8" hidden="false" customHeight="false" outlineLevel="0" collapsed="false"/>
    <row r="3441" customFormat="false" ht="13.8" hidden="false" customHeight="false" outlineLevel="0" collapsed="false"/>
    <row r="3442" customFormat="false" ht="13.8" hidden="false" customHeight="false" outlineLevel="0" collapsed="false"/>
    <row r="3443" customFormat="false" ht="13.8" hidden="false" customHeight="false" outlineLevel="0" collapsed="false"/>
    <row r="3444" customFormat="false" ht="13.8" hidden="false" customHeight="false" outlineLevel="0" collapsed="false"/>
    <row r="3445" customFormat="false" ht="13.8" hidden="false" customHeight="false" outlineLevel="0" collapsed="false"/>
    <row r="3446" customFormat="false" ht="13.8" hidden="false" customHeight="false" outlineLevel="0" collapsed="false"/>
    <row r="3447" customFormat="false" ht="13.8" hidden="false" customHeight="false" outlineLevel="0" collapsed="false"/>
    <row r="3448" customFormat="false" ht="13.8" hidden="false" customHeight="false" outlineLevel="0" collapsed="false"/>
    <row r="3449" customFormat="false" ht="13.8" hidden="false" customHeight="false" outlineLevel="0" collapsed="false"/>
    <row r="3450" customFormat="false" ht="13.8" hidden="false" customHeight="false" outlineLevel="0" collapsed="false"/>
    <row r="3451" customFormat="false" ht="13.8" hidden="false" customHeight="false" outlineLevel="0" collapsed="false"/>
    <row r="3452" customFormat="false" ht="13.8" hidden="false" customHeight="false" outlineLevel="0" collapsed="false"/>
    <row r="3453" customFormat="false" ht="13.8" hidden="false" customHeight="false" outlineLevel="0" collapsed="false"/>
    <row r="3454" customFormat="false" ht="13.8" hidden="false" customHeight="false" outlineLevel="0" collapsed="false"/>
    <row r="3455" customFormat="false" ht="13.8" hidden="false" customHeight="false" outlineLevel="0" collapsed="false"/>
    <row r="3456" customFormat="false" ht="13.8" hidden="false" customHeight="false" outlineLevel="0" collapsed="false"/>
    <row r="3457" customFormat="false" ht="13.8" hidden="false" customHeight="false" outlineLevel="0" collapsed="false"/>
    <row r="3458" customFormat="false" ht="13.8" hidden="false" customHeight="false" outlineLevel="0" collapsed="false"/>
    <row r="3459" customFormat="false" ht="13.8" hidden="false" customHeight="false" outlineLevel="0" collapsed="false"/>
    <row r="3460" customFormat="false" ht="13.8" hidden="false" customHeight="false" outlineLevel="0" collapsed="false"/>
    <row r="3461" customFormat="false" ht="13.8" hidden="false" customHeight="false" outlineLevel="0" collapsed="false"/>
    <row r="3462" customFormat="false" ht="13.8" hidden="false" customHeight="false" outlineLevel="0" collapsed="false"/>
    <row r="3463" customFormat="false" ht="13.8" hidden="false" customHeight="false" outlineLevel="0" collapsed="false"/>
    <row r="3464" customFormat="false" ht="13.8" hidden="false" customHeight="false" outlineLevel="0" collapsed="false"/>
    <row r="3465" customFormat="false" ht="13.8" hidden="false" customHeight="false" outlineLevel="0" collapsed="false"/>
    <row r="3466" customFormat="false" ht="13.8" hidden="false" customHeight="false" outlineLevel="0" collapsed="false"/>
    <row r="3467" customFormat="false" ht="13.8" hidden="false" customHeight="false" outlineLevel="0" collapsed="false"/>
    <row r="3468" customFormat="false" ht="13.8" hidden="false" customHeight="false" outlineLevel="0" collapsed="false"/>
    <row r="3469" customFormat="false" ht="13.8" hidden="false" customHeight="false" outlineLevel="0" collapsed="false"/>
    <row r="3470" customFormat="false" ht="13.8" hidden="false" customHeight="false" outlineLevel="0" collapsed="false"/>
    <row r="3471" customFormat="false" ht="13.8" hidden="false" customHeight="false" outlineLevel="0" collapsed="false"/>
    <row r="3472" customFormat="false" ht="13.8" hidden="false" customHeight="false" outlineLevel="0" collapsed="false"/>
    <row r="3473" customFormat="false" ht="13.8" hidden="false" customHeight="false" outlineLevel="0" collapsed="false"/>
    <row r="3474" customFormat="false" ht="13.8" hidden="false" customHeight="false" outlineLevel="0" collapsed="false"/>
    <row r="3475" customFormat="false" ht="13.8" hidden="false" customHeight="false" outlineLevel="0" collapsed="false"/>
    <row r="3476" customFormat="false" ht="13.8" hidden="false" customHeight="false" outlineLevel="0" collapsed="false"/>
    <row r="3477" customFormat="false" ht="13.8" hidden="false" customHeight="false" outlineLevel="0" collapsed="false"/>
    <row r="3478" customFormat="false" ht="13.8" hidden="false" customHeight="false" outlineLevel="0" collapsed="false"/>
    <row r="3479" customFormat="false" ht="13.8" hidden="false" customHeight="false" outlineLevel="0" collapsed="false"/>
    <row r="3480" customFormat="false" ht="13.8" hidden="false" customHeight="false" outlineLevel="0" collapsed="false"/>
    <row r="3481" customFormat="false" ht="13.8" hidden="false" customHeight="false" outlineLevel="0" collapsed="false"/>
    <row r="3482" customFormat="false" ht="13.8" hidden="false" customHeight="false" outlineLevel="0" collapsed="false"/>
    <row r="3483" customFormat="false" ht="13.8" hidden="false" customHeight="false" outlineLevel="0" collapsed="false"/>
    <row r="3484" customFormat="false" ht="13.8" hidden="false" customHeight="false" outlineLevel="0" collapsed="false"/>
    <row r="3485" customFormat="false" ht="13.8" hidden="false" customHeight="false" outlineLevel="0" collapsed="false"/>
    <row r="3486" customFormat="false" ht="13.8" hidden="false" customHeight="false" outlineLevel="0" collapsed="false"/>
    <row r="3487" customFormat="false" ht="13.8" hidden="false" customHeight="false" outlineLevel="0" collapsed="false"/>
    <row r="3488" customFormat="false" ht="13.8" hidden="false" customHeight="false" outlineLevel="0" collapsed="false"/>
    <row r="3489" customFormat="false" ht="13.8" hidden="false" customHeight="false" outlineLevel="0" collapsed="false"/>
    <row r="3490" customFormat="false" ht="13.8" hidden="false" customHeight="false" outlineLevel="0" collapsed="false"/>
    <row r="3491" customFormat="false" ht="13.8" hidden="false" customHeight="false" outlineLevel="0" collapsed="false"/>
    <row r="3492" customFormat="false" ht="13.8" hidden="false" customHeight="false" outlineLevel="0" collapsed="false"/>
    <row r="3493" customFormat="false" ht="13.8" hidden="false" customHeight="false" outlineLevel="0" collapsed="false"/>
    <row r="3494" customFormat="false" ht="13.8" hidden="false" customHeight="false" outlineLevel="0" collapsed="false"/>
    <row r="3495" customFormat="false" ht="13.8" hidden="false" customHeight="false" outlineLevel="0" collapsed="false"/>
    <row r="3496" customFormat="false" ht="13.8" hidden="false" customHeight="false" outlineLevel="0" collapsed="false"/>
    <row r="3497" customFormat="false" ht="13.8" hidden="false" customHeight="false" outlineLevel="0" collapsed="false"/>
    <row r="3498" customFormat="false" ht="13.8" hidden="false" customHeight="false" outlineLevel="0" collapsed="false"/>
    <row r="3499" customFormat="false" ht="13.8" hidden="false" customHeight="false" outlineLevel="0" collapsed="false"/>
    <row r="3500" customFormat="false" ht="13.8" hidden="false" customHeight="false" outlineLevel="0" collapsed="false"/>
    <row r="3501" customFormat="false" ht="13.8" hidden="false" customHeight="false" outlineLevel="0" collapsed="false"/>
    <row r="3502" customFormat="false" ht="13.8" hidden="false" customHeight="false" outlineLevel="0" collapsed="false"/>
    <row r="3503" customFormat="false" ht="13.8" hidden="false" customHeight="false" outlineLevel="0" collapsed="false"/>
    <row r="3504" customFormat="false" ht="13.8" hidden="false" customHeight="false" outlineLevel="0" collapsed="false"/>
    <row r="3505" customFormat="false" ht="13.8" hidden="false" customHeight="false" outlineLevel="0" collapsed="false"/>
    <row r="3506" customFormat="false" ht="13.8" hidden="false" customHeight="false" outlineLevel="0" collapsed="false"/>
    <row r="3507" customFormat="false" ht="13.8" hidden="false" customHeight="false" outlineLevel="0" collapsed="false"/>
    <row r="3508" customFormat="false" ht="13.8" hidden="false" customHeight="false" outlineLevel="0" collapsed="false"/>
    <row r="3509" customFormat="false" ht="13.8" hidden="false" customHeight="false" outlineLevel="0" collapsed="false"/>
    <row r="3510" customFormat="false" ht="13.8" hidden="false" customHeight="false" outlineLevel="0" collapsed="false"/>
    <row r="3511" customFormat="false" ht="13.8" hidden="false" customHeight="false" outlineLevel="0" collapsed="false"/>
    <row r="3512" customFormat="false" ht="13.8" hidden="false" customHeight="false" outlineLevel="0" collapsed="false"/>
    <row r="3513" customFormat="false" ht="13.8" hidden="false" customHeight="false" outlineLevel="0" collapsed="false"/>
    <row r="3514" customFormat="false" ht="13.8" hidden="false" customHeight="false" outlineLevel="0" collapsed="false"/>
    <row r="3515" customFormat="false" ht="13.8" hidden="false" customHeight="false" outlineLevel="0" collapsed="false"/>
    <row r="3516" customFormat="false" ht="13.8" hidden="false" customHeight="false" outlineLevel="0" collapsed="false"/>
    <row r="3517" customFormat="false" ht="13.8" hidden="false" customHeight="false" outlineLevel="0" collapsed="false"/>
    <row r="3518" customFormat="false" ht="13.8" hidden="false" customHeight="false" outlineLevel="0" collapsed="false"/>
    <row r="3519" customFormat="false" ht="13.8" hidden="false" customHeight="false" outlineLevel="0" collapsed="false"/>
    <row r="3520" customFormat="false" ht="13.8" hidden="false" customHeight="false" outlineLevel="0" collapsed="false"/>
    <row r="3521" customFormat="false" ht="13.8" hidden="false" customHeight="false" outlineLevel="0" collapsed="false"/>
    <row r="3522" customFormat="false" ht="13.8" hidden="false" customHeight="false" outlineLevel="0" collapsed="false"/>
    <row r="3523" customFormat="false" ht="13.8" hidden="false" customHeight="false" outlineLevel="0" collapsed="false"/>
    <row r="3524" customFormat="false" ht="13.8" hidden="false" customHeight="false" outlineLevel="0" collapsed="false"/>
    <row r="3525" customFormat="false" ht="13.8" hidden="false" customHeight="false" outlineLevel="0" collapsed="false"/>
    <row r="3526" customFormat="false" ht="13.8" hidden="false" customHeight="false" outlineLevel="0" collapsed="false"/>
    <row r="3527" customFormat="false" ht="13.8" hidden="false" customHeight="false" outlineLevel="0" collapsed="false"/>
    <row r="3528" customFormat="false" ht="13.8" hidden="false" customHeight="false" outlineLevel="0" collapsed="false"/>
    <row r="3529" customFormat="false" ht="13.8" hidden="false" customHeight="false" outlineLevel="0" collapsed="false"/>
    <row r="3530" customFormat="false" ht="13.8" hidden="false" customHeight="false" outlineLevel="0" collapsed="false"/>
    <row r="3531" customFormat="false" ht="13.8" hidden="false" customHeight="false" outlineLevel="0" collapsed="false"/>
    <row r="3532" customFormat="false" ht="13.8" hidden="false" customHeight="false" outlineLevel="0" collapsed="false"/>
    <row r="3533" customFormat="false" ht="13.8" hidden="false" customHeight="false" outlineLevel="0" collapsed="false"/>
    <row r="3534" customFormat="false" ht="13.8" hidden="false" customHeight="false" outlineLevel="0" collapsed="false"/>
    <row r="3535" customFormat="false" ht="13.8" hidden="false" customHeight="false" outlineLevel="0" collapsed="false"/>
    <row r="3536" customFormat="false" ht="13.8" hidden="false" customHeight="false" outlineLevel="0" collapsed="false"/>
    <row r="3537" customFormat="false" ht="13.8" hidden="false" customHeight="false" outlineLevel="0" collapsed="false"/>
    <row r="3538" customFormat="false" ht="13.8" hidden="false" customHeight="false" outlineLevel="0" collapsed="false"/>
    <row r="3539" customFormat="false" ht="13.8" hidden="false" customHeight="false" outlineLevel="0" collapsed="false"/>
    <row r="3540" customFormat="false" ht="13.8" hidden="false" customHeight="false" outlineLevel="0" collapsed="false"/>
    <row r="3541" customFormat="false" ht="13.8" hidden="false" customHeight="false" outlineLevel="0" collapsed="false"/>
    <row r="3542" customFormat="false" ht="13.8" hidden="false" customHeight="false" outlineLevel="0" collapsed="false"/>
    <row r="3543" customFormat="false" ht="13.8" hidden="false" customHeight="false" outlineLevel="0" collapsed="false"/>
    <row r="3544" customFormat="false" ht="13.8" hidden="false" customHeight="false" outlineLevel="0" collapsed="false"/>
    <row r="3545" customFormat="false" ht="13.8" hidden="false" customHeight="false" outlineLevel="0" collapsed="false"/>
    <row r="3546" customFormat="false" ht="13.8" hidden="false" customHeight="false" outlineLevel="0" collapsed="false"/>
    <row r="3547" customFormat="false" ht="13.8" hidden="false" customHeight="false" outlineLevel="0" collapsed="false"/>
    <row r="3548" customFormat="false" ht="13.8" hidden="false" customHeight="false" outlineLevel="0" collapsed="false"/>
    <row r="3549" customFormat="false" ht="13.8" hidden="false" customHeight="false" outlineLevel="0" collapsed="false"/>
    <row r="3550" customFormat="false" ht="13.8" hidden="false" customHeight="false" outlineLevel="0" collapsed="false"/>
    <row r="3551" customFormat="false" ht="13.8" hidden="false" customHeight="false" outlineLevel="0" collapsed="false"/>
    <row r="3552" customFormat="false" ht="13.8" hidden="false" customHeight="false" outlineLevel="0" collapsed="false"/>
    <row r="3553" customFormat="false" ht="13.8" hidden="false" customHeight="false" outlineLevel="0" collapsed="false"/>
    <row r="3554" customFormat="false" ht="13.8" hidden="false" customHeight="false" outlineLevel="0" collapsed="false"/>
    <row r="3555" customFormat="false" ht="13.8" hidden="false" customHeight="false" outlineLevel="0" collapsed="false"/>
    <row r="3556" customFormat="false" ht="13.8" hidden="false" customHeight="false" outlineLevel="0" collapsed="false"/>
    <row r="3557" customFormat="false" ht="13.8" hidden="false" customHeight="false" outlineLevel="0" collapsed="false"/>
    <row r="3558" customFormat="false" ht="13.8" hidden="false" customHeight="false" outlineLevel="0" collapsed="false"/>
    <row r="3559" customFormat="false" ht="13.8" hidden="false" customHeight="false" outlineLevel="0" collapsed="false"/>
    <row r="3560" customFormat="false" ht="13.8" hidden="false" customHeight="false" outlineLevel="0" collapsed="false"/>
    <row r="3561" customFormat="false" ht="13.8" hidden="false" customHeight="false" outlineLevel="0" collapsed="false"/>
    <row r="3562" customFormat="false" ht="13.8" hidden="false" customHeight="false" outlineLevel="0" collapsed="false"/>
    <row r="3563" customFormat="false" ht="13.8" hidden="false" customHeight="false" outlineLevel="0" collapsed="false"/>
    <row r="3564" customFormat="false" ht="13.8" hidden="false" customHeight="false" outlineLevel="0" collapsed="false"/>
    <row r="3565" customFormat="false" ht="13.8" hidden="false" customHeight="false" outlineLevel="0" collapsed="false"/>
    <row r="3566" customFormat="false" ht="13.8" hidden="false" customHeight="false" outlineLevel="0" collapsed="false"/>
    <row r="3567" customFormat="false" ht="13.8" hidden="false" customHeight="false" outlineLevel="0" collapsed="false"/>
    <row r="3568" customFormat="false" ht="13.8" hidden="false" customHeight="false" outlineLevel="0" collapsed="false"/>
    <row r="3569" customFormat="false" ht="13.8" hidden="false" customHeight="false" outlineLevel="0" collapsed="false"/>
    <row r="3570" customFormat="false" ht="13.8" hidden="false" customHeight="false" outlineLevel="0" collapsed="false"/>
    <row r="3571" customFormat="false" ht="13.8" hidden="false" customHeight="false" outlineLevel="0" collapsed="false"/>
    <row r="3572" customFormat="false" ht="13.8" hidden="false" customHeight="false" outlineLevel="0" collapsed="false"/>
    <row r="3573" customFormat="false" ht="13.8" hidden="false" customHeight="false" outlineLevel="0" collapsed="false"/>
    <row r="3574" customFormat="false" ht="13.8" hidden="false" customHeight="false" outlineLevel="0" collapsed="false"/>
    <row r="3575" customFormat="false" ht="13.8" hidden="false" customHeight="false" outlineLevel="0" collapsed="false"/>
    <row r="3576" customFormat="false" ht="13.8" hidden="false" customHeight="false" outlineLevel="0" collapsed="false"/>
    <row r="3577" customFormat="false" ht="13.8" hidden="false" customHeight="false" outlineLevel="0" collapsed="false"/>
    <row r="3578" customFormat="false" ht="13.8" hidden="false" customHeight="false" outlineLevel="0" collapsed="false"/>
    <row r="3579" customFormat="false" ht="13.8" hidden="false" customHeight="false" outlineLevel="0" collapsed="false"/>
    <row r="3580" customFormat="false" ht="13.8" hidden="false" customHeight="false" outlineLevel="0" collapsed="false"/>
    <row r="3581" customFormat="false" ht="13.8" hidden="false" customHeight="false" outlineLevel="0" collapsed="false"/>
    <row r="3582" customFormat="false" ht="13.8" hidden="false" customHeight="false" outlineLevel="0" collapsed="false"/>
    <row r="3583" customFormat="false" ht="13.8" hidden="false" customHeight="false" outlineLevel="0" collapsed="false"/>
    <row r="3584" customFormat="false" ht="13.8" hidden="false" customHeight="false" outlineLevel="0" collapsed="false"/>
    <row r="3585" customFormat="false" ht="13.8" hidden="false" customHeight="false" outlineLevel="0" collapsed="false"/>
    <row r="3586" customFormat="false" ht="13.8" hidden="false" customHeight="false" outlineLevel="0" collapsed="false"/>
    <row r="3587" customFormat="false" ht="13.8" hidden="false" customHeight="false" outlineLevel="0" collapsed="false"/>
    <row r="3588" customFormat="false" ht="13.8" hidden="false" customHeight="false" outlineLevel="0" collapsed="false"/>
    <row r="3589" customFormat="false" ht="13.8" hidden="false" customHeight="false" outlineLevel="0" collapsed="false"/>
    <row r="3590" customFormat="false" ht="13.8" hidden="false" customHeight="false" outlineLevel="0" collapsed="false"/>
    <row r="3591" customFormat="false" ht="13.8" hidden="false" customHeight="false" outlineLevel="0" collapsed="false"/>
    <row r="3592" customFormat="false" ht="13.8" hidden="false" customHeight="false" outlineLevel="0" collapsed="false"/>
    <row r="3593" customFormat="false" ht="13.8" hidden="false" customHeight="false" outlineLevel="0" collapsed="false"/>
    <row r="3594" customFormat="false" ht="13.8" hidden="false" customHeight="false" outlineLevel="0" collapsed="false"/>
    <row r="3595" customFormat="false" ht="13.8" hidden="false" customHeight="false" outlineLevel="0" collapsed="false"/>
    <row r="3596" customFormat="false" ht="13.8" hidden="false" customHeight="false" outlineLevel="0" collapsed="false"/>
    <row r="3597" customFormat="false" ht="13.8" hidden="false" customHeight="false" outlineLevel="0" collapsed="false"/>
    <row r="3598" customFormat="false" ht="13.8" hidden="false" customHeight="false" outlineLevel="0" collapsed="false"/>
    <row r="3599" customFormat="false" ht="13.8" hidden="false" customHeight="false" outlineLevel="0" collapsed="false"/>
    <row r="3600" customFormat="false" ht="13.8" hidden="false" customHeight="false" outlineLevel="0" collapsed="false"/>
    <row r="3601" customFormat="false" ht="13.8" hidden="false" customHeight="false" outlineLevel="0" collapsed="false"/>
    <row r="3602" customFormat="false" ht="13.8" hidden="false" customHeight="false" outlineLevel="0" collapsed="false"/>
    <row r="3603" customFormat="false" ht="13.8" hidden="false" customHeight="false" outlineLevel="0" collapsed="false"/>
    <row r="3604" customFormat="false" ht="13.8" hidden="false" customHeight="false" outlineLevel="0" collapsed="false"/>
    <row r="3605" customFormat="false" ht="13.8" hidden="false" customHeight="false" outlineLevel="0" collapsed="false"/>
    <row r="3606" customFormat="false" ht="13.8" hidden="false" customHeight="false" outlineLevel="0" collapsed="false"/>
    <row r="3607" customFormat="false" ht="13.8" hidden="false" customHeight="false" outlineLevel="0" collapsed="false"/>
    <row r="3608" customFormat="false" ht="13.8" hidden="false" customHeight="false" outlineLevel="0" collapsed="false"/>
    <row r="3609" customFormat="false" ht="13.8" hidden="false" customHeight="false" outlineLevel="0" collapsed="false"/>
    <row r="3610" customFormat="false" ht="13.8" hidden="false" customHeight="false" outlineLevel="0" collapsed="false"/>
    <row r="3611" customFormat="false" ht="13.8" hidden="false" customHeight="false" outlineLevel="0" collapsed="false"/>
    <row r="3612" customFormat="false" ht="13.8" hidden="false" customHeight="false" outlineLevel="0" collapsed="false"/>
    <row r="3613" customFormat="false" ht="13.8" hidden="false" customHeight="false" outlineLevel="0" collapsed="false"/>
    <row r="3614" customFormat="false" ht="13.8" hidden="false" customHeight="false" outlineLevel="0" collapsed="false"/>
    <row r="3615" customFormat="false" ht="13.8" hidden="false" customHeight="false" outlineLevel="0" collapsed="false"/>
    <row r="3616" customFormat="false" ht="13.8" hidden="false" customHeight="false" outlineLevel="0" collapsed="false"/>
    <row r="3617" customFormat="false" ht="13.8" hidden="false" customHeight="false" outlineLevel="0" collapsed="false"/>
    <row r="3618" customFormat="false" ht="13.8" hidden="false" customHeight="false" outlineLevel="0" collapsed="false"/>
    <row r="3619" customFormat="false" ht="13.8" hidden="false" customHeight="false" outlineLevel="0" collapsed="false"/>
    <row r="3620" customFormat="false" ht="13.8" hidden="false" customHeight="false" outlineLevel="0" collapsed="false"/>
    <row r="3621" customFormat="false" ht="13.8" hidden="false" customHeight="false" outlineLevel="0" collapsed="false"/>
    <row r="3622" customFormat="false" ht="13.8" hidden="false" customHeight="false" outlineLevel="0" collapsed="false"/>
    <row r="3623" customFormat="false" ht="13.8" hidden="false" customHeight="false" outlineLevel="0" collapsed="false"/>
    <row r="3624" customFormat="false" ht="13.8" hidden="false" customHeight="false" outlineLevel="0" collapsed="false"/>
    <row r="3625" customFormat="false" ht="13.8" hidden="false" customHeight="false" outlineLevel="0" collapsed="false"/>
    <row r="3626" customFormat="false" ht="13.8" hidden="false" customHeight="false" outlineLevel="0" collapsed="false"/>
    <row r="3627" customFormat="false" ht="13.8" hidden="false" customHeight="false" outlineLevel="0" collapsed="false"/>
    <row r="3628" customFormat="false" ht="13.8" hidden="false" customHeight="false" outlineLevel="0" collapsed="false"/>
    <row r="3629" customFormat="false" ht="13.8" hidden="false" customHeight="false" outlineLevel="0" collapsed="false"/>
    <row r="3630" customFormat="false" ht="13.8" hidden="false" customHeight="false" outlineLevel="0" collapsed="false"/>
    <row r="3631" customFormat="false" ht="13.8" hidden="false" customHeight="false" outlineLevel="0" collapsed="false"/>
    <row r="3632" customFormat="false" ht="13.8" hidden="false" customHeight="false" outlineLevel="0" collapsed="false"/>
    <row r="3633" customFormat="false" ht="13.8" hidden="false" customHeight="false" outlineLevel="0" collapsed="false"/>
    <row r="3634" customFormat="false" ht="13.8" hidden="false" customHeight="false" outlineLevel="0" collapsed="false"/>
    <row r="3635" customFormat="false" ht="13.8" hidden="false" customHeight="false" outlineLevel="0" collapsed="false"/>
    <row r="3636" customFormat="false" ht="13.8" hidden="false" customHeight="false" outlineLevel="0" collapsed="false"/>
    <row r="3637" customFormat="false" ht="13.8" hidden="false" customHeight="false" outlineLevel="0" collapsed="false"/>
    <row r="3638" customFormat="false" ht="13.8" hidden="false" customHeight="false" outlineLevel="0" collapsed="false"/>
    <row r="3639" customFormat="false" ht="13.8" hidden="false" customHeight="false" outlineLevel="0" collapsed="false"/>
    <row r="3640" customFormat="false" ht="13.8" hidden="false" customHeight="false" outlineLevel="0" collapsed="false"/>
    <row r="3641" customFormat="false" ht="13.8" hidden="false" customHeight="false" outlineLevel="0" collapsed="false"/>
    <row r="3642" customFormat="false" ht="13.8" hidden="false" customHeight="false" outlineLevel="0" collapsed="false"/>
    <row r="3643" customFormat="false" ht="13.8" hidden="false" customHeight="false" outlineLevel="0" collapsed="false"/>
    <row r="3644" customFormat="false" ht="13.8" hidden="false" customHeight="false" outlineLevel="0" collapsed="false"/>
    <row r="3645" customFormat="false" ht="13.8" hidden="false" customHeight="false" outlineLevel="0" collapsed="false"/>
    <row r="3646" customFormat="false" ht="13.8" hidden="false" customHeight="false" outlineLevel="0" collapsed="false"/>
    <row r="3647" customFormat="false" ht="13.8" hidden="false" customHeight="false" outlineLevel="0" collapsed="false"/>
    <row r="3648" customFormat="false" ht="13.8" hidden="false" customHeight="false" outlineLevel="0" collapsed="false"/>
    <row r="3649" customFormat="false" ht="13.8" hidden="false" customHeight="false" outlineLevel="0" collapsed="false"/>
    <row r="3650" customFormat="false" ht="13.8" hidden="false" customHeight="false" outlineLevel="0" collapsed="false"/>
    <row r="3651" customFormat="false" ht="13.8" hidden="false" customHeight="false" outlineLevel="0" collapsed="false"/>
    <row r="3652" customFormat="false" ht="13.8" hidden="false" customHeight="false" outlineLevel="0" collapsed="false"/>
    <row r="3653" customFormat="false" ht="13.8" hidden="false" customHeight="false" outlineLevel="0" collapsed="false"/>
    <row r="3654" customFormat="false" ht="13.8" hidden="false" customHeight="false" outlineLevel="0" collapsed="false"/>
    <row r="3655" customFormat="false" ht="13.8" hidden="false" customHeight="false" outlineLevel="0" collapsed="false"/>
    <row r="3656" customFormat="false" ht="13.8" hidden="false" customHeight="false" outlineLevel="0" collapsed="false"/>
    <row r="3657" customFormat="false" ht="13.8" hidden="false" customHeight="false" outlineLevel="0" collapsed="false"/>
    <row r="3658" customFormat="false" ht="13.8" hidden="false" customHeight="false" outlineLevel="0" collapsed="false"/>
    <row r="3659" customFormat="false" ht="13.8" hidden="false" customHeight="false" outlineLevel="0" collapsed="false"/>
    <row r="3660" customFormat="false" ht="13.8" hidden="false" customHeight="false" outlineLevel="0" collapsed="false"/>
    <row r="3661" customFormat="false" ht="13.8" hidden="false" customHeight="false" outlineLevel="0" collapsed="false"/>
    <row r="3662" customFormat="false" ht="13.8" hidden="false" customHeight="false" outlineLevel="0" collapsed="false"/>
    <row r="3663" customFormat="false" ht="13.8" hidden="false" customHeight="false" outlineLevel="0" collapsed="false"/>
    <row r="3664" customFormat="false" ht="13.8" hidden="false" customHeight="false" outlineLevel="0" collapsed="false"/>
    <row r="3665" customFormat="false" ht="13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F1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8.2834008097166"/>
    <col collapsed="false" hidden="false" max="2" min="2" style="0" width="9.71255060728745"/>
    <col collapsed="false" hidden="false" max="3" min="3" style="0" width="14.8542510121458"/>
    <col collapsed="false" hidden="false" max="4" min="4" style="0" width="16.2834008097166"/>
    <col collapsed="false" hidden="false" max="5" min="5" style="0" width="8.71255060728745"/>
    <col collapsed="false" hidden="false" max="6" min="6" style="0" width="10.1417004048583"/>
    <col collapsed="false" hidden="false" max="1025" min="7" style="0" width="8.71255060728745"/>
  </cols>
  <sheetData>
    <row r="1" s="1" customFormat="true" ht="15" hidden="false" customHeight="false" outlineLevel="0" collapsed="false">
      <c r="A1" s="145" t="s">
        <v>393</v>
      </c>
      <c r="B1" s="145"/>
      <c r="C1" s="145" t="s">
        <v>394</v>
      </c>
      <c r="D1" s="145"/>
      <c r="E1" s="145" t="s">
        <v>395</v>
      </c>
      <c r="F1" s="145"/>
    </row>
    <row r="2" customFormat="false" ht="15" hidden="false" customHeight="false" outlineLevel="0" collapsed="false">
      <c r="A2" s="0" t="s">
        <v>396</v>
      </c>
      <c r="B2" s="0" t="str">
        <f aca="false">CONCATENATE(ROW()-2, ".",A2)</f>
        <v>0.Done</v>
      </c>
      <c r="C2" s="0" t="s">
        <v>396</v>
      </c>
      <c r="D2" s="0" t="str">
        <f aca="false">CONCATENATE(ROW()-2, ".",C2)</f>
        <v>0.Done</v>
      </c>
      <c r="E2" s="0" t="s">
        <v>396</v>
      </c>
      <c r="F2" s="0" t="str">
        <f aca="false">CONCATENATE(ROW()-2, ".",E2)</f>
        <v>0.Done</v>
      </c>
    </row>
    <row r="3" customFormat="false" ht="15" hidden="false" customHeight="false" outlineLevel="0" collapsed="false">
      <c r="A3" s="0" t="s">
        <v>397</v>
      </c>
      <c r="B3" s="0" t="str">
        <f aca="false">CONCATENATE(ROW()-2, ".",A3)</f>
        <v>1.UATing</v>
      </c>
      <c r="C3" s="0" t="s">
        <v>398</v>
      </c>
      <c r="D3" s="0" t="str">
        <f aca="false">CONCATENATE(ROW()-2, ".",C3)</f>
        <v>1.QAing</v>
      </c>
      <c r="E3" s="0" t="s">
        <v>399</v>
      </c>
      <c r="F3" s="0" t="str">
        <f aca="false">CONCATENATE(ROW()-2, ".",E3)</f>
        <v>1.Reviewing</v>
      </c>
    </row>
    <row r="4" customFormat="false" ht="15" hidden="false" customHeight="false" outlineLevel="0" collapsed="false">
      <c r="A4" s="0" t="s">
        <v>400</v>
      </c>
      <c r="B4" s="0" t="str">
        <f aca="false">CONCATENATE(ROW()-2, ".",A4)</f>
        <v>2.To UAT</v>
      </c>
      <c r="C4" s="0" t="s">
        <v>401</v>
      </c>
      <c r="D4" s="0" t="str">
        <f aca="false">CONCATENATE(ROW()-2, ".",C4)</f>
        <v>2.To QA</v>
      </c>
      <c r="E4" s="0" t="s">
        <v>402</v>
      </c>
      <c r="F4" s="0" t="str">
        <f aca="false">CONCATENATE(ROW()-2, ".",E4)</f>
        <v>2.To Review</v>
      </c>
    </row>
    <row r="5" customFormat="false" ht="15" hidden="false" customHeight="false" outlineLevel="0" collapsed="false">
      <c r="A5" s="0" t="s">
        <v>403</v>
      </c>
      <c r="B5" s="0" t="str">
        <f aca="false">CONCATENATE(ROW()-2, ".",A5)</f>
        <v>3.Doing</v>
      </c>
      <c r="C5" s="0" t="s">
        <v>404</v>
      </c>
      <c r="D5" s="0" t="str">
        <f aca="false">CONCATENATE(ROW()-2, ".",C5)</f>
        <v>3.Feature Reviewing</v>
      </c>
      <c r="E5" s="0" t="s">
        <v>403</v>
      </c>
      <c r="F5" s="0" t="str">
        <f aca="false">CONCATENATE(ROW()-2, ".",E5)</f>
        <v>3.Doing</v>
      </c>
    </row>
    <row r="6" customFormat="false" ht="15" hidden="false" customHeight="false" outlineLevel="0" collapsed="false">
      <c r="A6" s="0" t="s">
        <v>405</v>
      </c>
      <c r="B6" s="0" t="str">
        <f aca="false">CONCATENATE(ROW()-2, ".",A6)</f>
        <v>4.To Do</v>
      </c>
      <c r="C6" s="0" t="s">
        <v>406</v>
      </c>
      <c r="D6" s="0" t="str">
        <f aca="false">CONCATENATE(ROW()-2, ".",C6)</f>
        <v>4.To Feature Review</v>
      </c>
      <c r="E6" s="0" t="s">
        <v>405</v>
      </c>
      <c r="F6" s="0" t="str">
        <f aca="false">CONCATENATE(ROW()-2, ".",E6)</f>
        <v>4.To Do</v>
      </c>
    </row>
    <row r="7" customFormat="false" ht="15" hidden="false" customHeight="false" outlineLevel="0" collapsed="false">
      <c r="A7" s="0" t="s">
        <v>387</v>
      </c>
      <c r="B7" s="0" t="str">
        <f aca="false">CONCATENATE(ROW()-2, ".",A7)</f>
        <v>5.Open</v>
      </c>
      <c r="C7" s="0" t="s">
        <v>407</v>
      </c>
      <c r="D7" s="0" t="str">
        <f aca="false">CONCATENATE(ROW()-2, ".",C7)</f>
        <v>5.Alpha Testing</v>
      </c>
      <c r="E7" s="0" t="s">
        <v>387</v>
      </c>
      <c r="F7" s="0" t="str">
        <f aca="false">CONCATENATE(ROW()-2, ".",E7)</f>
        <v>5.Open</v>
      </c>
    </row>
    <row r="8" customFormat="false" ht="15" hidden="false" customHeight="false" outlineLevel="0" collapsed="false">
      <c r="A8" s="0" t="s">
        <v>408</v>
      </c>
      <c r="B8" s="0" t="s">
        <v>409</v>
      </c>
      <c r="C8" s="0" t="s">
        <v>410</v>
      </c>
      <c r="D8" s="0" t="str">
        <f aca="false">CONCATENATE(ROW()-2, ".",C8)</f>
        <v>6.To Alpha Test</v>
      </c>
      <c r="E8" s="0" t="s">
        <v>408</v>
      </c>
      <c r="F8" s="0" t="s">
        <v>409</v>
      </c>
    </row>
    <row r="9" customFormat="false" ht="15" hidden="false" customHeight="false" outlineLevel="0" collapsed="false">
      <c r="C9" s="0" t="s">
        <v>403</v>
      </c>
      <c r="D9" s="0" t="str">
        <f aca="false">CONCATENATE(ROW()-2, ".",C9)</f>
        <v>7.Doing</v>
      </c>
    </row>
    <row r="10" customFormat="false" ht="15" hidden="false" customHeight="false" outlineLevel="0" collapsed="false">
      <c r="C10" s="0" t="s">
        <v>405</v>
      </c>
      <c r="D10" s="0" t="str">
        <f aca="false">CONCATENATE(ROW()-2, ".",C10)</f>
        <v>8.To Do</v>
      </c>
    </row>
    <row r="11" customFormat="false" ht="15" hidden="false" customHeight="false" outlineLevel="0" collapsed="false">
      <c r="C11" s="0" t="s">
        <v>387</v>
      </c>
      <c r="D11" s="0" t="str">
        <f aca="false">CONCATENATE(ROW()-2, ".",C11)</f>
        <v>9.Open</v>
      </c>
    </row>
    <row r="12" customFormat="false" ht="15" hidden="false" customHeight="false" outlineLevel="0" collapsed="false">
      <c r="C12" s="0" t="s">
        <v>408</v>
      </c>
      <c r="D12" s="0" t="s">
        <v>409</v>
      </c>
    </row>
  </sheetData>
  <mergeCells count="3">
    <mergeCell ref="A1:B1"/>
    <mergeCell ref="C1:D1"/>
    <mergeCell ref="E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R3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2" activeCellId="0" sqref="A2"/>
    </sheetView>
  </sheetViews>
  <sheetFormatPr defaultRowHeight="15"/>
  <cols>
    <col collapsed="false" hidden="false" max="1" min="1" style="75" width="15.1376518218623"/>
    <col collapsed="false" hidden="false" max="2" min="2" style="75" width="22.4251012145749"/>
    <col collapsed="false" hidden="false" max="3" min="3" style="75" width="57.7165991902834"/>
    <col collapsed="false" hidden="false" max="4" min="4" style="75" width="69.7125506072875"/>
    <col collapsed="false" hidden="false" max="5" min="5" style="146" width="14.8542510121458"/>
    <col collapsed="false" hidden="false" max="6" min="6" style="75" width="24.2793522267206"/>
    <col collapsed="false" hidden="false" max="7" min="7" style="75" width="9"/>
    <col collapsed="false" hidden="false" max="8" min="8" style="75" width="8.2834008097166"/>
    <col collapsed="false" hidden="false" max="9" min="9" style="147" width="9.71255060728745"/>
    <col collapsed="false" hidden="false" max="10" min="10" style="147" width="14.7125506072875"/>
    <col collapsed="false" hidden="false" max="11" min="11" style="148" width="31.4291497975708"/>
    <col collapsed="false" hidden="false" max="12" min="12" style="75" width="10.8542510121457"/>
    <col collapsed="false" hidden="false" max="13" min="13" style="149" width="9.85425101214575"/>
    <col collapsed="false" hidden="false" max="14" min="14" style="149" width="9.1417004048583"/>
    <col collapsed="false" hidden="false" max="15" min="15" style="150" width="18.2834008097166"/>
    <col collapsed="false" hidden="false" max="16" min="16" style="75" width="24"/>
    <col collapsed="false" hidden="false" max="17" min="17" style="75" width="12.2834008097166"/>
    <col collapsed="false" hidden="false" max="18" min="18" style="75" width="15.7125506072875"/>
    <col collapsed="false" hidden="false" max="19" min="19" style="75" width="3.71255060728745"/>
    <col collapsed="false" hidden="false" max="1025" min="20" style="75" width="8.1417004048583"/>
  </cols>
  <sheetData>
    <row r="1" s="70" customFormat="true" ht="15" hidden="false" customHeight="false" outlineLevel="0" collapsed="false">
      <c r="A1" s="151" t="s">
        <v>301</v>
      </c>
      <c r="B1" s="151" t="s">
        <v>303</v>
      </c>
      <c r="C1" s="151" t="s">
        <v>411</v>
      </c>
      <c r="D1" s="151" t="s">
        <v>412</v>
      </c>
      <c r="E1" s="151" t="s">
        <v>302</v>
      </c>
      <c r="F1" s="151" t="s">
        <v>298</v>
      </c>
      <c r="G1" s="151" t="s">
        <v>276</v>
      </c>
      <c r="H1" s="151" t="s">
        <v>413</v>
      </c>
      <c r="I1" s="151" t="s">
        <v>332</v>
      </c>
      <c r="J1" s="151" t="s">
        <v>414</v>
      </c>
      <c r="K1" s="152" t="s">
        <v>415</v>
      </c>
      <c r="L1" s="151" t="s">
        <v>299</v>
      </c>
      <c r="M1" s="153" t="s">
        <v>273</v>
      </c>
      <c r="N1" s="154" t="s">
        <v>416</v>
      </c>
      <c r="O1" s="155" t="s">
        <v>417</v>
      </c>
      <c r="P1" s="152" t="s">
        <v>418</v>
      </c>
      <c r="Q1" s="70" t="s">
        <v>419</v>
      </c>
      <c r="R1" s="70" t="s">
        <v>420</v>
      </c>
    </row>
    <row r="2" customFormat="false" ht="15" hidden="false" customHeight="false" outlineLevel="0" collapsed="false">
      <c r="A2" s="75" t="s">
        <v>12</v>
      </c>
      <c r="B2" s="75" t="s">
        <v>16</v>
      </c>
      <c r="C2" s="75" t="s">
        <v>421</v>
      </c>
      <c r="D2" s="75" t="s">
        <v>422</v>
      </c>
      <c r="E2" s="146" t="s">
        <v>306</v>
      </c>
      <c r="F2" s="75" t="s">
        <v>28</v>
      </c>
      <c r="G2" s="75" t="s">
        <v>285</v>
      </c>
      <c r="H2" s="75" t="s">
        <v>339</v>
      </c>
      <c r="I2" s="147" t="n">
        <v>8.51063829787234</v>
      </c>
      <c r="J2" s="147" t="n">
        <v>10.2127659574468</v>
      </c>
      <c r="K2" s="148" t="n">
        <v>8.57872340425532</v>
      </c>
      <c r="L2" s="75" t="s">
        <v>284</v>
      </c>
      <c r="M2" s="52" t="n">
        <v>42870</v>
      </c>
      <c r="N2" s="52" t="n">
        <v>42873</v>
      </c>
      <c r="O2" s="150" t="n">
        <v>1</v>
      </c>
      <c r="P2" s="75" t="n">
        <v>8</v>
      </c>
      <c r="Q2" s="75" t="n">
        <v>0.932539682539683</v>
      </c>
      <c r="R2" s="75" t="n">
        <v>7.93650793650794</v>
      </c>
    </row>
    <row r="3" customFormat="false" ht="15" hidden="false" customHeight="false" outlineLevel="0" collapsed="false">
      <c r="A3" s="75" t="s">
        <v>12</v>
      </c>
      <c r="B3" s="75" t="s">
        <v>16</v>
      </c>
      <c r="C3" s="75" t="s">
        <v>421</v>
      </c>
      <c r="D3" s="75" t="s">
        <v>422</v>
      </c>
      <c r="E3" s="146" t="s">
        <v>306</v>
      </c>
      <c r="F3" s="75" t="s">
        <v>28</v>
      </c>
      <c r="G3" s="75" t="s">
        <v>282</v>
      </c>
      <c r="H3" s="75" t="s">
        <v>339</v>
      </c>
      <c r="I3" s="147" t="n">
        <v>8.51063829787234</v>
      </c>
      <c r="J3" s="147" t="n">
        <v>10.2127659574468</v>
      </c>
      <c r="K3" s="148" t="n">
        <v>3.67659574468085</v>
      </c>
      <c r="L3" s="75" t="s">
        <v>281</v>
      </c>
      <c r="M3" s="52" t="n">
        <v>42870</v>
      </c>
      <c r="N3" s="52" t="n">
        <v>42873</v>
      </c>
      <c r="O3" s="150" t="n">
        <v>0.459574468085106</v>
      </c>
      <c r="P3" s="75" t="n">
        <v>3.67659574468085</v>
      </c>
      <c r="Q3" s="75" t="n">
        <v>1</v>
      </c>
      <c r="R3" s="75" t="n">
        <v>8.51063829787234</v>
      </c>
    </row>
    <row r="4" customFormat="false" ht="15" hidden="false" customHeight="false" outlineLevel="0" collapsed="false">
      <c r="A4" s="75" t="s">
        <v>12</v>
      </c>
      <c r="B4" s="75" t="s">
        <v>13</v>
      </c>
      <c r="C4" s="75" t="s">
        <v>423</v>
      </c>
      <c r="D4" s="75" t="s">
        <v>424</v>
      </c>
      <c r="E4" s="146" t="s">
        <v>304</v>
      </c>
      <c r="F4" s="75" t="s">
        <v>27</v>
      </c>
      <c r="G4" s="75" t="s">
        <v>282</v>
      </c>
      <c r="H4" s="75" t="s">
        <v>339</v>
      </c>
      <c r="I4" s="147" t="n">
        <v>2.12765957446808</v>
      </c>
      <c r="J4" s="147" t="n">
        <v>2.5531914893617</v>
      </c>
      <c r="K4" s="148" t="n">
        <v>3.06382978723404</v>
      </c>
      <c r="L4" s="75" t="s">
        <v>281</v>
      </c>
      <c r="M4" s="52" t="n">
        <v>42870</v>
      </c>
      <c r="N4" s="52" t="n">
        <v>42873</v>
      </c>
      <c r="O4" s="150" t="n">
        <v>0.382978723404255</v>
      </c>
      <c r="P4" s="75" t="n">
        <v>3.06382978723404</v>
      </c>
      <c r="Q4" s="75" t="n">
        <v>1</v>
      </c>
      <c r="R4" s="75" t="n">
        <v>2.12765957446808</v>
      </c>
    </row>
    <row r="5" customFormat="false" ht="15" hidden="false" customHeight="false" outlineLevel="0" collapsed="false">
      <c r="A5" s="75" t="s">
        <v>18</v>
      </c>
      <c r="B5" s="75" t="s">
        <v>20</v>
      </c>
      <c r="C5" s="75" t="s">
        <v>425</v>
      </c>
      <c r="D5" s="75" t="s">
        <v>426</v>
      </c>
      <c r="E5" s="146" t="s">
        <v>304</v>
      </c>
      <c r="F5" s="75" t="s">
        <v>26</v>
      </c>
      <c r="G5" s="75" t="s">
        <v>285</v>
      </c>
      <c r="H5" s="75" t="s">
        <v>340</v>
      </c>
      <c r="I5" s="147" t="n">
        <v>4.25531914893617</v>
      </c>
      <c r="J5" s="147" t="n">
        <v>5.1063829787234</v>
      </c>
      <c r="K5" s="148" t="n">
        <v>4.28936170212766</v>
      </c>
      <c r="L5" s="75" t="s">
        <v>287</v>
      </c>
      <c r="M5" s="52" t="n">
        <v>42870</v>
      </c>
      <c r="N5" s="52" t="n">
        <v>42873</v>
      </c>
      <c r="O5" s="150" t="n">
        <v>0.348936170212766</v>
      </c>
      <c r="P5" s="75" t="n">
        <v>2.79148936170213</v>
      </c>
      <c r="Q5" s="75" t="n">
        <v>0.650793650793651</v>
      </c>
      <c r="R5" s="75" t="n">
        <v>2.7693346842283</v>
      </c>
    </row>
    <row r="6" customFormat="false" ht="15" hidden="false" customHeight="false" outlineLevel="0" collapsed="false">
      <c r="A6" s="75" t="s">
        <v>18</v>
      </c>
      <c r="B6" s="75" t="s">
        <v>20</v>
      </c>
      <c r="C6" s="75" t="s">
        <v>425</v>
      </c>
      <c r="D6" s="75" t="s">
        <v>427</v>
      </c>
      <c r="E6" s="146" t="s">
        <v>304</v>
      </c>
      <c r="F6" s="75" t="s">
        <v>35</v>
      </c>
      <c r="G6" s="75" t="s">
        <v>285</v>
      </c>
      <c r="H6" s="75" t="s">
        <v>339</v>
      </c>
      <c r="I6" s="147" t="n">
        <v>2.12765957446808</v>
      </c>
      <c r="J6" s="147" t="n">
        <v>2.5531914893617</v>
      </c>
      <c r="K6" s="148" t="n">
        <v>2.14468085106383</v>
      </c>
      <c r="L6" s="75" t="s">
        <v>287</v>
      </c>
      <c r="M6" s="52" t="n">
        <v>42870</v>
      </c>
      <c r="N6" s="52" t="n">
        <v>42873</v>
      </c>
      <c r="O6" s="150" t="n">
        <v>0.268085106382979</v>
      </c>
      <c r="P6" s="75" t="n">
        <v>2.14468085106383</v>
      </c>
      <c r="Q6" s="75" t="n">
        <v>1</v>
      </c>
      <c r="R6" s="75" t="n">
        <v>2.12765957446808</v>
      </c>
    </row>
    <row r="7" customFormat="false" ht="15" hidden="false" customHeight="false" outlineLevel="0" collapsed="false">
      <c r="A7" s="75" t="s">
        <v>12</v>
      </c>
      <c r="B7" s="75" t="s">
        <v>13</v>
      </c>
      <c r="C7" s="75" t="s">
        <v>428</v>
      </c>
      <c r="D7" s="75" t="s">
        <v>429</v>
      </c>
      <c r="E7" s="146" t="s">
        <v>304</v>
      </c>
      <c r="F7" s="75" t="s">
        <v>30</v>
      </c>
      <c r="G7" s="75" t="s">
        <v>285</v>
      </c>
      <c r="H7" s="75" t="s">
        <v>339</v>
      </c>
      <c r="I7" s="147" t="n">
        <v>2.12765957446808</v>
      </c>
      <c r="J7" s="147" t="n">
        <v>2.5531914893617</v>
      </c>
      <c r="K7" s="148" t="n">
        <v>1.83829787234043</v>
      </c>
      <c r="L7" s="75" t="s">
        <v>287</v>
      </c>
      <c r="M7" s="52" t="n">
        <v>42870</v>
      </c>
      <c r="N7" s="52" t="n">
        <v>42873</v>
      </c>
      <c r="O7" s="150" t="n">
        <v>0.229787234042553</v>
      </c>
      <c r="P7" s="75" t="n">
        <v>1.83829787234043</v>
      </c>
      <c r="Q7" s="75" t="n">
        <v>1</v>
      </c>
      <c r="R7" s="75" t="n">
        <v>2.12765957446808</v>
      </c>
    </row>
    <row r="8" customFormat="false" ht="15" hidden="false" customHeight="false" outlineLevel="0" collapsed="false">
      <c r="A8" s="75" t="s">
        <v>12</v>
      </c>
      <c r="B8" s="75" t="s">
        <v>13</v>
      </c>
      <c r="C8" s="75" t="s">
        <v>428</v>
      </c>
      <c r="D8" s="75" t="s">
        <v>429</v>
      </c>
      <c r="E8" s="146" t="s">
        <v>304</v>
      </c>
      <c r="F8" s="75" t="s">
        <v>30</v>
      </c>
      <c r="G8" s="75" t="s">
        <v>282</v>
      </c>
      <c r="H8" s="75" t="s">
        <v>339</v>
      </c>
      <c r="I8" s="147" t="n">
        <v>2.12765957446808</v>
      </c>
      <c r="J8" s="147" t="n">
        <v>2.5531914893617</v>
      </c>
      <c r="K8" s="148" t="n">
        <v>1.22553191489362</v>
      </c>
      <c r="L8" s="75" t="s">
        <v>281</v>
      </c>
      <c r="M8" s="52" t="n">
        <v>42870</v>
      </c>
      <c r="N8" s="52" t="n">
        <v>42873</v>
      </c>
      <c r="O8" s="150" t="n">
        <v>0.153191489361702</v>
      </c>
      <c r="P8" s="75" t="n">
        <v>1.22553191489362</v>
      </c>
      <c r="Q8" s="75" t="n">
        <v>1</v>
      </c>
      <c r="R8" s="75" t="n">
        <v>2.12765957446808</v>
      </c>
    </row>
    <row r="9" customFormat="false" ht="15" hidden="false" customHeight="false" outlineLevel="0" collapsed="false">
      <c r="A9" s="75" t="s">
        <v>18</v>
      </c>
      <c r="B9" s="75" t="s">
        <v>15</v>
      </c>
      <c r="C9" s="75" t="s">
        <v>430</v>
      </c>
      <c r="D9" s="75" t="s">
        <v>431</v>
      </c>
      <c r="E9" s="146" t="s">
        <v>304</v>
      </c>
      <c r="F9" s="75" t="s">
        <v>50</v>
      </c>
      <c r="G9" s="75" t="s">
        <v>285</v>
      </c>
      <c r="H9" s="75" t="s">
        <v>337</v>
      </c>
      <c r="I9" s="147" t="n">
        <v>2.12765957446808</v>
      </c>
      <c r="J9" s="147" t="n">
        <v>2.5531914893617</v>
      </c>
      <c r="K9" s="148" t="n">
        <v>1.22553191489362</v>
      </c>
      <c r="L9" s="75" t="s">
        <v>287</v>
      </c>
      <c r="M9" s="52" t="n">
        <v>42870</v>
      </c>
      <c r="N9" s="52" t="n">
        <v>42873</v>
      </c>
      <c r="O9" s="150" t="n">
        <v>0.153191489361702</v>
      </c>
      <c r="P9" s="75" t="n">
        <v>1.22553191489362</v>
      </c>
      <c r="Q9" s="75" t="n">
        <v>1</v>
      </c>
      <c r="R9" s="75" t="n">
        <v>2.12765957446808</v>
      </c>
    </row>
    <row r="10" customFormat="false" ht="15" hidden="false" customHeight="false" outlineLevel="0" collapsed="false">
      <c r="A10" s="75" t="s">
        <v>12</v>
      </c>
      <c r="B10" s="75" t="s">
        <v>15</v>
      </c>
      <c r="C10" s="75" t="s">
        <v>430</v>
      </c>
      <c r="D10" s="75" t="s">
        <v>432</v>
      </c>
      <c r="E10" s="146" t="s">
        <v>304</v>
      </c>
      <c r="F10" s="75" t="s">
        <v>27</v>
      </c>
      <c r="G10" s="75" t="s">
        <v>282</v>
      </c>
      <c r="H10" s="75" t="s">
        <v>339</v>
      </c>
      <c r="I10" s="147" t="n">
        <v>2.12765957446808</v>
      </c>
      <c r="J10" s="147" t="n">
        <v>2.5531914893617</v>
      </c>
      <c r="K10" s="148" t="n">
        <v>3.06382978723404</v>
      </c>
      <c r="L10" s="75" t="s">
        <v>281</v>
      </c>
      <c r="M10" s="52" t="n">
        <v>42870</v>
      </c>
      <c r="N10" s="52" t="n">
        <v>42873</v>
      </c>
      <c r="O10" s="150" t="n">
        <v>0.00425531914893629</v>
      </c>
      <c r="P10" s="75" t="n">
        <v>0.0340425531914903</v>
      </c>
      <c r="Q10" s="75" t="n">
        <v>0.0111111111111114</v>
      </c>
      <c r="R10" s="75" t="n">
        <v>0.0236406619385349</v>
      </c>
    </row>
    <row r="11" customFormat="false" ht="15" hidden="false" customHeight="false" outlineLevel="0" collapsed="false">
      <c r="A11" s="75" t="s">
        <v>18</v>
      </c>
      <c r="B11" s="75" t="s">
        <v>20</v>
      </c>
      <c r="C11" s="75" t="s">
        <v>425</v>
      </c>
      <c r="D11" s="75" t="s">
        <v>433</v>
      </c>
      <c r="E11" s="146" t="s">
        <v>304</v>
      </c>
      <c r="F11" s="75" t="s">
        <v>34</v>
      </c>
      <c r="G11" s="75" t="s">
        <v>285</v>
      </c>
      <c r="H11" s="75" t="s">
        <v>341</v>
      </c>
      <c r="I11" s="147" t="n">
        <v>9.57446808510638</v>
      </c>
      <c r="J11" s="147" t="n">
        <v>11.4893617021277</v>
      </c>
      <c r="K11" s="148" t="n">
        <v>13.7872340425532</v>
      </c>
      <c r="L11" s="75" t="s">
        <v>287</v>
      </c>
      <c r="M11" s="52" t="n">
        <v>42870</v>
      </c>
      <c r="N11" s="52" t="n">
        <v>42874</v>
      </c>
      <c r="O11" s="150" t="n">
        <v>0.812765957446809</v>
      </c>
      <c r="P11" s="75" t="n">
        <v>6.50212765957447</v>
      </c>
      <c r="Q11" s="75" t="n">
        <v>0.471604938271605</v>
      </c>
      <c r="R11" s="75" t="n">
        <v>4.51536643026005</v>
      </c>
    </row>
    <row r="12" customFormat="false" ht="15" hidden="false" customHeight="false" outlineLevel="0" collapsed="false">
      <c r="A12" s="75" t="s">
        <v>18</v>
      </c>
      <c r="B12" s="75" t="s">
        <v>16</v>
      </c>
      <c r="C12" s="75" t="s">
        <v>434</v>
      </c>
      <c r="D12" s="75" t="s">
        <v>435</v>
      </c>
      <c r="E12" s="146" t="s">
        <v>305</v>
      </c>
      <c r="F12" s="75" t="s">
        <v>35</v>
      </c>
      <c r="G12" s="75" t="s">
        <v>285</v>
      </c>
      <c r="H12" s="75" t="s">
        <v>341</v>
      </c>
      <c r="I12" s="147" t="n">
        <v>8.51063829787234</v>
      </c>
      <c r="J12" s="147" t="n">
        <v>10.2127659574468</v>
      </c>
      <c r="K12" s="148" t="n">
        <v>8.57872340425532</v>
      </c>
      <c r="L12" s="75" t="s">
        <v>284</v>
      </c>
      <c r="M12" s="52" t="n">
        <v>42870</v>
      </c>
      <c r="N12" s="52" t="n">
        <v>42874</v>
      </c>
      <c r="O12" s="150" t="n">
        <v>0.391489361702128</v>
      </c>
      <c r="P12" s="75" t="n">
        <v>3.13191489361702</v>
      </c>
      <c r="Q12" s="75" t="n">
        <v>0.365079365079365</v>
      </c>
      <c r="R12" s="75" t="n">
        <v>3.10705842620737</v>
      </c>
    </row>
    <row r="13" customFormat="false" ht="15" hidden="false" customHeight="false" outlineLevel="0" collapsed="false">
      <c r="A13" s="75" t="s">
        <v>12</v>
      </c>
      <c r="B13" s="75" t="s">
        <v>16</v>
      </c>
      <c r="C13" s="75" t="s">
        <v>421</v>
      </c>
      <c r="D13" s="75" t="s">
        <v>436</v>
      </c>
      <c r="E13" s="146" t="s">
        <v>304</v>
      </c>
      <c r="F13" s="75" t="s">
        <v>27</v>
      </c>
      <c r="G13" s="75" t="s">
        <v>282</v>
      </c>
      <c r="H13" s="75" t="s">
        <v>339</v>
      </c>
      <c r="I13" s="147" t="n">
        <v>2.12765957446808</v>
      </c>
      <c r="J13" s="147" t="n">
        <v>2.5531914893617</v>
      </c>
      <c r="K13" s="148" t="n">
        <v>3.06382978723404</v>
      </c>
      <c r="L13" s="75" t="s">
        <v>281</v>
      </c>
      <c r="M13" s="52" t="n">
        <v>42870</v>
      </c>
      <c r="N13" s="52" t="n">
        <v>42874</v>
      </c>
      <c r="O13" s="150" t="n">
        <v>0.382978723404255</v>
      </c>
      <c r="P13" s="75" t="n">
        <v>3.06382978723404</v>
      </c>
      <c r="Q13" s="75" t="n">
        <v>1</v>
      </c>
      <c r="R13" s="75" t="n">
        <v>2.12765957446808</v>
      </c>
    </row>
    <row r="14" customFormat="false" ht="15" hidden="false" customHeight="false" outlineLevel="0" collapsed="false">
      <c r="A14" s="75" t="s">
        <v>12</v>
      </c>
      <c r="B14" s="75" t="s">
        <v>15</v>
      </c>
      <c r="C14" s="75" t="s">
        <v>430</v>
      </c>
      <c r="D14" s="75" t="s">
        <v>432</v>
      </c>
      <c r="E14" s="146" t="s">
        <v>304</v>
      </c>
      <c r="F14" s="75" t="s">
        <v>27</v>
      </c>
      <c r="G14" s="75" t="s">
        <v>282</v>
      </c>
      <c r="H14" s="75" t="s">
        <v>339</v>
      </c>
      <c r="I14" s="147" t="n">
        <v>2.12765957446808</v>
      </c>
      <c r="J14" s="147" t="n">
        <v>0.0340425531914903</v>
      </c>
      <c r="K14" s="148" t="n">
        <v>3.06382978723404</v>
      </c>
      <c r="L14" s="75" t="s">
        <v>281</v>
      </c>
      <c r="M14" s="52" t="n">
        <v>42870</v>
      </c>
      <c r="N14" s="52" t="n">
        <v>42874</v>
      </c>
      <c r="O14" s="150" t="n">
        <v>0.378723404255319</v>
      </c>
      <c r="P14" s="75" t="n">
        <v>3.02978723404255</v>
      </c>
      <c r="Q14" s="75" t="n">
        <v>0.988888888888889</v>
      </c>
      <c r="R14" s="75" t="n">
        <v>2.10401891252955</v>
      </c>
    </row>
    <row r="15" customFormat="false" ht="15" hidden="false" customHeight="false" outlineLevel="0" collapsed="false">
      <c r="A15" s="75" t="s">
        <v>18</v>
      </c>
      <c r="B15" s="75" t="s">
        <v>13</v>
      </c>
      <c r="C15" s="75" t="s">
        <v>437</v>
      </c>
      <c r="D15" s="75" t="s">
        <v>438</v>
      </c>
      <c r="E15" s="146" t="s">
        <v>305</v>
      </c>
      <c r="F15" s="75" t="s">
        <v>26</v>
      </c>
      <c r="G15" s="75" t="s">
        <v>285</v>
      </c>
      <c r="H15" s="75" t="s">
        <v>339</v>
      </c>
      <c r="I15" s="147" t="n">
        <v>2.12765957446808</v>
      </c>
      <c r="J15" s="147" t="n">
        <v>2.5531914893617</v>
      </c>
      <c r="K15" s="148" t="n">
        <v>2.14468085106383</v>
      </c>
      <c r="L15" s="75" t="s">
        <v>284</v>
      </c>
      <c r="M15" s="52" t="n">
        <v>42870</v>
      </c>
      <c r="N15" s="52" t="n">
        <v>42874</v>
      </c>
      <c r="O15" s="150" t="n">
        <v>0.268085106382979</v>
      </c>
      <c r="P15" s="75" t="n">
        <v>2.14468085106383</v>
      </c>
      <c r="Q15" s="75" t="n">
        <v>1</v>
      </c>
      <c r="R15" s="75" t="n">
        <v>2.12765957446808</v>
      </c>
    </row>
    <row r="16" customFormat="false" ht="15" hidden="false" customHeight="false" outlineLevel="0" collapsed="false">
      <c r="A16" s="75" t="s">
        <v>18</v>
      </c>
      <c r="B16" s="75" t="s">
        <v>13</v>
      </c>
      <c r="C16" s="75" t="s">
        <v>437</v>
      </c>
      <c r="D16" s="75" t="s">
        <v>439</v>
      </c>
      <c r="E16" s="146" t="s">
        <v>305</v>
      </c>
      <c r="F16" s="75" t="s">
        <v>26</v>
      </c>
      <c r="G16" s="75" t="s">
        <v>285</v>
      </c>
      <c r="H16" s="75" t="s">
        <v>339</v>
      </c>
      <c r="I16" s="147" t="n">
        <v>2.12765957446808</v>
      </c>
      <c r="J16" s="147" t="n">
        <v>2.5531914893617</v>
      </c>
      <c r="K16" s="148" t="n">
        <v>2.14468085106383</v>
      </c>
      <c r="L16" s="75" t="s">
        <v>284</v>
      </c>
      <c r="M16" s="52" t="n">
        <v>42870</v>
      </c>
      <c r="N16" s="52" t="n">
        <v>42874</v>
      </c>
      <c r="O16" s="150" t="n">
        <v>0.268085106382979</v>
      </c>
      <c r="P16" s="75" t="n">
        <v>2.14468085106383</v>
      </c>
      <c r="Q16" s="75" t="n">
        <v>1</v>
      </c>
      <c r="R16" s="75" t="n">
        <v>2.12765957446808</v>
      </c>
    </row>
    <row r="17" customFormat="false" ht="15" hidden="false" customHeight="false" outlineLevel="0" collapsed="false">
      <c r="A17" s="75" t="s">
        <v>12</v>
      </c>
      <c r="B17" s="75" t="s">
        <v>17</v>
      </c>
      <c r="C17" s="75" t="s">
        <v>440</v>
      </c>
      <c r="D17" s="75" t="s">
        <v>441</v>
      </c>
      <c r="E17" s="146" t="s">
        <v>305</v>
      </c>
      <c r="F17" s="75" t="s">
        <v>27</v>
      </c>
      <c r="G17" s="75" t="s">
        <v>282</v>
      </c>
      <c r="H17" s="75" t="s">
        <v>339</v>
      </c>
      <c r="I17" s="147" t="n">
        <v>2.12765957446808</v>
      </c>
      <c r="J17" s="147" t="n">
        <v>2.5531914893617</v>
      </c>
      <c r="K17" s="148" t="n">
        <v>3.06382978723404</v>
      </c>
      <c r="L17" s="75" t="s">
        <v>281</v>
      </c>
      <c r="M17" s="52" t="n">
        <v>42870</v>
      </c>
      <c r="N17" s="52" t="n">
        <v>42874</v>
      </c>
      <c r="O17" s="150" t="n">
        <v>0.238297872340426</v>
      </c>
      <c r="P17" s="75" t="n">
        <v>1.90638297872341</v>
      </c>
      <c r="Q17" s="75" t="n">
        <v>0.622222222222223</v>
      </c>
      <c r="R17" s="75" t="n">
        <v>1.32387706855792</v>
      </c>
    </row>
    <row r="18" customFormat="false" ht="15" hidden="false" customHeight="false" outlineLevel="0" collapsed="false">
      <c r="A18" s="75" t="s">
        <v>18</v>
      </c>
      <c r="B18" s="75" t="s">
        <v>20</v>
      </c>
      <c r="C18" s="75" t="s">
        <v>425</v>
      </c>
      <c r="D18" s="75" t="s">
        <v>426</v>
      </c>
      <c r="E18" s="146" t="s">
        <v>304</v>
      </c>
      <c r="F18" s="75" t="s">
        <v>26</v>
      </c>
      <c r="G18" s="75" t="s">
        <v>285</v>
      </c>
      <c r="H18" s="75" t="s">
        <v>340</v>
      </c>
      <c r="I18" s="147" t="n">
        <v>4.25531914893617</v>
      </c>
      <c r="J18" s="147" t="n">
        <v>2.79148936170213</v>
      </c>
      <c r="K18" s="148" t="n">
        <v>4.28936170212766</v>
      </c>
      <c r="L18" s="75" t="s">
        <v>287</v>
      </c>
      <c r="M18" s="52" t="n">
        <v>42870</v>
      </c>
      <c r="N18" s="52" t="n">
        <v>42874</v>
      </c>
      <c r="O18" s="150" t="n">
        <v>0.187234042553191</v>
      </c>
      <c r="P18" s="75" t="n">
        <v>1.49787234042553</v>
      </c>
      <c r="Q18" s="75" t="n">
        <v>0.349206349206349</v>
      </c>
      <c r="R18" s="75" t="n">
        <v>1.48598446470787</v>
      </c>
    </row>
    <row r="19" customFormat="false" ht="15" hidden="false" customHeight="false" outlineLevel="0" collapsed="false">
      <c r="A19" s="75" t="s">
        <v>12</v>
      </c>
      <c r="B19" s="75" t="s">
        <v>16</v>
      </c>
      <c r="C19" s="75" t="s">
        <v>421</v>
      </c>
      <c r="D19" s="75" t="s">
        <v>422</v>
      </c>
      <c r="E19" s="146" t="s">
        <v>306</v>
      </c>
      <c r="F19" s="75" t="s">
        <v>28</v>
      </c>
      <c r="G19" s="75" t="s">
        <v>285</v>
      </c>
      <c r="H19" s="75" t="s">
        <v>339</v>
      </c>
      <c r="I19" s="147" t="n">
        <v>8.51063829787234</v>
      </c>
      <c r="J19" s="147" t="n">
        <v>8</v>
      </c>
      <c r="K19" s="148" t="n">
        <v>8.57872340425532</v>
      </c>
      <c r="L19" s="75" t="s">
        <v>284</v>
      </c>
      <c r="M19" s="52" t="n">
        <v>42870</v>
      </c>
      <c r="N19" s="52" t="n">
        <v>42874</v>
      </c>
      <c r="O19" s="150" t="n">
        <v>0.0723404255319147</v>
      </c>
      <c r="P19" s="75" t="n">
        <v>0.578723404255317</v>
      </c>
      <c r="Q19" s="75" t="n">
        <v>0.0674603174603173</v>
      </c>
      <c r="R19" s="75" t="n">
        <v>0.574130361364402</v>
      </c>
    </row>
    <row r="20" customFormat="false" ht="15" hidden="false" customHeight="false" outlineLevel="0" collapsed="false">
      <c r="A20" s="75" t="s">
        <v>18</v>
      </c>
      <c r="B20" s="75" t="s">
        <v>20</v>
      </c>
      <c r="C20" s="75" t="s">
        <v>425</v>
      </c>
      <c r="D20" s="75" t="s">
        <v>433</v>
      </c>
      <c r="E20" s="146" t="s">
        <v>304</v>
      </c>
      <c r="F20" s="75" t="s">
        <v>34</v>
      </c>
      <c r="G20" s="75" t="s">
        <v>285</v>
      </c>
      <c r="H20" s="75" t="s">
        <v>341</v>
      </c>
      <c r="I20" s="147" t="n">
        <v>9.57446808510638</v>
      </c>
      <c r="J20" s="147" t="n">
        <v>6.50212765957447</v>
      </c>
      <c r="K20" s="148" t="n">
        <v>13.7872340425532</v>
      </c>
      <c r="L20" s="75" t="s">
        <v>287</v>
      </c>
      <c r="M20" s="52" t="n">
        <v>42877</v>
      </c>
      <c r="N20" s="52" t="n">
        <v>42877</v>
      </c>
      <c r="O20" s="150" t="n">
        <v>0.91063829787234</v>
      </c>
      <c r="P20" s="75" t="n">
        <v>7.28510638297872</v>
      </c>
      <c r="Q20" s="75" t="n">
        <v>0.528395061728395</v>
      </c>
      <c r="R20" s="75" t="n">
        <v>5.05910165484633</v>
      </c>
    </row>
    <row r="21" customFormat="false" ht="15" hidden="false" customHeight="false" outlineLevel="0" collapsed="false">
      <c r="A21" s="75" t="s">
        <v>18</v>
      </c>
      <c r="B21" s="75" t="s">
        <v>16</v>
      </c>
      <c r="C21" s="75" t="s">
        <v>434</v>
      </c>
      <c r="D21" s="75" t="s">
        <v>435</v>
      </c>
      <c r="E21" s="146" t="s">
        <v>305</v>
      </c>
      <c r="F21" s="75" t="s">
        <v>35</v>
      </c>
      <c r="G21" s="75" t="s">
        <v>285</v>
      </c>
      <c r="H21" s="75" t="s">
        <v>341</v>
      </c>
      <c r="I21" s="147" t="n">
        <v>8.51063829787234</v>
      </c>
      <c r="J21" s="147" t="n">
        <v>3.13191489361702</v>
      </c>
      <c r="K21" s="148" t="n">
        <v>8.57872340425532</v>
      </c>
      <c r="L21" s="75" t="s">
        <v>284</v>
      </c>
      <c r="M21" s="52" t="n">
        <v>42877</v>
      </c>
      <c r="N21" s="52" t="n">
        <v>42877</v>
      </c>
      <c r="O21" s="150" t="n">
        <v>0.680851063829787</v>
      </c>
      <c r="P21" s="75" t="n">
        <v>5.44680851063829</v>
      </c>
      <c r="Q21" s="75" t="n">
        <v>0.634920634920635</v>
      </c>
      <c r="R21" s="75" t="n">
        <v>5.40357987166497</v>
      </c>
    </row>
    <row r="22" customFormat="false" ht="15" hidden="false" customHeight="false" outlineLevel="0" collapsed="false">
      <c r="A22" s="75" t="s">
        <v>18</v>
      </c>
      <c r="B22" s="75" t="s">
        <v>15</v>
      </c>
      <c r="C22" s="75" t="s">
        <v>430</v>
      </c>
      <c r="D22" s="75" t="s">
        <v>431</v>
      </c>
      <c r="E22" s="146" t="s">
        <v>304</v>
      </c>
      <c r="F22" s="75" t="s">
        <v>50</v>
      </c>
      <c r="G22" s="75" t="s">
        <v>282</v>
      </c>
      <c r="H22" s="75" t="s">
        <v>337</v>
      </c>
      <c r="I22" s="147" t="n">
        <v>2.12765957446808</v>
      </c>
      <c r="J22" s="147" t="n">
        <v>2.5531914893617</v>
      </c>
      <c r="K22" s="148" t="n">
        <v>1.83829787234043</v>
      </c>
      <c r="L22" s="75" t="s">
        <v>281</v>
      </c>
      <c r="M22" s="52" t="n">
        <v>42877</v>
      </c>
      <c r="N22" s="52" t="n">
        <v>42877</v>
      </c>
      <c r="O22" s="150" t="n">
        <v>0.229787234042553</v>
      </c>
      <c r="P22" s="75" t="n">
        <v>1.83829787234043</v>
      </c>
      <c r="Q22" s="75" t="n">
        <v>1</v>
      </c>
      <c r="R22" s="75" t="n">
        <v>2.12765957446808</v>
      </c>
    </row>
    <row r="23" customFormat="false" ht="15" hidden="false" customHeight="false" outlineLevel="0" collapsed="false">
      <c r="A23" s="75" t="s">
        <v>18</v>
      </c>
      <c r="B23" s="75" t="s">
        <v>20</v>
      </c>
      <c r="C23" s="75" t="s">
        <v>425</v>
      </c>
      <c r="D23" s="75" t="s">
        <v>426</v>
      </c>
      <c r="E23" s="146" t="s">
        <v>304</v>
      </c>
      <c r="F23" s="75" t="s">
        <v>26</v>
      </c>
      <c r="G23" s="75" t="s">
        <v>282</v>
      </c>
      <c r="H23" s="75" t="s">
        <v>340</v>
      </c>
      <c r="I23" s="147" t="n">
        <v>4.25531914893617</v>
      </c>
      <c r="J23" s="147" t="n">
        <v>5.1063829787234</v>
      </c>
      <c r="K23" s="148" t="n">
        <v>1.83829787234043</v>
      </c>
      <c r="L23" s="75" t="s">
        <v>281</v>
      </c>
      <c r="M23" s="52" t="n">
        <v>42877</v>
      </c>
      <c r="N23" s="52" t="n">
        <v>42877</v>
      </c>
      <c r="O23" s="150" t="n">
        <v>0.229787234042553</v>
      </c>
      <c r="P23" s="75" t="n">
        <v>1.83829787234043</v>
      </c>
      <c r="Q23" s="75" t="n">
        <v>1</v>
      </c>
      <c r="R23" s="75" t="n">
        <v>4.25531914893617</v>
      </c>
    </row>
    <row r="24" customFormat="false" ht="15" hidden="false" customHeight="false" outlineLevel="0" collapsed="false">
      <c r="A24" s="75" t="s">
        <v>12</v>
      </c>
      <c r="B24" s="75" t="s">
        <v>17</v>
      </c>
      <c r="C24" s="75" t="s">
        <v>440</v>
      </c>
      <c r="D24" s="75" t="s">
        <v>441</v>
      </c>
      <c r="E24" s="146" t="s">
        <v>305</v>
      </c>
      <c r="F24" s="75" t="s">
        <v>27</v>
      </c>
      <c r="G24" s="75" t="s">
        <v>282</v>
      </c>
      <c r="H24" s="75" t="s">
        <v>339</v>
      </c>
      <c r="I24" s="147" t="n">
        <v>2.12765957446808</v>
      </c>
      <c r="J24" s="147" t="n">
        <v>1.90638297872341</v>
      </c>
      <c r="K24" s="148" t="n">
        <v>3.06382978723404</v>
      </c>
      <c r="L24" s="75" t="s">
        <v>281</v>
      </c>
      <c r="M24" s="52" t="n">
        <v>42877</v>
      </c>
      <c r="N24" s="52" t="n">
        <v>42877</v>
      </c>
      <c r="O24" s="150" t="n">
        <v>0.144680851063829</v>
      </c>
      <c r="P24" s="75" t="n">
        <v>1.15744680851064</v>
      </c>
      <c r="Q24" s="75" t="n">
        <v>0.377777777777777</v>
      </c>
      <c r="R24" s="75" t="n">
        <v>0.803782505910164</v>
      </c>
    </row>
    <row r="25" customFormat="false" ht="15" hidden="false" customHeight="false" outlineLevel="0" collapsed="false">
      <c r="A25" s="75" t="s">
        <v>18</v>
      </c>
      <c r="B25" s="75" t="s">
        <v>13</v>
      </c>
      <c r="C25" s="75" t="s">
        <v>437</v>
      </c>
      <c r="D25" s="75" t="s">
        <v>438</v>
      </c>
      <c r="E25" s="146" t="s">
        <v>305</v>
      </c>
      <c r="F25" s="75" t="s">
        <v>26</v>
      </c>
      <c r="G25" s="75" t="s">
        <v>282</v>
      </c>
      <c r="H25" s="75" t="s">
        <v>339</v>
      </c>
      <c r="I25" s="147" t="n">
        <v>2.12765957446808</v>
      </c>
      <c r="J25" s="147" t="n">
        <v>2.5531914893617</v>
      </c>
      <c r="K25" s="148" t="n">
        <v>0.919148936170213</v>
      </c>
      <c r="L25" s="75" t="s">
        <v>281</v>
      </c>
      <c r="M25" s="52" t="n">
        <v>42877</v>
      </c>
      <c r="N25" s="52" t="n">
        <v>42877</v>
      </c>
      <c r="O25" s="150" t="n">
        <v>0.114893617021277</v>
      </c>
      <c r="P25" s="75" t="n">
        <v>0.919148936170213</v>
      </c>
      <c r="Q25" s="75" t="n">
        <v>1</v>
      </c>
      <c r="R25" s="75" t="n">
        <v>2.12765957446808</v>
      </c>
    </row>
    <row r="26" customFormat="false" ht="15" hidden="false" customHeight="false" outlineLevel="0" collapsed="false">
      <c r="A26" s="75" t="s">
        <v>18</v>
      </c>
      <c r="B26" s="75" t="s">
        <v>13</v>
      </c>
      <c r="C26" s="75" t="s">
        <v>437</v>
      </c>
      <c r="D26" s="75" t="s">
        <v>439</v>
      </c>
      <c r="E26" s="146" t="s">
        <v>305</v>
      </c>
      <c r="F26" s="75" t="s">
        <v>26</v>
      </c>
      <c r="G26" s="75" t="s">
        <v>282</v>
      </c>
      <c r="H26" s="75" t="s">
        <v>339</v>
      </c>
      <c r="I26" s="147" t="n">
        <v>2.12765957446808</v>
      </c>
      <c r="J26" s="147" t="n">
        <v>2.5531914893617</v>
      </c>
      <c r="K26" s="148" t="n">
        <v>0.919148936170213</v>
      </c>
      <c r="L26" s="75" t="s">
        <v>281</v>
      </c>
      <c r="M26" s="52" t="n">
        <v>42877</v>
      </c>
      <c r="N26" s="52" t="n">
        <v>42877</v>
      </c>
      <c r="O26" s="150" t="n">
        <v>0.114893617021277</v>
      </c>
      <c r="P26" s="75" t="n">
        <v>0.919148936170213</v>
      </c>
      <c r="Q26" s="75" t="n">
        <v>1</v>
      </c>
      <c r="R26" s="75" t="n">
        <v>2.12765957446808</v>
      </c>
    </row>
    <row r="27" customFormat="false" ht="15" hidden="false" customHeight="false" outlineLevel="0" collapsed="false">
      <c r="A27" s="75" t="s">
        <v>18</v>
      </c>
      <c r="B27" s="75" t="s">
        <v>20</v>
      </c>
      <c r="C27" s="75" t="s">
        <v>425</v>
      </c>
      <c r="D27" s="75" t="s">
        <v>427</v>
      </c>
      <c r="E27" s="146" t="s">
        <v>304</v>
      </c>
      <c r="F27" s="75" t="s">
        <v>35</v>
      </c>
      <c r="G27" s="75" t="s">
        <v>282</v>
      </c>
      <c r="H27" s="75" t="s">
        <v>339</v>
      </c>
      <c r="I27" s="147" t="n">
        <v>2.12765957446808</v>
      </c>
      <c r="J27" s="147" t="n">
        <v>2.5531914893617</v>
      </c>
      <c r="K27" s="148" t="n">
        <v>0.919148936170213</v>
      </c>
      <c r="L27" s="75" t="s">
        <v>281</v>
      </c>
      <c r="M27" s="52" t="n">
        <v>42877</v>
      </c>
      <c r="N27" s="52" t="n">
        <v>42877</v>
      </c>
      <c r="O27" s="150" t="n">
        <v>0.114893617021277</v>
      </c>
      <c r="P27" s="75" t="n">
        <v>0.919148936170213</v>
      </c>
      <c r="Q27" s="75" t="n">
        <v>1</v>
      </c>
      <c r="R27" s="75" t="n">
        <v>2.12765957446808</v>
      </c>
    </row>
    <row r="28" customFormat="false" ht="15" hidden="false" customHeight="false" outlineLevel="0" collapsed="false">
      <c r="A28" s="75" t="s">
        <v>18</v>
      </c>
      <c r="B28" s="75" t="s">
        <v>15</v>
      </c>
      <c r="C28" s="75" t="s">
        <v>430</v>
      </c>
      <c r="D28" s="75" t="s">
        <v>442</v>
      </c>
      <c r="E28" s="146" t="s">
        <v>307</v>
      </c>
      <c r="F28" s="75" t="s">
        <v>36</v>
      </c>
      <c r="G28" s="75" t="s">
        <v>285</v>
      </c>
      <c r="H28" s="75" t="s">
        <v>339</v>
      </c>
      <c r="I28" s="147" t="n">
        <v>4.25531914893617</v>
      </c>
      <c r="J28" s="147" t="n">
        <v>5.1063829787234</v>
      </c>
      <c r="K28" s="148" t="n">
        <v>6.12765957446808</v>
      </c>
      <c r="L28" s="75" t="s">
        <v>287</v>
      </c>
      <c r="M28" s="52" t="n">
        <v>42877</v>
      </c>
      <c r="N28" s="52" t="n">
        <v>42877</v>
      </c>
      <c r="O28" s="150" t="n">
        <v>0.0893617021276599</v>
      </c>
      <c r="P28" s="75" t="n">
        <v>0.714893617021279</v>
      </c>
      <c r="Q28" s="75" t="n">
        <v>0.116666666666667</v>
      </c>
      <c r="R28" s="75" t="n">
        <v>0.496453900709222</v>
      </c>
    </row>
    <row r="29" customFormat="false" ht="15" hidden="false" customHeight="false" outlineLevel="0" collapsed="false">
      <c r="A29" s="75" t="s">
        <v>18</v>
      </c>
      <c r="B29" s="75" t="s">
        <v>16</v>
      </c>
      <c r="C29" s="75" t="s">
        <v>434</v>
      </c>
      <c r="D29" s="75" t="s">
        <v>435</v>
      </c>
      <c r="E29" s="146" t="s">
        <v>305</v>
      </c>
      <c r="F29" s="75" t="s">
        <v>35</v>
      </c>
      <c r="G29" s="75" t="s">
        <v>282</v>
      </c>
      <c r="H29" s="75" t="s">
        <v>341</v>
      </c>
      <c r="I29" s="147" t="n">
        <v>8.51063829787234</v>
      </c>
      <c r="J29" s="147" t="n">
        <v>10.2127659574468</v>
      </c>
      <c r="K29" s="148" t="n">
        <v>3.67659574468085</v>
      </c>
      <c r="L29" s="75" t="s">
        <v>281</v>
      </c>
      <c r="M29" s="52" t="n">
        <v>42877</v>
      </c>
      <c r="N29" s="52" t="n">
        <v>42877</v>
      </c>
      <c r="O29" s="150" t="n">
        <v>0.0510638297872346</v>
      </c>
      <c r="P29" s="75" t="n">
        <v>0.408510638297877</v>
      </c>
      <c r="Q29" s="75" t="n">
        <v>0.111111111111112</v>
      </c>
      <c r="R29" s="75" t="n">
        <v>0.945626477541381</v>
      </c>
    </row>
    <row r="30" customFormat="false" ht="15" hidden="false" customHeight="false" outlineLevel="0" collapsed="false">
      <c r="A30" s="75" t="s">
        <v>18</v>
      </c>
      <c r="B30" s="75" t="s">
        <v>15</v>
      </c>
      <c r="C30" s="75" t="s">
        <v>430</v>
      </c>
      <c r="D30" s="75" t="s">
        <v>442</v>
      </c>
      <c r="E30" s="146" t="s">
        <v>307</v>
      </c>
      <c r="F30" s="75" t="s">
        <v>36</v>
      </c>
      <c r="G30" s="75" t="s">
        <v>285</v>
      </c>
      <c r="H30" s="75" t="s">
        <v>339</v>
      </c>
      <c r="I30" s="147" t="n">
        <v>4.25531914893617</v>
      </c>
      <c r="J30" s="147" t="n">
        <v>0.714893617021279</v>
      </c>
      <c r="K30" s="148" t="n">
        <v>6.12765957446808</v>
      </c>
      <c r="L30" s="75" t="s">
        <v>287</v>
      </c>
      <c r="M30" s="52" t="n">
        <v>42877</v>
      </c>
      <c r="N30" s="52" t="n">
        <v>42878</v>
      </c>
      <c r="O30" s="150" t="n">
        <v>0.676595744680851</v>
      </c>
      <c r="P30" s="75" t="n">
        <v>5.41276595744681</v>
      </c>
      <c r="Q30" s="75" t="n">
        <v>0.883333333333333</v>
      </c>
      <c r="R30" s="75" t="n">
        <v>3.75886524822695</v>
      </c>
    </row>
    <row r="31" customFormat="false" ht="15" hidden="false" customHeight="false" outlineLevel="0" collapsed="false">
      <c r="A31" s="75" t="s">
        <v>18</v>
      </c>
      <c r="B31" s="75" t="s">
        <v>16</v>
      </c>
      <c r="C31" s="75" t="s">
        <v>434</v>
      </c>
      <c r="D31" s="75" t="s">
        <v>435</v>
      </c>
      <c r="E31" s="146" t="s">
        <v>305</v>
      </c>
      <c r="F31" s="75" t="s">
        <v>35</v>
      </c>
      <c r="G31" s="75" t="s">
        <v>282</v>
      </c>
      <c r="H31" s="75" t="s">
        <v>341</v>
      </c>
      <c r="I31" s="147" t="n">
        <v>8.51063829787234</v>
      </c>
      <c r="J31" s="147" t="n">
        <v>0.408510638297877</v>
      </c>
      <c r="K31" s="148" t="n">
        <v>3.67659574468085</v>
      </c>
      <c r="L31" s="75" t="s">
        <v>281</v>
      </c>
      <c r="M31" s="52" t="n">
        <v>42877</v>
      </c>
      <c r="N31" s="52" t="n">
        <v>42878</v>
      </c>
      <c r="O31" s="150" t="n">
        <v>0.408510638297872</v>
      </c>
      <c r="P31" s="75" t="n">
        <v>3.26808510638297</v>
      </c>
      <c r="Q31" s="75" t="n">
        <v>0.888888888888888</v>
      </c>
      <c r="R31" s="75" t="n">
        <v>7.56501182033096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V23"/>
  <sheetViews>
    <sheetView windowProtection="false"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selection pane="topLeft" activeCell="A2" activeCellId="0" sqref="A2"/>
    </sheetView>
  </sheetViews>
  <sheetFormatPr defaultRowHeight="15"/>
  <cols>
    <col collapsed="false" hidden="false" max="1" min="1" style="0" width="14.8542510121458"/>
    <col collapsed="false" hidden="false" max="2" min="2" style="0" width="22.2793522267206"/>
    <col collapsed="false" hidden="false" max="3" min="3" style="0" width="56.8502024291498"/>
    <col collapsed="false" hidden="false" max="4" min="4" style="0" width="68.2834008097166"/>
    <col collapsed="false" hidden="false" max="5" min="5" style="0" width="23.7165991902834"/>
    <col collapsed="false" hidden="false" max="6" min="6" style="0" width="3.2834008097166"/>
    <col collapsed="false" hidden="false" max="7" min="7" style="0" width="4.2834008097166"/>
    <col collapsed="false" hidden="false" max="8" min="8" style="0" width="4.71255060728745"/>
    <col collapsed="false" hidden="false" max="9" min="9" style="0" width="8.71255060728745"/>
    <col collapsed="false" hidden="false" max="10" min="10" style="0" width="11.7125506072874"/>
    <col collapsed="false" hidden="false" max="11" min="11" style="0" width="7.2834008097166"/>
    <col collapsed="false" hidden="false" max="12" min="12" style="0" width="14.7125506072875"/>
    <col collapsed="false" hidden="false" max="13" min="13" style="0" width="3.71255060728745"/>
    <col collapsed="false" hidden="false" max="14" min="14" style="0" width="12.2834008097166"/>
    <col collapsed="false" hidden="false" max="15" min="15" style="0" width="11.7125506072874"/>
    <col collapsed="false" hidden="false" max="16" min="16" style="0" width="9.4251012145749"/>
    <col collapsed="false" hidden="false" max="17" min="17" style="0" width="10.7125506072875"/>
    <col collapsed="false" hidden="false" max="18" min="18" style="0" width="17.1376518218624"/>
    <col collapsed="false" hidden="false" max="19" min="19" style="0" width="10.7125506072875"/>
    <col collapsed="false" hidden="false" max="20" min="20" style="0" width="8.1417004048583"/>
    <col collapsed="false" hidden="false" max="21" min="21" style="0" width="10.8542510121457"/>
    <col collapsed="false" hidden="false" max="22" min="22" style="0" width="10.7125506072875"/>
    <col collapsed="false" hidden="false" max="1025" min="23" style="0" width="9.4251012145749"/>
  </cols>
  <sheetData>
    <row r="1" customFormat="false" ht="15.75" hidden="false" customHeight="false" outlineLevel="0" collapsed="false">
      <c r="A1" s="156" t="s">
        <v>443</v>
      </c>
      <c r="B1" s="156" t="s">
        <v>444</v>
      </c>
      <c r="C1" s="156" t="s">
        <v>445</v>
      </c>
      <c r="D1" s="156" t="s">
        <v>446</v>
      </c>
      <c r="E1" s="156" t="s">
        <v>447</v>
      </c>
      <c r="F1" s="156" t="s">
        <v>413</v>
      </c>
      <c r="G1" s="156" t="s">
        <v>332</v>
      </c>
      <c r="H1" s="156" t="s">
        <v>333</v>
      </c>
      <c r="I1" s="156" t="s">
        <v>276</v>
      </c>
      <c r="J1" s="156" t="s">
        <v>448</v>
      </c>
      <c r="K1" s="156" t="s">
        <v>278</v>
      </c>
      <c r="L1" s="156" t="s">
        <v>449</v>
      </c>
      <c r="M1" s="156" t="s">
        <v>269</v>
      </c>
      <c r="N1" s="156" t="s">
        <v>450</v>
      </c>
      <c r="O1" s="156" t="s">
        <v>451</v>
      </c>
      <c r="P1" s="156" t="s">
        <v>275</v>
      </c>
      <c r="Q1" s="157" t="s">
        <v>417</v>
      </c>
      <c r="R1" s="157" t="s">
        <v>452</v>
      </c>
      <c r="S1" s="157" t="s">
        <v>453</v>
      </c>
      <c r="T1" s="157" t="s">
        <v>454</v>
      </c>
      <c r="U1" s="157" t="s">
        <v>455</v>
      </c>
      <c r="V1" s="157" t="s">
        <v>456</v>
      </c>
    </row>
    <row r="2" customFormat="false" ht="15" hidden="false" customHeight="false" outlineLevel="0" collapsed="false">
      <c r="A2" s="0" t="s">
        <v>12</v>
      </c>
      <c r="B2" s="0" t="s">
        <v>16</v>
      </c>
      <c r="C2" s="0" t="s">
        <v>421</v>
      </c>
      <c r="D2" s="0" t="s">
        <v>422</v>
      </c>
      <c r="E2" s="0" t="s">
        <v>28</v>
      </c>
      <c r="F2" s="0" t="s">
        <v>339</v>
      </c>
      <c r="G2" s="0" t="n">
        <v>8.51063829787234</v>
      </c>
      <c r="H2" s="0" t="n">
        <v>10.2127659574468</v>
      </c>
      <c r="I2" s="0" t="s">
        <v>282</v>
      </c>
      <c r="J2" s="0" t="n">
        <v>8</v>
      </c>
      <c r="K2" s="0" t="n">
        <v>0.3</v>
      </c>
      <c r="L2" s="0" t="n">
        <v>3.06382978723404</v>
      </c>
      <c r="M2" s="0" t="n">
        <v>0.2</v>
      </c>
      <c r="N2" s="0" t="n">
        <v>3.67659574468085</v>
      </c>
      <c r="O2" s="0" t="n">
        <v>0.459574468085106</v>
      </c>
      <c r="P2" s="0" t="s">
        <v>281</v>
      </c>
      <c r="Q2" s="0" t="n">
        <v>0.459574468085106</v>
      </c>
      <c r="R2" s="0" t="n">
        <v>0</v>
      </c>
      <c r="S2" s="52" t="n">
        <v>42873</v>
      </c>
      <c r="U2" s="0" t="n">
        <v>3.67659574468085</v>
      </c>
    </row>
    <row r="3" customFormat="false" ht="15" hidden="false" customHeight="false" outlineLevel="0" collapsed="false">
      <c r="A3" s="0" t="s">
        <v>12</v>
      </c>
      <c r="B3" s="0" t="s">
        <v>16</v>
      </c>
      <c r="C3" s="0" t="s">
        <v>421</v>
      </c>
      <c r="D3" s="0" t="s">
        <v>422</v>
      </c>
      <c r="E3" s="0" t="s">
        <v>28</v>
      </c>
      <c r="F3" s="0" t="s">
        <v>339</v>
      </c>
      <c r="G3" s="0" t="n">
        <v>8.51063829787234</v>
      </c>
      <c r="H3" s="0" t="n">
        <v>10.2127659574468</v>
      </c>
      <c r="I3" s="0" t="s">
        <v>285</v>
      </c>
      <c r="J3" s="0" t="n">
        <v>8</v>
      </c>
      <c r="K3" s="0" t="n">
        <v>0.7</v>
      </c>
      <c r="L3" s="0" t="n">
        <v>7.14893617021277</v>
      </c>
      <c r="M3" s="0" t="n">
        <v>0.2</v>
      </c>
      <c r="N3" s="0" t="n">
        <v>8.57872340425532</v>
      </c>
      <c r="O3" s="0" t="n">
        <v>1.07234042553191</v>
      </c>
      <c r="P3" s="0" t="s">
        <v>284</v>
      </c>
      <c r="Q3" s="0" t="n">
        <v>1.07234042553191</v>
      </c>
      <c r="R3" s="0" t="n">
        <v>0</v>
      </c>
      <c r="S3" s="52" t="n">
        <v>42874</v>
      </c>
      <c r="U3" s="0" t="n">
        <v>8.57872340425532</v>
      </c>
    </row>
    <row r="4" customFormat="false" ht="15" hidden="false" customHeight="false" outlineLevel="0" collapsed="false">
      <c r="A4" s="0" t="s">
        <v>12</v>
      </c>
      <c r="B4" s="0" t="s">
        <v>13</v>
      </c>
      <c r="C4" s="0" t="s">
        <v>428</v>
      </c>
      <c r="D4" s="0" t="s">
        <v>429</v>
      </c>
      <c r="E4" s="0" t="s">
        <v>30</v>
      </c>
      <c r="F4" s="0" t="s">
        <v>339</v>
      </c>
      <c r="G4" s="0" t="n">
        <v>2.12765957446808</v>
      </c>
      <c r="H4" s="0" t="n">
        <v>2.5531914893617</v>
      </c>
      <c r="I4" s="0" t="s">
        <v>282</v>
      </c>
      <c r="J4" s="0" t="n">
        <v>8</v>
      </c>
      <c r="K4" s="0" t="n">
        <v>0.4</v>
      </c>
      <c r="L4" s="0" t="n">
        <v>1.02127659574468</v>
      </c>
      <c r="M4" s="0" t="n">
        <v>0.2</v>
      </c>
      <c r="N4" s="0" t="n">
        <v>1.22553191489362</v>
      </c>
      <c r="O4" s="0" t="n">
        <v>0.153191489361702</v>
      </c>
      <c r="P4" s="0" t="s">
        <v>281</v>
      </c>
      <c r="Q4" s="0" t="n">
        <v>0.153191489361702</v>
      </c>
      <c r="R4" s="0" t="n">
        <v>0</v>
      </c>
      <c r="S4" s="52" t="n">
        <v>42873</v>
      </c>
      <c r="U4" s="0" t="n">
        <v>1.22553191489362</v>
      </c>
    </row>
    <row r="5" customFormat="false" ht="15" hidden="false" customHeight="false" outlineLevel="0" collapsed="false">
      <c r="A5" s="0" t="s">
        <v>12</v>
      </c>
      <c r="B5" s="0" t="s">
        <v>13</v>
      </c>
      <c r="C5" s="0" t="s">
        <v>428</v>
      </c>
      <c r="D5" s="0" t="s">
        <v>429</v>
      </c>
      <c r="E5" s="0" t="s">
        <v>30</v>
      </c>
      <c r="F5" s="0" t="s">
        <v>339</v>
      </c>
      <c r="G5" s="0" t="n">
        <v>2.12765957446808</v>
      </c>
      <c r="H5" s="0" t="n">
        <v>2.5531914893617</v>
      </c>
      <c r="I5" s="0" t="s">
        <v>285</v>
      </c>
      <c r="J5" s="0" t="n">
        <v>8</v>
      </c>
      <c r="K5" s="0" t="n">
        <v>0.6</v>
      </c>
      <c r="L5" s="0" t="n">
        <v>1.53191489361702</v>
      </c>
      <c r="M5" s="0" t="n">
        <v>0.2</v>
      </c>
      <c r="N5" s="0" t="n">
        <v>1.83829787234043</v>
      </c>
      <c r="O5" s="0" t="n">
        <v>0.229787234042553</v>
      </c>
      <c r="P5" s="0" t="s">
        <v>287</v>
      </c>
      <c r="Q5" s="0" t="n">
        <v>0.229787234042553</v>
      </c>
      <c r="R5" s="0" t="n">
        <v>0</v>
      </c>
      <c r="S5" s="52" t="n">
        <v>42873</v>
      </c>
      <c r="U5" s="0" t="n">
        <v>1.83829787234043</v>
      </c>
    </row>
    <row r="6" customFormat="false" ht="15" hidden="false" customHeight="false" outlineLevel="0" collapsed="false">
      <c r="A6" s="0" t="s">
        <v>12</v>
      </c>
      <c r="B6" s="0" t="s">
        <v>13</v>
      </c>
      <c r="C6" s="0" t="s">
        <v>423</v>
      </c>
      <c r="D6" s="0" t="s">
        <v>424</v>
      </c>
      <c r="E6" s="0" t="s">
        <v>27</v>
      </c>
      <c r="F6" s="0" t="s">
        <v>339</v>
      </c>
      <c r="G6" s="0" t="n">
        <v>2.12765957446808</v>
      </c>
      <c r="H6" s="0" t="n">
        <v>2.5531914893617</v>
      </c>
      <c r="I6" s="0" t="s">
        <v>282</v>
      </c>
      <c r="J6" s="0" t="n">
        <v>8</v>
      </c>
      <c r="K6" s="0" t="n">
        <v>1</v>
      </c>
      <c r="L6" s="0" t="n">
        <v>2.5531914893617</v>
      </c>
      <c r="M6" s="0" t="n">
        <v>0.2</v>
      </c>
      <c r="N6" s="0" t="n">
        <v>3.06382978723404</v>
      </c>
      <c r="O6" s="0" t="n">
        <v>0.382978723404255</v>
      </c>
      <c r="P6" s="0" t="s">
        <v>281</v>
      </c>
      <c r="Q6" s="0" t="n">
        <v>0.382978723404255</v>
      </c>
      <c r="R6" s="0" t="n">
        <v>0</v>
      </c>
      <c r="S6" s="52" t="n">
        <v>42873</v>
      </c>
      <c r="U6" s="0" t="n">
        <v>3.06382978723404</v>
      </c>
    </row>
    <row r="7" customFormat="false" ht="15" hidden="false" customHeight="false" outlineLevel="0" collapsed="false">
      <c r="A7" s="0" t="s">
        <v>12</v>
      </c>
      <c r="B7" s="0" t="s">
        <v>15</v>
      </c>
      <c r="C7" s="0" t="s">
        <v>430</v>
      </c>
      <c r="D7" s="0" t="s">
        <v>432</v>
      </c>
      <c r="E7" s="0" t="s">
        <v>27</v>
      </c>
      <c r="F7" s="0" t="s">
        <v>339</v>
      </c>
      <c r="G7" s="0" t="n">
        <v>2.12765957446808</v>
      </c>
      <c r="H7" s="0" t="n">
        <v>2.5531914893617</v>
      </c>
      <c r="I7" s="0" t="s">
        <v>282</v>
      </c>
      <c r="J7" s="0" t="n">
        <v>8</v>
      </c>
      <c r="K7" s="0" t="n">
        <v>1</v>
      </c>
      <c r="L7" s="0" t="n">
        <v>2.5531914893617</v>
      </c>
      <c r="M7" s="0" t="n">
        <v>0.2</v>
      </c>
      <c r="N7" s="0" t="n">
        <v>3.06382978723404</v>
      </c>
      <c r="O7" s="0" t="n">
        <v>0.382978723404255</v>
      </c>
      <c r="P7" s="0" t="s">
        <v>281</v>
      </c>
      <c r="Q7" s="0" t="n">
        <v>0.382978723404255</v>
      </c>
      <c r="R7" s="0" t="n">
        <v>0</v>
      </c>
      <c r="S7" s="52" t="n">
        <v>42874</v>
      </c>
      <c r="U7" s="0" t="n">
        <v>3.06382978723404</v>
      </c>
    </row>
    <row r="8" customFormat="false" ht="15" hidden="false" customHeight="false" outlineLevel="0" collapsed="false">
      <c r="A8" s="0" t="s">
        <v>12</v>
      </c>
      <c r="B8" s="0" t="s">
        <v>16</v>
      </c>
      <c r="C8" s="0" t="s">
        <v>421</v>
      </c>
      <c r="D8" s="0" t="s">
        <v>436</v>
      </c>
      <c r="E8" s="0" t="s">
        <v>27</v>
      </c>
      <c r="F8" s="0" t="s">
        <v>339</v>
      </c>
      <c r="G8" s="0" t="n">
        <v>2.12765957446808</v>
      </c>
      <c r="H8" s="0" t="n">
        <v>2.5531914893617</v>
      </c>
      <c r="I8" s="0" t="s">
        <v>282</v>
      </c>
      <c r="J8" s="0" t="n">
        <v>8</v>
      </c>
      <c r="K8" s="0" t="n">
        <v>1</v>
      </c>
      <c r="L8" s="0" t="n">
        <v>2.5531914893617</v>
      </c>
      <c r="M8" s="0" t="n">
        <v>0.2</v>
      </c>
      <c r="N8" s="0" t="n">
        <v>3.06382978723404</v>
      </c>
      <c r="O8" s="0" t="n">
        <v>0.382978723404255</v>
      </c>
      <c r="P8" s="0" t="s">
        <v>281</v>
      </c>
      <c r="Q8" s="0" t="n">
        <v>0.382978723404255</v>
      </c>
      <c r="R8" s="0" t="n">
        <v>0</v>
      </c>
      <c r="S8" s="52" t="n">
        <v>42874</v>
      </c>
      <c r="U8" s="0" t="n">
        <v>3.06382978723404</v>
      </c>
    </row>
    <row r="9" customFormat="false" ht="15" hidden="false" customHeight="false" outlineLevel="0" collapsed="false">
      <c r="A9" s="0" t="s">
        <v>12</v>
      </c>
      <c r="B9" s="0" t="s">
        <v>17</v>
      </c>
      <c r="C9" s="0" t="s">
        <v>440</v>
      </c>
      <c r="D9" s="0" t="s">
        <v>441</v>
      </c>
      <c r="E9" s="0" t="s">
        <v>27</v>
      </c>
      <c r="F9" s="0" t="s">
        <v>339</v>
      </c>
      <c r="G9" s="0" t="n">
        <v>2.12765957446808</v>
      </c>
      <c r="H9" s="0" t="n">
        <v>2.5531914893617</v>
      </c>
      <c r="I9" s="0" t="s">
        <v>282</v>
      </c>
      <c r="J9" s="0" t="n">
        <v>8</v>
      </c>
      <c r="K9" s="0" t="n">
        <v>1</v>
      </c>
      <c r="L9" s="0" t="n">
        <v>2.5531914893617</v>
      </c>
      <c r="M9" s="0" t="n">
        <v>0.2</v>
      </c>
      <c r="N9" s="0" t="n">
        <v>3.06382978723404</v>
      </c>
      <c r="O9" s="0" t="n">
        <v>0.382978723404255</v>
      </c>
      <c r="P9" s="0" t="s">
        <v>281</v>
      </c>
      <c r="Q9" s="0" t="n">
        <v>0.382978723404255</v>
      </c>
      <c r="R9" s="0" t="n">
        <v>0</v>
      </c>
      <c r="S9" s="52" t="n">
        <v>42877</v>
      </c>
      <c r="U9" s="0" t="n">
        <v>3.06382978723404</v>
      </c>
    </row>
    <row r="10" customFormat="false" ht="15" hidden="false" customHeight="false" outlineLevel="0" collapsed="false">
      <c r="A10" s="0" t="s">
        <v>18</v>
      </c>
      <c r="B10" s="0" t="s">
        <v>15</v>
      </c>
      <c r="C10" s="0" t="s">
        <v>430</v>
      </c>
      <c r="D10" s="0" t="s">
        <v>431</v>
      </c>
      <c r="E10" s="0" t="s">
        <v>50</v>
      </c>
      <c r="F10" s="0" t="s">
        <v>337</v>
      </c>
      <c r="G10" s="0" t="n">
        <v>2.12765957446808</v>
      </c>
      <c r="H10" s="0" t="n">
        <v>2.5531914893617</v>
      </c>
      <c r="I10" s="0" t="s">
        <v>282</v>
      </c>
      <c r="J10" s="0" t="n">
        <v>8</v>
      </c>
      <c r="K10" s="0" t="n">
        <v>0.6</v>
      </c>
      <c r="L10" s="0" t="n">
        <v>1.53191489361702</v>
      </c>
      <c r="M10" s="0" t="n">
        <v>0.2</v>
      </c>
      <c r="N10" s="0" t="n">
        <v>1.83829787234043</v>
      </c>
      <c r="O10" s="0" t="n">
        <v>0.229787234042553</v>
      </c>
      <c r="P10" s="0" t="s">
        <v>281</v>
      </c>
      <c r="Q10" s="0" t="n">
        <v>0.229787234042553</v>
      </c>
      <c r="R10" s="0" t="n">
        <v>0</v>
      </c>
      <c r="S10" s="52" t="n">
        <v>42877</v>
      </c>
      <c r="U10" s="0" t="n">
        <v>1.83829787234043</v>
      </c>
    </row>
    <row r="11" customFormat="false" ht="15" hidden="false" customHeight="false" outlineLevel="0" collapsed="false">
      <c r="A11" s="0" t="s">
        <v>18</v>
      </c>
      <c r="B11" s="0" t="s">
        <v>15</v>
      </c>
      <c r="C11" s="0" t="s">
        <v>430</v>
      </c>
      <c r="D11" s="0" t="s">
        <v>431</v>
      </c>
      <c r="E11" s="0" t="s">
        <v>50</v>
      </c>
      <c r="F11" s="0" t="s">
        <v>337</v>
      </c>
      <c r="G11" s="0" t="n">
        <v>2.12765957446808</v>
      </c>
      <c r="H11" s="0" t="n">
        <v>2.5531914893617</v>
      </c>
      <c r="I11" s="0" t="s">
        <v>285</v>
      </c>
      <c r="J11" s="0" t="n">
        <v>8</v>
      </c>
      <c r="K11" s="0" t="n">
        <v>0.4</v>
      </c>
      <c r="L11" s="0" t="n">
        <v>1.02127659574468</v>
      </c>
      <c r="M11" s="0" t="n">
        <v>0.2</v>
      </c>
      <c r="N11" s="0" t="n">
        <v>1.22553191489362</v>
      </c>
      <c r="O11" s="0" t="n">
        <v>0.153191489361702</v>
      </c>
      <c r="P11" s="0" t="s">
        <v>287</v>
      </c>
      <c r="Q11" s="0" t="n">
        <v>0.153191489361702</v>
      </c>
      <c r="R11" s="0" t="n">
        <v>0</v>
      </c>
      <c r="S11" s="52" t="n">
        <v>42873</v>
      </c>
      <c r="U11" s="0" t="n">
        <v>1.22553191489362</v>
      </c>
    </row>
    <row r="12" customFormat="false" ht="15" hidden="false" customHeight="false" outlineLevel="0" collapsed="false">
      <c r="A12" s="0" t="s">
        <v>18</v>
      </c>
      <c r="B12" s="0" t="s">
        <v>20</v>
      </c>
      <c r="C12" s="0" t="s">
        <v>425</v>
      </c>
      <c r="D12" s="0" t="s">
        <v>427</v>
      </c>
      <c r="E12" s="0" t="s">
        <v>35</v>
      </c>
      <c r="F12" s="0" t="s">
        <v>339</v>
      </c>
      <c r="G12" s="0" t="n">
        <v>2.12765957446808</v>
      </c>
      <c r="H12" s="0" t="n">
        <v>2.5531914893617</v>
      </c>
      <c r="I12" s="0" t="s">
        <v>282</v>
      </c>
      <c r="J12" s="0" t="n">
        <v>8</v>
      </c>
      <c r="K12" s="0" t="n">
        <v>0.3</v>
      </c>
      <c r="L12" s="0" t="n">
        <v>0.765957446808511</v>
      </c>
      <c r="M12" s="0" t="n">
        <v>0.2</v>
      </c>
      <c r="N12" s="0" t="n">
        <v>0.919148936170213</v>
      </c>
      <c r="O12" s="0" t="n">
        <v>0.114893617021277</v>
      </c>
      <c r="P12" s="0" t="s">
        <v>281</v>
      </c>
      <c r="Q12" s="0" t="n">
        <v>0.114893617021277</v>
      </c>
      <c r="R12" s="0" t="n">
        <v>0</v>
      </c>
      <c r="S12" s="52" t="n">
        <v>42877</v>
      </c>
      <c r="U12" s="0" t="n">
        <v>0.919148936170213</v>
      </c>
    </row>
    <row r="13" customFormat="false" ht="15" hidden="false" customHeight="false" outlineLevel="0" collapsed="false">
      <c r="A13" s="0" t="s">
        <v>18</v>
      </c>
      <c r="B13" s="0" t="s">
        <v>20</v>
      </c>
      <c r="C13" s="0" t="s">
        <v>425</v>
      </c>
      <c r="D13" s="0" t="s">
        <v>427</v>
      </c>
      <c r="E13" s="0" t="s">
        <v>35</v>
      </c>
      <c r="F13" s="0" t="s">
        <v>339</v>
      </c>
      <c r="G13" s="0" t="n">
        <v>2.12765957446808</v>
      </c>
      <c r="H13" s="0" t="n">
        <v>2.5531914893617</v>
      </c>
      <c r="I13" s="0" t="s">
        <v>285</v>
      </c>
      <c r="J13" s="0" t="n">
        <v>8</v>
      </c>
      <c r="K13" s="0" t="n">
        <v>0.7</v>
      </c>
      <c r="L13" s="0" t="n">
        <v>1.78723404255319</v>
      </c>
      <c r="M13" s="0" t="n">
        <v>0.2</v>
      </c>
      <c r="N13" s="0" t="n">
        <v>2.14468085106383</v>
      </c>
      <c r="O13" s="0" t="n">
        <v>0.268085106382979</v>
      </c>
      <c r="P13" s="0" t="s">
        <v>287</v>
      </c>
      <c r="Q13" s="0" t="n">
        <v>0.268085106382979</v>
      </c>
      <c r="R13" s="0" t="n">
        <v>0</v>
      </c>
      <c r="S13" s="52" t="n">
        <v>42873</v>
      </c>
      <c r="U13" s="0" t="n">
        <v>2.14468085106383</v>
      </c>
    </row>
    <row r="14" customFormat="false" ht="15" hidden="false" customHeight="false" outlineLevel="0" collapsed="false">
      <c r="A14" s="0" t="s">
        <v>18</v>
      </c>
      <c r="B14" s="0" t="s">
        <v>20</v>
      </c>
      <c r="C14" s="0" t="s">
        <v>425</v>
      </c>
      <c r="D14" s="0" t="s">
        <v>426</v>
      </c>
      <c r="E14" s="0" t="s">
        <v>26</v>
      </c>
      <c r="F14" s="0" t="s">
        <v>340</v>
      </c>
      <c r="G14" s="0" t="n">
        <v>4.25531914893617</v>
      </c>
      <c r="H14" s="0" t="n">
        <v>5.1063829787234</v>
      </c>
      <c r="I14" s="0" t="s">
        <v>285</v>
      </c>
      <c r="J14" s="0" t="n">
        <v>8</v>
      </c>
      <c r="K14" s="0" t="n">
        <v>0.7</v>
      </c>
      <c r="L14" s="0" t="n">
        <v>3.57446808510638</v>
      </c>
      <c r="M14" s="0" t="n">
        <v>0.2</v>
      </c>
      <c r="N14" s="0" t="n">
        <v>4.28936170212766</v>
      </c>
      <c r="O14" s="0" t="n">
        <v>0.536170212765957</v>
      </c>
      <c r="P14" s="0" t="s">
        <v>287</v>
      </c>
      <c r="Q14" s="0" t="n">
        <v>0.536170212765957</v>
      </c>
      <c r="R14" s="0" t="n">
        <v>0</v>
      </c>
      <c r="S14" s="52" t="n">
        <v>42874</v>
      </c>
      <c r="U14" s="0" t="n">
        <v>4.28936170212766</v>
      </c>
    </row>
    <row r="15" customFormat="false" ht="15" hidden="false" customHeight="false" outlineLevel="0" collapsed="false">
      <c r="A15" s="0" t="s">
        <v>18</v>
      </c>
      <c r="B15" s="0" t="s">
        <v>20</v>
      </c>
      <c r="C15" s="0" t="s">
        <v>425</v>
      </c>
      <c r="D15" s="0" t="s">
        <v>426</v>
      </c>
      <c r="E15" s="0" t="s">
        <v>26</v>
      </c>
      <c r="F15" s="0" t="s">
        <v>340</v>
      </c>
      <c r="G15" s="0" t="n">
        <v>4.25531914893617</v>
      </c>
      <c r="H15" s="0" t="n">
        <v>5.1063829787234</v>
      </c>
      <c r="I15" s="0" t="s">
        <v>282</v>
      </c>
      <c r="J15" s="0" t="n">
        <v>8</v>
      </c>
      <c r="K15" s="0" t="n">
        <v>0.3</v>
      </c>
      <c r="L15" s="0" t="n">
        <v>1.53191489361702</v>
      </c>
      <c r="M15" s="0" t="n">
        <v>0.2</v>
      </c>
      <c r="N15" s="0" t="n">
        <v>1.83829787234043</v>
      </c>
      <c r="O15" s="0" t="n">
        <v>0.229787234042553</v>
      </c>
      <c r="P15" s="0" t="s">
        <v>281</v>
      </c>
      <c r="Q15" s="0" t="n">
        <v>0.229787234042553</v>
      </c>
      <c r="R15" s="0" t="n">
        <v>0</v>
      </c>
      <c r="S15" s="52" t="n">
        <v>42877</v>
      </c>
      <c r="U15" s="0" t="n">
        <v>1.83829787234043</v>
      </c>
    </row>
    <row r="16" customFormat="false" ht="15" hidden="false" customHeight="false" outlineLevel="0" collapsed="false">
      <c r="A16" s="0" t="s">
        <v>18</v>
      </c>
      <c r="B16" s="0" t="s">
        <v>20</v>
      </c>
      <c r="C16" s="0" t="s">
        <v>425</v>
      </c>
      <c r="D16" s="0" t="s">
        <v>433</v>
      </c>
      <c r="E16" s="0" t="s">
        <v>34</v>
      </c>
      <c r="F16" s="0" t="s">
        <v>341</v>
      </c>
      <c r="G16" s="0" t="n">
        <v>9.57446808510638</v>
      </c>
      <c r="H16" s="0" t="n">
        <v>11.4893617021277</v>
      </c>
      <c r="I16" s="0" t="s">
        <v>285</v>
      </c>
      <c r="J16" s="0" t="n">
        <v>8</v>
      </c>
      <c r="K16" s="0" t="n">
        <v>1</v>
      </c>
      <c r="L16" s="0" t="n">
        <v>11.4893617021277</v>
      </c>
      <c r="M16" s="0" t="n">
        <v>0.2</v>
      </c>
      <c r="N16" s="0" t="n">
        <v>13.7872340425532</v>
      </c>
      <c r="O16" s="0" t="n">
        <v>1.72340425531915</v>
      </c>
      <c r="P16" s="0" t="s">
        <v>287</v>
      </c>
      <c r="Q16" s="0" t="n">
        <v>1.72340425531915</v>
      </c>
      <c r="R16" s="0" t="n">
        <v>0</v>
      </c>
      <c r="S16" s="52" t="n">
        <v>42877</v>
      </c>
      <c r="U16" s="0" t="n">
        <v>13.7872340425532</v>
      </c>
    </row>
    <row r="17" customFormat="false" ht="15" hidden="false" customHeight="false" outlineLevel="0" collapsed="false">
      <c r="A17" s="0" t="s">
        <v>18</v>
      </c>
      <c r="B17" s="0" t="s">
        <v>13</v>
      </c>
      <c r="C17" s="0" t="s">
        <v>437</v>
      </c>
      <c r="D17" s="0" t="s">
        <v>438</v>
      </c>
      <c r="E17" s="0" t="s">
        <v>26</v>
      </c>
      <c r="F17" s="0" t="s">
        <v>339</v>
      </c>
      <c r="G17" s="0" t="n">
        <v>2.12765957446808</v>
      </c>
      <c r="H17" s="0" t="n">
        <v>2.5531914893617</v>
      </c>
      <c r="I17" s="0" t="s">
        <v>285</v>
      </c>
      <c r="J17" s="0" t="n">
        <v>8</v>
      </c>
      <c r="K17" s="0" t="n">
        <v>0.7</v>
      </c>
      <c r="L17" s="0" t="n">
        <v>1.78723404255319</v>
      </c>
      <c r="M17" s="0" t="n">
        <v>0.2</v>
      </c>
      <c r="N17" s="0" t="n">
        <v>2.14468085106383</v>
      </c>
      <c r="O17" s="0" t="n">
        <v>0.268085106382979</v>
      </c>
      <c r="P17" s="0" t="s">
        <v>284</v>
      </c>
      <c r="Q17" s="0" t="n">
        <v>0.268085106382979</v>
      </c>
      <c r="R17" s="0" t="n">
        <v>0</v>
      </c>
      <c r="S17" s="52" t="n">
        <v>42874</v>
      </c>
      <c r="U17" s="0" t="n">
        <v>2.14468085106383</v>
      </c>
    </row>
    <row r="18" customFormat="false" ht="15" hidden="false" customHeight="false" outlineLevel="0" collapsed="false">
      <c r="A18" s="0" t="s">
        <v>18</v>
      </c>
      <c r="B18" s="0" t="s">
        <v>13</v>
      </c>
      <c r="C18" s="0" t="s">
        <v>437</v>
      </c>
      <c r="D18" s="0" t="s">
        <v>438</v>
      </c>
      <c r="E18" s="0" t="s">
        <v>26</v>
      </c>
      <c r="F18" s="0" t="s">
        <v>339</v>
      </c>
      <c r="G18" s="0" t="n">
        <v>2.12765957446808</v>
      </c>
      <c r="H18" s="0" t="n">
        <v>2.5531914893617</v>
      </c>
      <c r="I18" s="0" t="s">
        <v>282</v>
      </c>
      <c r="J18" s="0" t="n">
        <v>8</v>
      </c>
      <c r="K18" s="0" t="n">
        <v>0.3</v>
      </c>
      <c r="L18" s="0" t="n">
        <v>0.765957446808511</v>
      </c>
      <c r="M18" s="0" t="n">
        <v>0.2</v>
      </c>
      <c r="N18" s="0" t="n">
        <v>0.919148936170213</v>
      </c>
      <c r="O18" s="0" t="n">
        <v>0.114893617021277</v>
      </c>
      <c r="P18" s="0" t="s">
        <v>281</v>
      </c>
      <c r="Q18" s="0" t="n">
        <v>0.114893617021277</v>
      </c>
      <c r="R18" s="0" t="n">
        <v>0</v>
      </c>
      <c r="S18" s="52" t="n">
        <v>42877</v>
      </c>
      <c r="U18" s="0" t="n">
        <v>0.919148936170213</v>
      </c>
    </row>
    <row r="19" customFormat="false" ht="15" hidden="false" customHeight="false" outlineLevel="0" collapsed="false">
      <c r="A19" s="0" t="s">
        <v>18</v>
      </c>
      <c r="B19" s="0" t="s">
        <v>13</v>
      </c>
      <c r="C19" s="0" t="s">
        <v>437</v>
      </c>
      <c r="D19" s="0" t="s">
        <v>439</v>
      </c>
      <c r="E19" s="0" t="s">
        <v>26</v>
      </c>
      <c r="F19" s="0" t="s">
        <v>339</v>
      </c>
      <c r="G19" s="0" t="n">
        <v>2.12765957446808</v>
      </c>
      <c r="H19" s="0" t="n">
        <v>2.5531914893617</v>
      </c>
      <c r="I19" s="0" t="s">
        <v>285</v>
      </c>
      <c r="J19" s="0" t="n">
        <v>8</v>
      </c>
      <c r="K19" s="0" t="n">
        <v>0.7</v>
      </c>
      <c r="L19" s="0" t="n">
        <v>1.78723404255319</v>
      </c>
      <c r="M19" s="0" t="n">
        <v>0.2</v>
      </c>
      <c r="N19" s="0" t="n">
        <v>2.14468085106383</v>
      </c>
      <c r="O19" s="0" t="n">
        <v>0.268085106382979</v>
      </c>
      <c r="P19" s="0" t="s">
        <v>284</v>
      </c>
      <c r="Q19" s="0" t="n">
        <v>0.268085106382979</v>
      </c>
      <c r="R19" s="0" t="n">
        <v>0</v>
      </c>
      <c r="S19" s="52" t="n">
        <v>42874</v>
      </c>
      <c r="U19" s="0" t="n">
        <v>2.14468085106383</v>
      </c>
    </row>
    <row r="20" customFormat="false" ht="15" hidden="false" customHeight="false" outlineLevel="0" collapsed="false">
      <c r="A20" s="0" t="s">
        <v>18</v>
      </c>
      <c r="B20" s="0" t="s">
        <v>13</v>
      </c>
      <c r="C20" s="0" t="s">
        <v>437</v>
      </c>
      <c r="D20" s="0" t="s">
        <v>439</v>
      </c>
      <c r="E20" s="0" t="s">
        <v>26</v>
      </c>
      <c r="F20" s="0" t="s">
        <v>339</v>
      </c>
      <c r="G20" s="0" t="n">
        <v>2.12765957446808</v>
      </c>
      <c r="H20" s="0" t="n">
        <v>2.5531914893617</v>
      </c>
      <c r="I20" s="0" t="s">
        <v>282</v>
      </c>
      <c r="J20" s="0" t="n">
        <v>8</v>
      </c>
      <c r="K20" s="0" t="n">
        <v>0.3</v>
      </c>
      <c r="L20" s="0" t="n">
        <v>0.765957446808511</v>
      </c>
      <c r="M20" s="0" t="n">
        <v>0.2</v>
      </c>
      <c r="N20" s="0" t="n">
        <v>0.919148936170213</v>
      </c>
      <c r="O20" s="0" t="n">
        <v>0.114893617021277</v>
      </c>
      <c r="P20" s="0" t="s">
        <v>281</v>
      </c>
      <c r="Q20" s="0" t="n">
        <v>0.114893617021277</v>
      </c>
      <c r="R20" s="0" t="n">
        <v>0</v>
      </c>
      <c r="S20" s="52" t="n">
        <v>42877</v>
      </c>
      <c r="U20" s="0" t="n">
        <v>0.919148936170213</v>
      </c>
    </row>
    <row r="21" customFormat="false" ht="15" hidden="false" customHeight="false" outlineLevel="0" collapsed="false">
      <c r="A21" s="0" t="s">
        <v>18</v>
      </c>
      <c r="B21" s="0" t="s">
        <v>16</v>
      </c>
      <c r="C21" s="0" t="s">
        <v>434</v>
      </c>
      <c r="D21" s="0" t="s">
        <v>435</v>
      </c>
      <c r="E21" s="0" t="s">
        <v>35</v>
      </c>
      <c r="F21" s="0" t="s">
        <v>341</v>
      </c>
      <c r="G21" s="0" t="n">
        <v>8.51063829787234</v>
      </c>
      <c r="H21" s="0" t="n">
        <v>10.2127659574468</v>
      </c>
      <c r="I21" s="0" t="s">
        <v>282</v>
      </c>
      <c r="J21" s="0" t="n">
        <v>8</v>
      </c>
      <c r="K21" s="0" t="n">
        <v>0.3</v>
      </c>
      <c r="L21" s="0" t="n">
        <v>3.06382978723404</v>
      </c>
      <c r="M21" s="0" t="n">
        <v>0.2</v>
      </c>
      <c r="N21" s="0" t="n">
        <v>3.67659574468085</v>
      </c>
      <c r="O21" s="0" t="n">
        <v>0.459574468085106</v>
      </c>
      <c r="P21" s="0" t="s">
        <v>281</v>
      </c>
      <c r="Q21" s="0" t="n">
        <v>0.459574468085106</v>
      </c>
      <c r="R21" s="0" t="n">
        <v>0</v>
      </c>
      <c r="S21" s="52" t="n">
        <v>42878</v>
      </c>
      <c r="U21" s="0" t="n">
        <v>3.67659574468085</v>
      </c>
    </row>
    <row r="22" customFormat="false" ht="15" hidden="false" customHeight="false" outlineLevel="0" collapsed="false">
      <c r="A22" s="0" t="s">
        <v>18</v>
      </c>
      <c r="B22" s="0" t="s">
        <v>16</v>
      </c>
      <c r="C22" s="0" t="s">
        <v>434</v>
      </c>
      <c r="D22" s="0" t="s">
        <v>435</v>
      </c>
      <c r="E22" s="0" t="s">
        <v>35</v>
      </c>
      <c r="F22" s="0" t="s">
        <v>341</v>
      </c>
      <c r="G22" s="0" t="n">
        <v>8.51063829787234</v>
      </c>
      <c r="H22" s="0" t="n">
        <v>10.2127659574468</v>
      </c>
      <c r="I22" s="0" t="s">
        <v>285</v>
      </c>
      <c r="J22" s="0" t="n">
        <v>8</v>
      </c>
      <c r="K22" s="0" t="n">
        <v>0.7</v>
      </c>
      <c r="L22" s="0" t="n">
        <v>7.14893617021277</v>
      </c>
      <c r="M22" s="0" t="n">
        <v>0.2</v>
      </c>
      <c r="N22" s="0" t="n">
        <v>8.57872340425532</v>
      </c>
      <c r="O22" s="0" t="n">
        <v>1.07234042553191</v>
      </c>
      <c r="P22" s="0" t="s">
        <v>284</v>
      </c>
      <c r="Q22" s="0" t="n">
        <v>1.07234042553191</v>
      </c>
      <c r="R22" s="0" t="n">
        <v>0</v>
      </c>
      <c r="S22" s="52" t="n">
        <v>42877</v>
      </c>
      <c r="U22" s="0" t="n">
        <v>8.57872340425532</v>
      </c>
    </row>
    <row r="23" customFormat="false" ht="15" hidden="false" customHeight="false" outlineLevel="0" collapsed="false">
      <c r="A23" s="0" t="s">
        <v>18</v>
      </c>
      <c r="B23" s="0" t="s">
        <v>15</v>
      </c>
      <c r="C23" s="0" t="s">
        <v>430</v>
      </c>
      <c r="D23" s="0" t="s">
        <v>442</v>
      </c>
      <c r="E23" s="0" t="s">
        <v>36</v>
      </c>
      <c r="F23" s="0" t="s">
        <v>339</v>
      </c>
      <c r="G23" s="0" t="n">
        <v>4.25531914893617</v>
      </c>
      <c r="H23" s="0" t="n">
        <v>5.1063829787234</v>
      </c>
      <c r="I23" s="0" t="s">
        <v>285</v>
      </c>
      <c r="J23" s="0" t="n">
        <v>8</v>
      </c>
      <c r="K23" s="0" t="n">
        <v>1</v>
      </c>
      <c r="L23" s="0" t="n">
        <v>5.1063829787234</v>
      </c>
      <c r="M23" s="0" t="n">
        <v>0.2</v>
      </c>
      <c r="N23" s="0" t="n">
        <v>6.12765957446808</v>
      </c>
      <c r="O23" s="0" t="n">
        <v>0.765957446808511</v>
      </c>
      <c r="P23" s="0" t="s">
        <v>287</v>
      </c>
      <c r="Q23" s="0" t="n">
        <v>0.765957446808511</v>
      </c>
      <c r="R23" s="0" t="n">
        <v>0</v>
      </c>
      <c r="S23" s="52" t="n">
        <v>42878</v>
      </c>
      <c r="U23" s="0" t="n">
        <v>6.12765957446808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2016-10-03T16:19:42Z</dcterms:created>
  <dc:creator>Ramon Tramontini</dc:creator>
  <dc:language>pt-BR</dc:language>
  <cp:lastModifiedBy>Marcelo Walter</cp:lastModifiedBy>
  <dcterms:modified xsi:type="dcterms:W3CDTF">2017-05-18T17:53:55Z</dcterms:modified>
  <cp:revision>0</cp:revision>
</cp:coreProperties>
</file>