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bookViews>
    <workbookView xWindow="0" yWindow="0" windowWidth="20490" windowHeight="8820" xr2:uid="{00000000-000D-0000-FFFF-FFFF00000000}"/>
  </bookViews>
  <sheets>
    <sheet name="Progress by Demand" sheetId="8" r:id="rId1"/>
    <sheet name="Demands by Status" sheetId="20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GanttBase" sheetId="17" r:id="rId8"/>
    <sheet name="Activities" sheetId="16" r:id="rId9"/>
  </sheets>
  <functionGroups builtInGroupCount="18"/>
  <definedNames>
    <definedName name="_">'T-shirt Size'!$H$3</definedName>
    <definedName name="_xlnm._FilterDatabase" localSheetId="8" hidden="1">Activities!$A$1:$U$1</definedName>
    <definedName name="_xlnm._FilterDatabase" localSheetId="7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0" r:id="rId10"/>
    <pivotCache cacheId="2" r:id="rId11"/>
    <pivotCache cacheId="19" r:id="rId12"/>
    <pivotCache cacheId="30" r:id="rId13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G2" i="13"/>
  <c r="G5" i="13"/>
  <c r="G7" i="13"/>
  <c r="G9" i="13"/>
  <c r="G3" i="13"/>
  <c r="G4" i="13"/>
  <c r="G6" i="13"/>
  <c r="G8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E10" i="11"/>
  <c r="F10" i="11"/>
  <c r="G10" i="11"/>
  <c r="D10" i="11"/>
  <c r="H10" i="11"/>
  <c r="I10" i="11"/>
  <c r="E11" i="11"/>
  <c r="F11" i="11"/>
  <c r="G11" i="11"/>
  <c r="D11" i="11"/>
  <c r="H11" i="11"/>
  <c r="I11" i="11"/>
  <c r="I12" i="11"/>
  <c r="I13" i="11"/>
  <c r="I14" i="11"/>
  <c r="I15" i="11"/>
  <c r="I16" i="11"/>
  <c r="O2" i="8"/>
  <c r="H16" i="13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F12" i="13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2" i="11"/>
  <c r="H12" i="11"/>
  <c r="D13" i="11"/>
  <c r="H13" i="11"/>
  <c r="D14" i="11"/>
  <c r="H14" i="11"/>
  <c r="D15" i="11"/>
  <c r="H15" i="11"/>
  <c r="O2" i="11"/>
  <c r="B3" i="11"/>
  <c r="F16" i="11"/>
  <c r="B16" i="11"/>
  <c r="D16" i="11"/>
  <c r="B5" i="11"/>
  <c r="H16" i="11"/>
  <c r="B4" i="11"/>
  <c r="G34" i="13"/>
  <c r="J10" i="3"/>
  <c r="J8" i="3"/>
  <c r="B34" i="13"/>
  <c r="H34" i="13"/>
  <c r="F6" i="13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F5" i="13"/>
  <c r="F20" i="13"/>
  <c r="F4" i="13"/>
  <c r="F3" i="13"/>
  <c r="F7" i="13"/>
  <c r="F8" i="13"/>
  <c r="F10" i="13"/>
  <c r="F11" i="13"/>
  <c r="F13" i="13"/>
  <c r="F14" i="13"/>
  <c r="F17" i="13"/>
  <c r="F33" i="13"/>
  <c r="B6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jira all_issues" type="1" refreshedVersion="6" savePassword="1" deleted="1" saveData="1">
    <dbPr connection="" command=""/>
  </connection>
</connections>
</file>

<file path=xl/sharedStrings.xml><?xml version="1.0" encoding="utf-8"?>
<sst xmlns="http://schemas.openxmlformats.org/spreadsheetml/2006/main" count="676" uniqueCount="192">
  <si>
    <t>project</t>
  </si>
  <si>
    <t>Sub-Task</t>
  </si>
  <si>
    <t>Grand Total</t>
  </si>
  <si>
    <t>UX</t>
  </si>
  <si>
    <t>Doing</t>
  </si>
  <si>
    <t>Feature Planning</t>
  </si>
  <si>
    <t>Alpha Test</t>
  </si>
  <si>
    <t>Frontend Development</t>
  </si>
  <si>
    <t>Tech Planning</t>
  </si>
  <si>
    <t>Backend Development</t>
  </si>
  <si>
    <t>Done</t>
  </si>
  <si>
    <t>demand_type</t>
  </si>
  <si>
    <t>demand_status</t>
  </si>
  <si>
    <t>demand_num</t>
  </si>
  <si>
    <t>demand_description</t>
  </si>
  <si>
    <t>Type</t>
  </si>
  <si>
    <t>T-Shirt Size</t>
  </si>
  <si>
    <t>Effort</t>
  </si>
  <si>
    <t>XS</t>
  </si>
  <si>
    <t>S</t>
  </si>
  <si>
    <t>M</t>
  </si>
  <si>
    <t>L</t>
  </si>
  <si>
    <t>XL</t>
  </si>
  <si>
    <t>Alpha-Bug</t>
  </si>
  <si>
    <t>UAT</t>
  </si>
  <si>
    <t>Demands</t>
  </si>
  <si>
    <t>SubtaskEstimativeForEEPCalculation</t>
  </si>
  <si>
    <t>CountDemands</t>
  </si>
  <si>
    <t>CountTasks</t>
  </si>
  <si>
    <t>CountSubtasks</t>
  </si>
  <si>
    <t>Quantity</t>
  </si>
  <si>
    <t>Progress</t>
  </si>
  <si>
    <t>Demand Status &gt; Demand &gt; Task Status &gt; Task &gt; Subtask</t>
  </si>
  <si>
    <t>Ballpark</t>
  </si>
  <si>
    <t>Ballpark %</t>
  </si>
  <si>
    <t>Planned%</t>
  </si>
  <si>
    <t>PlannedEffortOnBug</t>
  </si>
  <si>
    <t>WorklogOnBug</t>
  </si>
  <si>
    <t>Bug Worklog</t>
  </si>
  <si>
    <t>Bug Estimate</t>
  </si>
  <si>
    <t>Alpha Bug</t>
  </si>
  <si>
    <t>Demand</t>
  </si>
  <si>
    <t>Holyday</t>
  </si>
  <si>
    <t>Date</t>
  </si>
  <si>
    <t>Critical Path (Days)</t>
  </si>
  <si>
    <t>Holydays</t>
  </si>
  <si>
    <t>Critical Path (Date)</t>
  </si>
  <si>
    <t>Months</t>
  </si>
  <si>
    <t>Role</t>
  </si>
  <si>
    <t>People</t>
  </si>
  <si>
    <t>Individual Daily Effort (net)</t>
  </si>
  <si>
    <t>Team Daily Capability</t>
  </si>
  <si>
    <t>Working Days</t>
  </si>
  <si>
    <t>Last Day of Work</t>
  </si>
  <si>
    <t>Developer</t>
  </si>
  <si>
    <t>Total</t>
  </si>
  <si>
    <t>Allocation</t>
  </si>
  <si>
    <t>Feature Review</t>
  </si>
  <si>
    <t>QA</t>
  </si>
  <si>
    <t>Issue Type</t>
  </si>
  <si>
    <t>Project</t>
  </si>
  <si>
    <t>planning_type</t>
  </si>
  <si>
    <t>task_release</t>
  </si>
  <si>
    <t>worklog</t>
  </si>
  <si>
    <t>Cluster Name</t>
  </si>
  <si>
    <t>Plan</t>
  </si>
  <si>
    <t>BALLPARK - Feature Review</t>
  </si>
  <si>
    <t>BALLPARK - UX</t>
  </si>
  <si>
    <t>BALLPARK - Development</t>
  </si>
  <si>
    <t>BALLPARK - Alpha Test</t>
  </si>
  <si>
    <t>BALLPARK - Developer Support</t>
  </si>
  <si>
    <t>Hours</t>
  </si>
  <si>
    <t>EffortDone</t>
  </si>
  <si>
    <t>wrong_worklog</t>
  </si>
  <si>
    <t>_Wrong Worklog</t>
  </si>
  <si>
    <t>Role Allocation</t>
  </si>
  <si>
    <t>Issue Type Allocation</t>
  </si>
  <si>
    <t>Risk</t>
  </si>
  <si>
    <t>Demand_ballpark</t>
  </si>
  <si>
    <t>tshirt_size</t>
  </si>
  <si>
    <t>Size</t>
  </si>
  <si>
    <t>Day</t>
  </si>
  <si>
    <t>Demand Name</t>
  </si>
  <si>
    <t>Feature Name</t>
  </si>
  <si>
    <t>Thread</t>
  </si>
  <si>
    <t>Developer1</t>
  </si>
  <si>
    <t>Week</t>
  </si>
  <si>
    <t>Thread Name</t>
  </si>
  <si>
    <t>Last day of work</t>
  </si>
  <si>
    <t>SubtaskName</t>
  </si>
  <si>
    <t>Release</t>
  </si>
  <si>
    <t>Issue Status</t>
  </si>
  <si>
    <t>Release Name</t>
  </si>
  <si>
    <t>Release Date</t>
  </si>
  <si>
    <t>Activity Type</t>
  </si>
  <si>
    <t>Daily Production</t>
  </si>
  <si>
    <t>Needed Days</t>
  </si>
  <si>
    <t>Allocated Days</t>
  </si>
  <si>
    <t>Start Date</t>
  </si>
  <si>
    <t>Finish Date</t>
  </si>
  <si>
    <t>Subtask Status</t>
  </si>
  <si>
    <t>Group</t>
  </si>
  <si>
    <t>IssueType</t>
  </si>
  <si>
    <t>Distribution</t>
  </si>
  <si>
    <t>Total Distribution</t>
  </si>
  <si>
    <t>Query_Type</t>
  </si>
  <si>
    <t>BALLPARK - QA/UAT Support</t>
  </si>
  <si>
    <t>Cycle</t>
  </si>
  <si>
    <t>BALLPARK - Tech Planning</t>
  </si>
  <si>
    <t>BALLPARK - Feature Planning</t>
  </si>
  <si>
    <t>Group %</t>
  </si>
  <si>
    <t>BALLPARK - Demand</t>
  </si>
  <si>
    <t>EffortOnBacklog</t>
  </si>
  <si>
    <t>CycleOnBacklog</t>
  </si>
  <si>
    <t>EffortEstimate</t>
  </si>
  <si>
    <t>CycleDone</t>
  </si>
  <si>
    <t>CycleEstimate</t>
  </si>
  <si>
    <t>Activity Status</t>
  </si>
  <si>
    <t>BallparkEffort</t>
  </si>
  <si>
    <t>PlannedEffort</t>
  </si>
  <si>
    <t>Total Scope</t>
  </si>
  <si>
    <t>Ballpark vs Planned</t>
  </si>
  <si>
    <t>Scope</t>
  </si>
  <si>
    <t>Backlog</t>
  </si>
  <si>
    <t>Bugs</t>
  </si>
  <si>
    <t>Planned</t>
  </si>
  <si>
    <t>Activities</t>
  </si>
  <si>
    <t>Features / Bugs</t>
  </si>
  <si>
    <t>_EEP</t>
  </si>
  <si>
    <t>Cycle on Backlog</t>
  </si>
  <si>
    <t>Effort on Backlog</t>
  </si>
  <si>
    <t>Sum of Group %</t>
  </si>
  <si>
    <t>Cycle Hours  on Backlog</t>
  </si>
  <si>
    <t>WorklogDone</t>
  </si>
  <si>
    <t>WorklogDoing</t>
  </si>
  <si>
    <t>Worklog</t>
  </si>
  <si>
    <t>_Done</t>
  </si>
  <si>
    <t>Relase</t>
  </si>
  <si>
    <t>Feature / Bug</t>
  </si>
  <si>
    <t>Activity</t>
  </si>
  <si>
    <t>Cycle Hours</t>
  </si>
  <si>
    <t>Total Cycle Hours</t>
  </si>
  <si>
    <t>Cycle Hours per Role</t>
  </si>
  <si>
    <t>Cycle Hours per Role With Risk</t>
  </si>
  <si>
    <t>Still need allocate (Days)</t>
  </si>
  <si>
    <t>First Day</t>
  </si>
  <si>
    <t>AllocatedHours</t>
  </si>
  <si>
    <t>Allocated Cycle Hours</t>
  </si>
  <si>
    <t>Completion</t>
  </si>
  <si>
    <t>Allocated Effort</t>
  </si>
  <si>
    <t>_Days</t>
  </si>
  <si>
    <t>Tech Lead</t>
  </si>
  <si>
    <t>% Of (Dev + Alpha)</t>
  </si>
  <si>
    <t>% Of Dev</t>
  </si>
  <si>
    <t>Tech Lead1</t>
  </si>
  <si>
    <t>Expected</t>
  </si>
  <si>
    <t>Start</t>
  </si>
  <si>
    <t>End</t>
  </si>
  <si>
    <t>Today</t>
  </si>
  <si>
    <t>DEMAND_ID</t>
  </si>
  <si>
    <t>DEMAND_SUMMARY</t>
  </si>
  <si>
    <t>TASK_TYPE</t>
  </si>
  <si>
    <t>TASK_STATUS</t>
  </si>
  <si>
    <t>TASK_ID</t>
  </si>
  <si>
    <t>TASK_NUM</t>
  </si>
  <si>
    <t>TASK_SUMMARY</t>
  </si>
  <si>
    <t>TASK_DESCRIPTION</t>
  </si>
  <si>
    <t>TASK_FULL_DESCRIPTION</t>
  </si>
  <si>
    <t>SUBTASK_TYPE</t>
  </si>
  <si>
    <t>SUBTASK_STATUS</t>
  </si>
  <si>
    <t>SUBTASK_ID</t>
  </si>
  <si>
    <t>SUBTASK_NUM</t>
  </si>
  <si>
    <t>SUBTASK_SUMMARY</t>
  </si>
  <si>
    <t>SUBTASK_DESCRIPTION</t>
  </si>
  <si>
    <t>SUBTASK_FULL_DESCRIPTION</t>
  </si>
  <si>
    <t>TASK_BALLPARK</t>
  </si>
  <si>
    <t>BALLPARK - Subtask</t>
  </si>
  <si>
    <t>BALLPARK - Planning</t>
  </si>
  <si>
    <t>Row Labels</t>
  </si>
  <si>
    <t>PROJECT - Suez</t>
  </si>
  <si>
    <t>Sprint 1</t>
  </si>
  <si>
    <t>Sprint 2</t>
  </si>
  <si>
    <t>BALLPARK - QA Support</t>
  </si>
  <si>
    <t>BALLPARK</t>
  </si>
  <si>
    <t>Tech Lead2</t>
  </si>
  <si>
    <t>Project Deadline</t>
  </si>
  <si>
    <t>Rótulos de Linha</t>
  </si>
  <si>
    <t>(vazio)</t>
  </si>
  <si>
    <t>Total Geral</t>
  </si>
  <si>
    <t>(Tudo)</t>
  </si>
  <si>
    <t>Rótulos de Coluna</t>
  </si>
  <si>
    <t>Contagem de SUBTASK_FULL_DESCRIPTION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</si>
</sst>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9" tint="0.59999389629810485"/>
        <bgColor theme="8"/>
      </patternFill>
    </fill>
  </fills>
  <borders count="1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170" fontId="11" fillId="3" borderId="16" xfId="0" applyNumberFormat="1" applyFont="1" applyFill="1" applyBorder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84"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font>
        <sz val="9"/>
      </font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3"/>
      <tableStyleElement type="headerRow" dxfId="18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elo Walter" refreshedDate="42933.693175925924" createdVersion="6" refreshedVersion="6" minRefreshableVersion="3" recordCount="32" xr:uid="{00000000-000A-0000-FFFF-FFFF00000000}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2957.79885590278" createdVersion="6" refreshedVersion="6" minRefreshableVersion="3" recordCount="10000" xr:uid="{00000000-000A-0000-FFFF-FFFF3D000000}">
  <cacheSource type="worksheet">
    <worksheetSource ref="A1:AS1048576" sheet="From Jira"/>
  </cacheSource>
  <cacheFields count="46">
    <cacheField name="project" numFmtId="0">
      <sharedItems containsNonDate="0" containsString="0" containsBlank="1" count="1">
        <m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 count="1">
        <m/>
      </sharedItems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String="0" containsBlank="1" count="1">
        <m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String="0" containsBlank="1" count="1">
        <m/>
      </sharedItems>
    </cacheField>
    <cacheField name="SUBTASK_TYPE" numFmtId="0">
      <sharedItems containsNonDate="0" containsString="0" containsBlank="1" count="1">
        <m/>
      </sharedItems>
    </cacheField>
    <cacheField name="SUBTASK_STATUS" numFmtId="0">
      <sharedItems containsNonDate="0" containsString="0" containsBlank="1" count="1">
        <m/>
      </sharedItems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String="0" containsBlank="1" count="1">
        <m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istrador" refreshedDate="42964.646063078704" createdVersion="6" refreshedVersion="6" minRefreshableVersion="3" recordCount="9999" xr:uid="{00000000-000A-0000-FFFF-FFFF4D000000}">
  <cacheSource type="worksheet">
    <worksheetSource name="AllIssues"/>
  </cacheSource>
  <cacheFields count="49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Done" u="1"/>
        <s v="To UAT" u="1"/>
        <s v="QAing" u="1"/>
        <s v="Complete" u="1"/>
        <s v="Cancelled" u="1"/>
        <s v="Queued for Review" u="1"/>
        <s v="Deferred" u="1"/>
        <s v="Doing" u="1"/>
        <s v="To Do" u="1"/>
        <s v="Open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11">
        <m/>
        <s v="00443 - Buyer - Customer and User Profile" u="1"/>
        <s v=" 01652 - Enhancement - Customer Data Sync" u="1"/>
        <s v="00004 - Google LMS Integration" u="1"/>
        <s v=" 00541 - CSR - Dashboard" u="1"/>
        <s v=" | 00057 - Tools - Sizing" u="1"/>
        <s v=" | 00016 - Stories" u="1"/>
        <s v="00366 - Buyer - Order Management" u="1"/>
        <s v=" 00003 - OpenID Connect SSO Support " u="1"/>
        <s v="00112 - Security" u="1"/>
        <s v=" 00055 - Tools - Sonar" u="1"/>
        <s v=" 00015 - JIRA Customizations/Automations" u="1"/>
        <s v=" 00016 - Media Center" u="1"/>
        <s v="00104 - User Management" u="1"/>
        <s v="00531  - System Architecture" u="1"/>
        <s v=" 00054 - Our Story" u="1"/>
        <s v="00065 - Roles Configuration" u="1"/>
        <s v="00055 - Tools - Sonar" u="1"/>
        <s v="00420 - Buyer - Shipment Management" u="1"/>
        <s v="M | 00113 - Cancel task test" u="1"/>
        <s v="00054 - About Us" u="1"/>
        <s v=" | 00630 - Need Credentials for the Following Users" u="1"/>
        <s v=" 00054 - Our History" u="1"/>
        <s v="M | 00057 - Tools - Sizing" u="1"/>
        <s v=" | 00265 - Suppliers Section" u="1"/>
        <s v=" 00142 - Ethics and compliance page" u="1"/>
        <s v=" 00139 - Global sites" u="1"/>
        <s v=" | 01652 - Enhancement - Customer Data Sync" u="1"/>
        <s v=" 00057 - Tools - Sizing" u="1"/>
        <s v=" 00443 - Buyer views Customer and User Profiles" u="1"/>
        <s v=" 00002 - User Activity Tracking" u="1"/>
        <s v="00001 - Azure Base" u="1"/>
        <s v="00533 - Bemis CP Theme" u="1"/>
        <s v=" | 00501 - IBB Integration" u="1"/>
        <s v="01429 - Enhancement - Buyer Order Management" u="1"/>
        <s v=" 01570 - Enhancement - Buyer Reports" u="1"/>
        <s v="00444  - CSR - Customer and User Profile" u="1"/>
        <s v="00057 - Tools - Sizing" u="1"/>
        <s v=" 00004 - Google LMS Integration" u="1"/>
        <s v="00054 - Tools - Indicators" u="1"/>
        <s v=" 02870 - Off-boarding Tasks" u="1"/>
        <s v="00540 - Buyer - Dashboard" u="1"/>
        <s v=" | 00691 - Liferay Workspace Maintenance and Improvements" u="1"/>
        <s v=" 00029 - Stock ticker portlet" u="1"/>
        <s v="00069 - UI &amp; Theme" u="1"/>
        <s v="00420  - Buyer - Shipment" u="1"/>
        <s v=" | 00055 - Products + Service" u="1"/>
        <s v=" 00691 - Liferay Workspace Maintenance and Improvements" u="1"/>
        <s v=" 00539 - Buyer - Inventory Management" u="1"/>
        <s v=" 00056 - Tools - Worklogger" u="1"/>
        <s v="00002 - User Activity Tracking" u="1"/>
        <s v=" | 00002 - User Activity Tracking" u="1"/>
        <s v=" 00444 - CSR - Customer and User Profile" u="1"/>
        <s v=" | 00538 - Buyer - Reports" u="1"/>
        <s v="00005 - System Architecture" u="1"/>
        <s v=" 00146 - Two Factor Authentication" u="1"/>
        <s v=" 00210 - Stock Information page" u="1"/>
        <s v="00003 - OpenID Connect SSO Support " u="1"/>
        <s v=" 00523 - CSR - Portal Foundations" u="1"/>
        <s v=" 00533 - Bemis CP Theme" u="1"/>
        <s v="00092 - Content Management" u="1"/>
        <s v="00366  - Buyer - Order Management" u="1"/>
        <s v="00519 - Buyer - Portal Foundation" u="1"/>
        <s v=" | 00017 - Investors" u="1"/>
        <s v=" 00008 - Homepage" u="1"/>
        <s v="00087 - SDLC Process" u="1"/>
        <s v=" | 00004 - Google LMS Integration" u="1"/>
        <s v="00496 - Buyer - Document Management" u="1"/>
        <s v=" | 00523 - CSR - Portal Foundations" u="1"/>
        <s v=" | 00366 - Buyer - Order Management" u="1"/>
        <s v=" 00171 - Debt Information" u="1"/>
        <s v=" | 00005 - System Architecture" u="1"/>
        <s v=" | 00531 - System Architecture" u="1"/>
        <s v=" | 01438 - Enhancement - Buyer Inventory Management " u="1"/>
        <s v="01657 - Enhancement - Buyer Portal Foundations" u="1"/>
        <s v="00053 - Tools - Dashboard" u="1"/>
        <s v=" | 00056 - Tools - Worklogger" u="1"/>
        <s v=" 00221 - Orders Landing Page" u="1"/>
        <s v="00056 - Tools - Worklogger" u="1"/>
        <s v="00043 - Review accesibility" u="1"/>
        <s v=" 00016 - Stories" u="1"/>
        <s v=" | 00001 - Objective Taskboard" u="1"/>
        <s v=" | 00008 - Homepage" u="1"/>
        <s v="M | 00110 - Prepare acceptance environment" u="1"/>
        <s v=" | 00001 - Enhanced Group Functionality (Site)" u="1"/>
        <s v=" 00056 - Sustainability" u="1"/>
        <s v="00006 - Theme" u="1"/>
        <s v=" | 00006 - Theme" u="1"/>
        <s v=" 01439 - Enhanced Portal Foundation Settings" u="1"/>
        <s v="00443 - Buyer - Access Customer and User Profile Information" u="1"/>
        <s v=" | 00029 - Stock ticker portlet" u="1"/>
        <s v="M | 00118 - Jira 7 sdlc tools validation" u="1"/>
        <s v="00691 - Liferay Workspace Maintenance and Improvements" u="1"/>
        <s v=" 00006 - Theme" u="1"/>
        <s v="00501 - IBB Integration" u="1"/>
        <s v=" 00055 - Products + Service" u="1"/>
        <s v=" | 00052 - Tools - CI Server" u="1"/>
        <s v="00004 - Define strategy around docker and Azure" u="1"/>
        <s v=" 00173 - Corporate Governance" u="1"/>
        <s v="00539 - Buyer - Inventory Management" u="1"/>
        <s v=" | 00541 - CSR - Dashboard" u="1"/>
        <s v="00496  - Buyer - Document Management" u="1"/>
        <s v=" 00501 - IBB Integration" u="1"/>
        <s v=" 00531 - System Architecture" u="1"/>
        <s v="00026 - Install on Production" u="1"/>
        <s v=" 01437 - Enhancement - Buyer Shipment Management" u="1"/>
        <s v="M | 00056 - Tools - Worklogger" u="1"/>
        <s v="01437 - Enhancement - Buyer Shipment Management" u="1"/>
        <s v="00001 - Objective Taskboard" u="1"/>
        <s v=" | 01439 - Enhanced Portal Foundation Settings" u="1"/>
        <s v=" 01429 - Enhancement - Buyer Order Management" u="1"/>
        <s v=" | 00054 - About Us" u="1"/>
        <s v="00523 - CSR - Portal Foundations" u="1"/>
        <s v="00519 - Buyer - Portal Foundations" u="1"/>
        <s v="00016 - Stories" u="1"/>
        <s v="01438 - Enhancement - Buyer Inventory Management " u="1"/>
        <s v="00501  - IBB Integration" u="1"/>
        <s v=" 00017 - Investor Center" u="1"/>
        <s v=" | 01437 - Enhancement - Buyer Shipment Management" u="1"/>
        <s v=" | 01570 - Enhancement - Buyer Reports" u="1"/>
        <s v=" 00420 - Buyer - Shipment" u="1"/>
        <s v=" 00065 - Roles Configuration" u="1"/>
        <s v=" 01527 - Updates for all Report " u="1"/>
        <s v=" 00001 - Objective Taskboard" u="1"/>
        <s v=" 00207 - Press Releases Page" u="1"/>
        <s v=" | 00015 - JIRA Customizations/Automations" u="1"/>
        <s v="00443 - Buyer views Customer and User Profiles" u="1"/>
        <s v=" 00005 - System Architecture" u="1"/>
        <s v="00510 - Buyer - Release Management" u="1"/>
        <s v="01439 - Enhanced Portal Foundation Settings" u="1"/>
        <s v="00001 - Enhanced Group Functionality (Site)" u="1"/>
        <s v="00013 - Azure Cluster" u="1"/>
        <s v=" 00420 - Buyer - Shipment Management" u="1"/>
        <s v=" 00496 - Buyer - Document Management" u="1"/>
        <s v=" 00001 - Enhanced Group Functionality (Site)" u="1"/>
        <s v="00024 - Lfieray Governance" u="1"/>
        <s v="01652 - Enhancement - Customer Data Sync" u="1"/>
        <s v=" | 00519 - Buyer - Portal Foundations" u="1"/>
        <s v=" | 00444 - CSR - Customer and User Profile" u="1"/>
        <s v=" 00519 - Buyer - Portal Foundations" u="1"/>
        <s v=" | 00053 - Tools - Dashboard" u="1"/>
        <s v=" | 00540 - Buyer - Dashboard" u="1"/>
        <s v="M | 00065 - Roles Configuration" u="1"/>
        <s v=" 00510 - Buyer - Release Management" u="1"/>
        <s v=" | 00056 - Sustainability" u="1"/>
        <s v=" | 00633 - Sustainability" u="1"/>
        <s v="M | 00691 - Liferay Workspace Maintenance and Improvements" u="1"/>
        <s v="00420 - Buyer - Shipment" u="1"/>
        <s v="00538 - Buyer - Reports" u="1"/>
        <s v="00523  - CSR - Portal Foundations" u="1"/>
        <s v=" 00065 - Permissions" u="1"/>
        <s v=" | 01429 - Enhancement - Buyer Order Management" u="1"/>
        <s v="00029 - Stock ticker portlet" u="1"/>
        <s v=" 01438 - Enhancement - Buyer Inventory Management " u="1"/>
        <s v="00444 - CSR - Customer and User Profile" u="1"/>
        <s v="01527 - Updates for all Report " u="1"/>
        <s v=" 00032 - Content Workflow" u="1"/>
        <s v=" 00265 - Suppliers Section" u="1"/>
        <s v="00058 - Tools - Github" u="1"/>
        <s v="00630 - Need Credentials for the Following Users" u="1"/>
        <s v=" | 00065 - Roles Configuration" u="1"/>
        <s v="00531 - System Architecture" u="1"/>
        <s v=" | 02870 - Off-boarding Tasks" u="1"/>
        <s v="02870 - Off-boarding Tasks" u="1"/>
        <s v="00633 - Sustainability - Overview" u="1"/>
        <s v="00443  - Buyer - Customer and User Profile" u="1"/>
        <s v=" 00540 - Buyer - Dashboard" u="1"/>
        <s v=" 00366 - Buyer - Order Management" u="1"/>
        <s v="M | 00541 - CSR - Dashboard" u="1"/>
        <s v=" | 00003 - OpenID Connect SSO Support " u="1"/>
        <s v=" 01657 - Enhancement - Buyer Portal Foundations" u="1"/>
        <s v="00016 - Web Sermubeniel" u="1"/>
        <s v=" | 00058 - Tools - Github" u="1"/>
        <s v=" 00055 - Products" u="1"/>
        <s v=" | 00539 - Buyer - Inventory Management" u="1"/>
        <s v="00052 - Tools - CI Server" u="1"/>
        <s v="00265 - Suppliers Section" u="1"/>
        <s v="00541 - CSR - Dashboard" u="1"/>
        <s v=" 00443 - Buyer - Customer and User Profile" u="1"/>
        <s v=" | 00510 - Buyer - Release Management" u="1"/>
        <s v=" 00151 - Management Team" u="1"/>
        <s v="00444 - CSR - Access Customer and User Profile Information" u="1"/>
        <s v=" | 00420 - Buyer - Shipment Management" u="1"/>
        <s v=" | 01657 - Enhancement - Buyer Portal Foundations" u="1"/>
        <s v=" | 00533 - Bemis CP Theme" u="1"/>
        <s v=" 00017 - Investors" u="1"/>
        <s v=" | 00054 - Tools - Indicators" u="1"/>
        <s v="M | 03231 - Demand without assignee BEMISCP" u="1"/>
        <s v="M | 00630 - Need Credentials for the Following Users" u="1"/>
        <s v=" | 01527 - Updates for all Report " u="1"/>
        <s v=" | 00443 - Buyer views Customer and User Profiles" u="1"/>
        <s v=" | 00055 - Tools - Sonar" u="1"/>
        <s v="00056 - Sustainability" u="1"/>
        <s v=" 00538 - Buyer - Reports" u="1"/>
        <s v=" | 00069 - UI &amp; Theme" u="1"/>
        <s v="00015 - JIRA Customizations/Automations" u="1"/>
        <s v=" 00054 - About Us" u="1"/>
        <s v="00519  - Buyer - Portal Foundations" u="1"/>
        <s v=" 00053 - Tools - Dashboard" u="1"/>
        <s v="00510  - Buyer - Release Management" u="1"/>
        <s v=" 00149 - Company profile page" u="1"/>
        <s v=" 00058 - Tools - Github" u="1"/>
        <s v=" 00183 - Key Company Data" u="1"/>
        <s v=" 00001 - Enhanced Group Functionality" u="1"/>
        <s v="00017 - Investors" u="1"/>
        <s v="00055 - Products + Service" u="1"/>
        <s v="00008 - Homepage" u="1"/>
        <s v=" 00054 - Tools - Indicators" u="1"/>
        <s v="00366 - Buyer - Order &amp; Inventory Management" u="1"/>
        <s v="M | 00110 - Demand without assignee GSSDLC" u="1"/>
        <s v="01570 - Enhancement - Buyer Reports" u="1"/>
      </sharedItems>
    </cacheField>
    <cacheField name="TASK_TYPE" numFmtId="0">
      <sharedItems containsNonDate="0" containsBlank="1" count="6">
        <m/>
        <s v="Bug" u="1"/>
        <s v="Dummy Feature" u="1"/>
        <s v="Feature" u="1"/>
        <s v="Task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3020">
        <m/>
        <s v="Task |  | 00036 - BEMISCP-11 Aged Inventory (calculated, need BNA/BHP alignment)" u="1"/>
        <s v="Bug |  01841 - Shipments Cust PO" u="1"/>
        <s v="Task |  | 00169 - Disable public access to the QA environment" u="1"/>
        <s v="Task | 00670 - Update Email templates" u="1"/>
        <s v="Feature | 03229 - Feature without assignee BEMISCP" u="1"/>
        <s v="Bug |  01364 - BIT-114 Scheduled Releases Customer PO" u="1"/>
        <s v="Task |  | 00042 - BEMISCP-11 Watchlist - Orders / Items (Like starring an email)" u="1"/>
        <s v="Feature | 00378 - Generate Inventory Reports" u="1"/>
        <s v="Bug |  | 00379 - Adjust layout of stock ticker in different screen sizes" u="1"/>
        <s v="Bug |  02455 - 377 (BDT) - Releases and Shipment Report- date parameters and page view parameter requiredness" u="1"/>
        <s v="Bug |  | 01318 - BIT-73 Report Time not correct" u="1"/>
        <s v="Bug |  01449 - Descriptions are not showing 40 characters before ellipses " u="1"/>
        <s v="Bug | 02336 - 331 (BDT) Time Zone Clarification" u="1"/>
        <s v="Feature | 00333 - Notes create/edit - CSR view" u="1"/>
        <s v="Task |  | 00596 - Anchor tags not working for some pages" u="1"/>
        <s v="Feature |  | 00578 - Image Animations do not match mockups for Stories" u="1"/>
        <s v="Feature |  | 00332 - Logistics - Products/Items Shipped items no pricing" u="1"/>
        <s v="Feature |  | 00174 - Corporate Governance Page" u="1"/>
        <s v="Feature |  | 02997 - Check latest versions of image magick and ghost script are in the repository" u="1"/>
        <s v="Feature |  01127 - Create Page for CSRs to View Customer Locations " u="1"/>
        <s v="Feature |  | 00353 - Sort Orders by Specific Fields" u="1"/>
        <s v="Feature |  00308 - Customer - Org - Permissions" u="1"/>
        <s v="Feature |  00331 - Page Legal " u="1"/>
        <s v="Feature |  | 00138 - Carousel for full story pages" u="1"/>
        <s v="Feature |  00270 - Browse Customer Profiles" u="1"/>
        <s v="Feature | 00509 - Download Invoice and BoL " u="1"/>
        <s v="Bug |  | 02904 - Premium Waters Index Issue" u="1"/>
        <s v="Feature |  00377 - Our History" u="1"/>
        <s v="Bug |  00545 - Two Factor Authentication - Verification Code Error" u="1"/>
        <s v="Bug |  01418 - Release PO and Customer PO are wrapping on the same line" u="1"/>
        <s v="Feature | 00353 - Sort Orders by Specific Fields" u="1"/>
        <s v="Bug | 02860 - User Profile dropdown is wrapping " u="1"/>
        <s v="Bug | 01449 - Descriptions are not showing 40 characters before ellipses " u="1"/>
        <s v="Feature |  | 01784 - Improve data display on all pages " u="1"/>
        <s v="Feature |  | 02875 - Deployment Documentation " u="1"/>
        <s v="Feature | 00166 - Add behavior to Homepage links" u="1"/>
        <s v="Feature |  00231 - Show Open Demand and On Hand Qty for Item." u="1"/>
        <s v="Feature |  00011 - Carousel with three images and timer" u="1"/>
        <s v="Bug |  | 01265 - Bemis Logo Compression/Crowding" u="1"/>
        <s v="Bug | 00806 - Ship To Filter Issue with Name Format and number of items" u="1"/>
        <s v="Feature | 00206  - Populate Customer Profiles" u="1"/>
        <s v="Feature | 02997 - Check latest versions of image magick and ghost script are in the repository" u="1"/>
        <s v="Bug | 01645 - Cadastro de fornecedor com textos grandes quebram o cadastro" u="1"/>
        <s v="Task |  01095 - Ajuste no componente de Upload utilizado no SIGEX, nas telas que permitem edição. " u="1"/>
        <s v="Task |  | 00834 - Automated tests for Sprint 6" u="1"/>
        <s v="Feature | 02702 - 417 (BDT) - Consignment Overstated Shipped Qty on Orders Pg" u="1"/>
        <s v="Bug |  | 00044 - Some bugs about teams" u="1"/>
        <s v="Bug | 01297 - BIT-84 Data Issue on Bemis QA Environment" u="1"/>
        <s v="Dummy Feature |  | 00000 - Dummy Feature of  | 00055 - Tools - Sonar" u="1"/>
        <s v="Bug | 01238 - The ... next to the Bemis Order number does not expand to show the full line" u="1"/>
        <s v="Bug | 01312 - BIT-95 All reports from the Reports Landing Page" u="1"/>
        <s v="Feature | 00236 - Global Solutions" u="1"/>
        <s v="Task | 00569 - Create support for showing maintenance page in nginx during Liferay's startup" u="1"/>
        <s v="Task | 01291 - Automated Tests SP6 PQ3" u="1"/>
        <s v="Feature |  02783 - 441(BDT) - Data Sync Module Execution " u="1"/>
        <s v="Bug |  02679 - 410 (BDT) - Change the Discovery settings in elasticsearch.yml file to use host names" u="1"/>
        <s v="Bug |  | 01493 - Release Header fields do not display correctly" u="1"/>
        <s v="Feature | 01879 - Update 'View Details' dropdown to include UOM" u="1"/>
        <s v="Bug | 01080 - Notifications are sending continuous notifications" u="1"/>
        <s v="Bug |  | 01779 - After update to global web content, customer site template does not import" u="1"/>
        <s v="Task |  | 00975 - Sprint Documentation SP10" u="1"/>
        <s v="Bug |  | 02057 - 283 (BDT) - Scheduled Releases Sub-Page Line# Contains Leading Zeroes " u="1"/>
        <s v="Feature | 00079 - As an internal user, when I successfully login to the portal, I am redirected to the CSR site within the portal" u="1"/>
        <s v="Task |  00510 - Investigate rejected SVG icons in Chrome when using CDN" u="1"/>
        <s v="Bug |  02934 - BIN Doc Service Test Invoice URL Parameters" u="1"/>
        <s v="Feature | 00055 - Access shipper's website clicking shipper's name" u="1"/>
        <s v="Feature |  00326 - Search &amp; browse - customer &amp; user profiles - Sales restricted view" u="1"/>
        <s v="Bug |  02710 - 389 (BDT) - CSR AD group users are not set up properly" u="1"/>
        <s v="Bug |  01558 - BIT-166 Disabled User shows up in Members section on company profile page" u="1"/>
        <s v="Bug |  | 00760 - Impersonated User hits error" u="1"/>
        <s v="Bug | 01561 - BIT-108 Cannot find Shipments in Portal" u="1"/>
        <s v="Bug |  01088 - BIT-17 Carrier Link is not working " u="1"/>
        <s v="Bug |  | 01192 - BIT-135 Search in Locations filter fails when no location match is found  " u="1"/>
        <s v="Feature | 01396 - Allow Buyers to update display settings " u="1"/>
        <s v="Feature |  | 00232 - Reports Page" u="1"/>
        <s v="Bug | 00805 - On the Customer profile page format is incorrect" u="1"/>
        <s v="Bug |  02694 - ORM exceptions for Inventory data sync " u="1"/>
        <s v="Dummy Feature |  | 00000 - Dummy Feature of  | 00053 - Tools - Dashboard" u="1"/>
        <s v="Bug |  | 01294 - Poly Orders missing in portal" u="1"/>
        <s v="Bug |  01491 - Customer Site Template was not updated correctly" u="1"/>
        <s v="Feature | 00018 - Concrete Incubator webcontent" u="1"/>
        <s v="Bug |  | 01508 - NPE In Inventory Data Sync" u="1"/>
        <s v="Task |  00020 - BEMISCP-11 Portal Admin / Power Users" u="1"/>
        <s v="Feature |  00074 - Related articles" u="1"/>
        <s v="Feature | 00212 - View Customer logo on the dashboard" u="1"/>
        <s v="Feature |  | 01127 - Create Page for CSRs to View Customer Locations " u="1"/>
        <s v="Bug | 00915 - Increase size limit for profile picture" u="1"/>
        <s v="Feature | 00156 - Create and assign customer Roles" u="1"/>
        <s v="BALLPARK - Demand | M | 00000 - Liferay Workspace Maintenance and Improvements" u="1"/>
        <s v="Feature |  00239 - Hide Pricing Fields for Logistics, Co-Packer, and Quality roles" u="1"/>
        <s v="Bug | 01307 - BIT-90 Report Landing Page- Open Order Status Report- remove parameters from selection screen" u="1"/>
        <s v="Bug | 02232 - 330 (BDT) - Order Pg Bemis Product ID missing" u="1"/>
        <s v="Bug | 02468 - 378 (BDT) - Report Functionality- limit to reports showing per page but not additional pages to view" u="1"/>
        <s v="Feature |  00254 - View/Edit my User Profile" u="1"/>
        <s v="Task |  00034 - Setup Project Infrasctructure" u="1"/>
        <s v="Task | 00102 - OSGI Dependencies" u="1"/>
        <s v="Feature | 01891 - Add Google Analytics to the Customer Portal Sites" u="1"/>
        <s v="Bug |  02017 - 264 (BDT) - Viewing documents on mobile device" u="1"/>
        <s v="Bug | 00516 - Research publishing errors in log" u="1"/>
        <s v="Feature | 00007 - Create repository for software images" u="1"/>
        <s v="Bug | 02934 - BIN Doc Service Test Invoice URL Parameters" u="1"/>
        <s v="Bug |  | 02432 - 366 (BDT) - Releases page- mobile missing ship to info" u="1"/>
        <s v="Bug |  00902 - BIT-42 Update orders data fields to allow for decimals " u="1"/>
        <s v="Bug |  02016 - 262 (BDT) - Documents- Changing location filter as a parent " u="1"/>
        <s v="Bug |  | 01842 - User Edit Profile not working" u="1"/>
        <s v="Bug | 01071 - Login, Personal and Third party transfers - Arrows on dropdown menus don't change when the menu is opened" u="1"/>
        <s v="Task | 00025 - Configuração da infraestrutura de DevOps" u="1"/>
        <s v="Bug |  02115 - 299 (BDT) - Scheduled Releases subpage- iphone layout error" u="1"/>
        <s v="Feature |  | 00535 - User Profile Dropdown" u="1"/>
        <s v="Bug |  01588 - Inventory display not correct for order 073G001269 " u="1"/>
        <s v="Bug | 01317 - BIT-74 Report Page- Open/Closed order status report- missing parameter" u="1"/>
        <s v="Bug | 01684 - Add dependency in Theme for freemarker contributor" u="1"/>
        <s v="Feature | 00016 - Capture learning events" u="1"/>
        <s v="Feature | 00233 - As a buyer, I can see the quantity of &quot;Total Pending Shipments&quot; for a specific item on the shipment landing page, so that I can be aware of the quantity pending shipment" u="1"/>
        <s v="Feature | 02876 - Functional Spec Documentation " u="1"/>
        <s v="Bug |  01855 -    Documents- CSR access to sites  " u="1"/>
        <s v="Bug |  00830 - Two Factor authentication configuration is in the wrong category" u="1"/>
        <s v="Feature | 00010 - Modern tile with &quot;MORE&quot; animation" u="1"/>
        <s v="Task | 00523 - Configure and run AWS Inspector" u="1"/>
        <s v="Task |  | 00794 - Refactoring Search for Shipment ordered and releases" u="1"/>
        <s v="Feature |  00140 - Country micro site single page" u="1"/>
        <s v="Feature |  00125 - Product spec detail page - CSR view" u="1"/>
        <s v="Task | 00707 - Architectural discussions for Sprint 5" u="1"/>
        <s v="Bug | 02432 - 366 (BDT) - Releases page- mobile missing ship to info" u="1"/>
        <s v="Bug | 01043 - Issues within IPS PROD at this time that need to be cleared up." u="1"/>
        <s v="Feature |  | 00184 - Key Company Data" u="1"/>
        <s v="Bug |  01558 - Disabled User shows up in Members section on company profile page" u="1"/>
        <s v="Task | 00206 - [Geral] Analisar o problema do auto-complete do Sistema" u="1"/>
        <s v="Feature | 00060 - Wip validator service REST" u="1"/>
        <s v="Bug |  02935 - Documents page- title running off of screen box" u="1"/>
        <s v="Task |  00872 - Setup initial content (locations, configurations, admin users) for new DEV environment" u="1"/>
        <s v="Task |  | 00925 - Internal SIM users should be added to the SIM organization automatically upon first login" u="1"/>
        <s v="Bug | 02218 - 323 (BDT) - Shipment Landing Pg/Shipments Missing" u="1"/>
        <s v="Bug |  00541 - Stock Ticker portlet has content that is not localized" u="1"/>
        <s v="Task |  | 00582 - Mobile display problems" u="1"/>
        <s v="Feature |  | 00323 - As a Sales Regional Manager, I can view a list of customers and select one or more, so that I can selectively view information pertaining to a specific customer or sub-organization within the customer" u="1"/>
        <s v="Bug |  | 01850 - 195 (BDT) Documents- unable to download; CSR and buyer view" u="1"/>
        <s v="Bug |  | 00112 - An error message is displayed when creating a new organization site from site template" u="1"/>
        <s v="Feature | 00324 - As a Sales Exec, I can view a list of customers and select one or more, so that I can selectively view information pertaining to a specific customer or sub-organization within the customer " u="1"/>
        <s v="Feature |  | 02876 - Functional Spec Documentation " u="1"/>
        <s v="Bug |  | 00283 - HomePage is not adjusting to fit correctly on 1366x768" u="1"/>
        <s v="Bug |  | 03021 - Date Range on Release and Shipment History Report - all systems" u="1"/>
        <s v="Feature |  | 00328 - Custom 404 page" u="1"/>
        <s v="Bug |  | 01086 - Validation is ocurring too early in &quot;Hacer&quot; field (personal transfer)." u="1"/>
        <s v="Bug |  | 02017 - 264 (BDT) - Viewing documents on mobile device" u="1"/>
        <s v="Bug | 01418 - Release PO and Customer PO are wrapping on the same line" u="1"/>
        <s v="Task |  | 00862 - Collect remaining Go-Live tasks" u="1"/>
        <s v="Bug |  02019 - 266 (BDT) - Iphone view of welcome page- order of pages " u="1"/>
        <s v="Feature | 00249 - Shipment Search" u="1"/>
        <s v="Feature |  | 00022 - Add support for OpenID Connect Single Sign-on" u="1"/>
        <s v="Task | 00662 - Block Googlebot from doing a search " u="1"/>
        <s v="Feature | 01575 - User friendly error messaging for CSR and Buyers" u="1"/>
        <s v="Bug |  02904 - Premium Waters Index Issue" u="1"/>
        <s v="Feature |  00225 - Search Orders by Indexed fields" u="1"/>
        <s v="Bug |  00860 - Date Format is incorrect on all Pages" u="1"/>
        <s v="Feature | 00011 - Configure Liferay with LCS Activation" u="1"/>
        <s v="Bug | 03315 - UAT69 - Inactive Releases Displayed on Orders/Releases Pages" u="1"/>
        <s v="Feature | 00514 - Release Report" u="1"/>
        <s v="Task |  00049 - BEMISCP-11 Customer Terms (Payment, Freight, Incoterms)" u="1"/>
        <s v="Feature | 02560 - 424 (BDT) - Change password policy verbiage for external users" u="1"/>
        <s v="Bug |  00120 - Story carrousel on homepage does not animate (zoom)" u="1"/>
        <s v="Feature |  | 00406 - Adjust forms layouts" u="1"/>
        <s v="Bug | 03160 - Inventory Sync Delete happens before data is processed causing 0 inventory to show." u="1"/>
        <s v="Task |  00794 - Refactoring Search for Shipment ordered and releases" u="1"/>
        <s v="Bug | 01986 - 244 (BDT) - Order Pg Scheduled Releases/Available Qty Incorrect " u="1"/>
        <s v="Feature |  02905 - 470 (BDT) Updates to Consignment logic - Completed Shipments Sub-page shipped qty mismatched" u="1"/>
        <s v="Bug |  | 01704 - Mobile and Tablet View of Orders  is not aligned correctly " u="1"/>
        <s v="Feature |  00276 - Search on Landing page" u="1"/>
        <s v="Bug | 01139 - BIT-48 Padding issues with left nav menu " u="1"/>
        <s v="Bug |  00196 - Adjust company profile page" u="1"/>
        <s v="Feature |  | 01344 - Update decimals display on Bemis Portal Landing pages" u="1"/>
        <s v="Task | 00060 - BEMISCP-11 Data Model Mapping" u="1"/>
        <s v="Dummy Feature |  00000 - Dummy Feature of  00496 - Buyer - Document Management" u="1"/>
        <s v="Feature | 00374 - Shipment updates from IBB" u="1"/>
        <s v="Feature |  | 02489 - Change Requested Date Logic" u="1"/>
        <s v="Feature |  01476 - Remove default e-mail suffix from login page" u="1"/>
        <s v="Dummy Feature | 00000 - Dummy Feature" u="1"/>
        <s v="Task |  00461 - Investigate 413 Request Entity Too Large when uploading file &gt; 1MB" u="1"/>
        <s v="Bug | 01218 - Landing page redirection does not work when impersonating" u="1"/>
        <s v="Bug |  00856 - Spacing is incorrect across all pages" u="1"/>
        <s v="Bug | 02171 - 308 (BDT) - Orders page- iphone words in view detail spilling below allotted space" u="1"/>
        <s v="Task |  00277 - [Ajuste review sprint 05]: No Grid de listagem de solicitação de visto, acrescentar no grid a informação de status (utilizar sinal de cores). " u="1"/>
        <s v="Task |  00021 - BEMISCP-11 3 yrs Rolling History vs 18 months" u="1"/>
        <s v="Feature |  | 01432 -  Allow Portal Admin to adjust the date range of data synced" u="1"/>
        <s v="Feature |  00010 - Add status: draft, published, archived, invisible " u="1"/>
        <s v="Bug |  00902 - Update orders data fields to allow for decimals " u="1"/>
        <s v="Feature |  00359 - Batch details in on-hand inventory" u="1"/>
        <s v="Bug | 02052 - 282 (BDT) - Orders Page- Location filter location indicator " u="1"/>
        <s v="Bug | 00508 - Control Panel -&gt; Configuration -&gt; System Settings is broken in QA" u="1"/>
        <s v="Task |  | 00418 - Criar o componente de multi-moeda e a mudança da exibição nas telas que são utilizadas - Atividade FrontEnd" u="1"/>
        <s v="Task | 00023 - BEMISCP-11 Production Order data" u="1"/>
        <s v="Bug | 00568 - Publishing via PROD ELB is failing" u="1"/>
        <s v="Bug | 02737 - 434-GLC Release Missing" u="1"/>
        <s v="Bug | 00832 - Interface between SIMPS and IPS - issues that have been identified" u="1"/>
        <s v="Feature | 00296 - As a customer, I can login and view the same screens on my mobile device, so that I can use the site on the go" u="1"/>
        <s v="Feature |  | 00056 - Implement Celsus sync job to index Liferay Sites" u="1"/>
        <s v="Feature | 00511  - Releases by Item" u="1"/>
        <s v="Bug |  | 02425 - 211 (BDT) - Report parameter issue from page view buttons- Open and Closed/ Releases and Shipment History" u="1"/>
        <s v="Feature | 00207  - Populate User Profiles" u="1"/>
        <s v="Bug | 02024 - 247 (BDT) - Inventory Delete Functionality - Old Inventory data showing on Screen" u="1"/>
        <s v="Feature |  | 00019 - Asset publisher - Simple version" u="1"/>
        <s v="Bug |  | 01989 - 256 (BDT) - Orders page- mobile- expanded view - view details" u="1"/>
        <s v="Bug |  | 01307 - BIT-90 Report Landing Page- Open Order Status Report- remove parameters from selection screen" u="1"/>
        <s v="Bug |  | 01646 - Titulo não reflete a tela exibida" u="1"/>
        <s v="Feature | 01861 - Remove Buyer access to edit display settings" u="1"/>
        <s v="Task |  | 01455 - [Mudança evolutiva na tela de consulta dos Tipos de visto] Destacar o motivo do agendamento dos tipos de vistos agendados. " u="1"/>
        <s v="Feature |  02990 - Finalize deployment scripts" u="1"/>
        <s v="Feature | 00361 - As a buyer, I can access links in the footer of each page of the system, so that I have quick access to links and information" u="1"/>
        <s v="Bug |  | 01761 - Report menu categories should be alphabetical" u="1"/>
        <s v="Feature |  | 00645 - Buyer - Security" u="1"/>
        <s v="Feature |  | 00218 - Customer site template" u="1"/>
        <s v="Task | 00049 - Update implementation for Notifier entity service (formerly Configuration)" u="1"/>
        <s v="Bug |  | 01074 - Personal transfers - Dropdown menus slightly move other fields" u="1"/>
        <s v="Feature | 00254  - View/Edit my User Profile" u="1"/>
        <s v="Feature |  00218 - Customer site template" u="1"/>
        <s v="Bug | 01068 - Always returns to dashboard when canceling a personal transfer" u="1"/>
        <s v="Feature |  | 01861 - Remove Buyer access to edit display settings" u="1"/>
        <s v="Feature | 01858 - 200 (BDT)New Parameter Customer Item- wording on Field label" u="1"/>
        <s v="Bug | 02555 - 386 (BDT) - Poly IBB On Hand Qty Incorrect" u="1"/>
        <s v="Feature |  | 00307 - Co-packer multi-selection" u="1"/>
        <s v="Bug |  | 00197 - GPS - Playbooks &amp; Guidelines" u="1"/>
        <s v="Bug |  | 01922 - Standard Pallet Qty should be N/A when batch line Pallet amount is N/A" u="1"/>
        <s v="Feature |  00015 - Place remaining Webcontents on Homepage" u="1"/>
        <s v="Feature |  00361 - Footer" u="1"/>
        <s v="Bug | 02001 - Duplicate Entry Exception for Orders" u="1"/>
        <s v="Feature |  | 00217 - Update Customer logo" u="1"/>
        <s v="Feature | 00239 - Hide Pricing Fields for Logistics, Co-Packer, and Quality roles" u="1"/>
        <s v="Task |  01122 - [Mudança na task 1023 review sprint 15] Formatar o hint da aba de vacinas (tela de execução do processo de contratação) de acordo com a estrutura definida pela Queiroz Gavão " u="1"/>
        <s v="Feature |  | 00152 - Management Team" u="1"/>
        <s v="Feature |  | 00318 - Sourcing Approach" u="1"/>
        <s v="Bug |  01338 - Shipment Card Item Detail Box Scrolling Bar" u="1"/>
        <s v="Feature |  00232 - Reports Page" u="1"/>
        <s v="Bug |  01996 - 259 (BDT) - Orders Page- mobile view some customer PO numbers are hyperlinked" u="1"/>
        <s v="Bug | 03378 - UAT77 - Reports - 'From' date calendar not working" u="1"/>
        <s v="Task | 00590 - Investigate the staging and content publishing process issues" u="1"/>
        <s v="Feature |  | 00079 - As an internal user, when I successfully login to the portal, I am redirected to the CSR site within the portal" u="1"/>
        <s v="Bug | 01871 - Exceptions in LAR imports for Site Templates" u="1"/>
        <s v="Bug |  | 02104 - 294 (BDT) - Invoice report iphone and ipad hyperlinks in preview and report" u="1"/>
        <s v="Feature | 01736 - Update Dashboard Content" u="1"/>
        <s v="Bug | 01535 - The calculation for the total location qty and batch lines displayed do not match  " u="1"/>
        <s v="Task |  | 00056 - Update organization model listener to remove all organization configuration and notification" u="1"/>
        <s v="Task |  | 01454 - [Mudança evolutiva na tela de Detalhe do processo de visto e detalhe do visto emitido] Incluir informações referentes ao solicitante de visto e sobre dia e hora da abertura do processo." u="1"/>
        <s v="Bug |  | 02733 - 425 (BDT) - Documents- buyer not able to delete a document" u="1"/>
        <s v="Feature | 00280 - Careers Page" u="1"/>
        <s v="Feature | 00322 - Sales Rep - only sees orgs based on access" u="1"/>
        <s v="Feature | 00446 - CSR View of Customer Profile" u="1"/>
        <s v="Feature | 00235 - Building Solutions" u="1"/>
        <s v="Feature | 02990 - Update deployment scripts to preserve old releases" u="1"/>
        <s v="Task |  01331 - Trocar chamadas fake pelos Serviços SUC / Testar o retorno dos dados e corrigir incosistências" u="1"/>
        <s v="Task | 00020 - BEMISCP-11 Portal Admin / Power Users" u="1"/>
        <s v="Bug |  01181 - My Locations navigation on Mobile view is not working" u="1"/>
        <s v="Bug |  | 01062 - The screen &quot;Detalle de la recurrencia - Indefinida-&quot; has an extra field  &quot;Última transacción&quot;  that should not appear." u="1"/>
        <s v="Bug |  01262 - Sub-header font color on Reports Landing page are incorrect" u="1"/>
        <s v="Task |  00824 - Architectural document for Sprint 6" u="1"/>
        <s v="Bug | 01994 - 246 (BDT) - Order Pg Req Date Incorrect" u="1"/>
        <s v="Bug | 00659 - Hash Tags to Buttons (anchors) not working - CRITICAL" u="1"/>
        <s v="Bug |  01294 - Poly Orders missing in portal" u="1"/>
        <s v="Bug |  | 00753 - Fix Gradle theme build " u="1"/>
        <s v="Bug |  02711 - 416 (BDT) - Order Pg Shipment Qty Missing" u="1"/>
        <s v="Feature |  | 00175 - Order Status Report" u="1"/>
        <s v="Task |  | 00064 - BEMISCP-11 CSR hierarchy" u="1"/>
        <s v="Bug |  | 00635 - Emails from production server are not being received" u="1"/>
        <s v="Task |  00514 - Update and fix all searches and make sure they work properly with Solr" u="1"/>
        <s v="Bug | 02025 - 252 (BDT) - Order Pg View Details 0 Confirmed Qty Should Not Be Displayed" u="1"/>
        <s v="Feature | 01349 - Update default Sort Order on Shipments Landing Page " u="1"/>
        <s v="Dummy Feature |  00000 - Dummy Feature" u="1"/>
        <s v="Feature |  01852 - Update User Creation Test Scripts and customer LARs " u="1"/>
        <s v="Task | 01299 - [Mudança evolutiva na tela de Inclusão do tipo de visto] Acrescentar filtros para carregar as informações da Sigla/Descrição do tipo de visto com base no país de destino." u="1"/>
        <s v="Task |  | 00640 - Atividades Gerais Sprint 09" u="1"/>
        <s v="Task | 00503  - WS Commons" u="1"/>
        <s v="Bug |  | 00517 - Publish failed with the JSON formatting error" u="1"/>
        <s v="Bug |  02696 - JDBC Connection Exceptions in logs" u="1"/>
        <s v="Task | 00043 - BEMISCP-11 CSR portal -&gt; Webcenter/solutioncenter link" u="1"/>
        <s v="Feature | 00513 - Release Search" u="1"/>
        <s v="Feature | 03198 - BDT 603 Production - Cust ID 0076618- no invoice and BOL PDF generates for specific order" u="1"/>
        <s v="Feature | 03045 -  BDT 489 - Portal LDAP configuration change" u="1"/>
        <s v="Task |  00818 - Need to Simplify the way to add a Candidate Photo" u="1"/>
        <s v="Bug |  | 02231 - 327 (BDT) - Completed Shipments Sub-Page/Shipment Missing" u="1"/>
        <s v="Ballpark - Demand |  | 00000 - Dummy Feature of Liferay Workspace Maintenance and Improvements" u="1"/>
        <s v="Task |  00036 - BEMISCP-11 Aged Inventory (calculated, need BNA/BHP alignment)" u="1"/>
        <s v="Feature |  01250 - Update Sales Order to take in different order statuses" u="1"/>
        <s v="Bug |  00800 - Hyperlinks on shipments page should be blue" u="1"/>
        <s v="Feature |  00401 - Careers &gt; Locations and Functions" u="1"/>
        <s v="Feature |  | 00008 - Check graphics record (to monitor order progress)" u="1"/>
        <s v="Bug |  | 02047 - 275 (BDT) - Order Pg Sort Functionality" u="1"/>
        <s v="Feature |  | 00376 - Generate Order Reports" u="1"/>
        <s v="Feature |  | 02957 - 482 BDT - Optimizing report performance to 4 sec" u="1"/>
        <s v="Bug |  00892 - LDAP bulk import cannot be disable if 2FA is enabled" u="1"/>
        <s v="Feature | 00272 - Browse User Profile" u="1"/>
        <s v="Task |  00057 - BEMISCP-11 Order Invoice release report" u="1"/>
        <s v="Feature | 00375  - Buyer - Reports Landing Page" u="1"/>
        <s v="Bug |  | 01240 - Formatting Error when Resizing" u="1"/>
        <s v="Bug |  | 00632 - Orders - Move view details link below order Date" u="1"/>
        <s v="Dummy Feature |  | 00000 - Dummy Feature of  | 00054 - Tools - Indicators" u="1"/>
        <s v="Bug |  | 02273 - View Details crowded on Desktop" u="1"/>
        <s v="Bug | 02129 - 305 (BDT) - Invoice Report- tablet and iphone additional columns selection issue" u="1"/>
        <s v="Feature |  00365 - Left Navigation Expand / Collapse on all pages" u="1"/>
        <s v="Bug | 00765 - Date format incorrect in UI" u="1"/>
        <s v="Feature |  | 00267 - As a buyer, I can navigate to the Product spec detail from the Product landing page, so that I can see the specific details of an item" u="1"/>
        <s v="Feature | 00802 - List Releases of specifc Order" u="1"/>
        <s v="Feature |  01687 - Create a hook so that CSR users can see which users have completed setup" u="1"/>
        <s v="Bug |  01997 - 260 (BDT) - Orders page- tablet view change page orientation from portrait to landscape" u="1"/>
        <s v="Task | 01089 - Analyse test coverage and improve it if necessary (Controllers and Services)" u="1"/>
        <s v="Bug |  | 02732 - 424 (BDT) - Password Policy verbiage changes" u="1"/>
        <s v="Bug |  | 01177 - BIT-136 Importing Orgs from UAT generates exception" u="1"/>
        <s v="Feature | 00213 - Pending notifications counter" u="1"/>
        <s v="Feature |  | 00308 - Customer - Org - Permissions" u="1"/>
        <s v="Bug |  | 01995 - 257 (BDT) - Orders page- mobile footer cutting off fields" u="1"/>
        <s v="Bug | 00954 - Import of Organizations fails due to a NoSuchListTypeException" u="1"/>
        <s v="Feature |  00071 - Full story version 2" u="1"/>
        <s v="Bug | 00396 - Glyph errors in logs when resetting file previews" u="1"/>
        <s v="Feature |  | 00229 - View Order Note." u="1"/>
        <s v="Task |  | 00206 - [Geral] Analisar o problema do auto-complete do Sistema" u="1"/>
        <s v="Feature |  02489 - Change Requested Date Logic" u="1"/>
        <s v="Bug | 01088 - En la pantalla de confirmación el campo fecha está incorrecta" u="1"/>
        <s v="Bug |  | 01087 - Current transfer listed as future transfers on recurrency info pop-up (personal transfer)." u="1"/>
        <s v="Feature | 01007 - Requirement changes for Reports" u="1"/>
        <s v="Task | 00632 - Build new QA environment." u="1"/>
        <s v="Task | 00040 - BEMISCP-11 Logistics - Product in transit" u="1"/>
        <s v="Feature |  00230 - Products Overview" u="1"/>
        <s v="Feature |  01643 - Update Sales Order Data Sync logic" u="1"/>
        <s v="Bug |  02379 - IBB synchronization times should be in UTC timezone format" u="1"/>
        <s v="Task | 00022 - BEMISCP-11 Graphics info/status" u="1"/>
        <s v="Task |  00888 - For both Member &amp; Associate templates add a new Portlet to the Names, Birth, etc. page, called &quot;Personality&quot;" u="1"/>
        <s v="Task | 00028 - BEMISCP-11 Material Pricing - pricing condition sales" u="1"/>
        <s v="Bug |  02092 - 270 (BDT) - Release page missing info for Jel Sert" u="1"/>
        <s v="Bug | 00635 - Emails from production server are not being received" u="1"/>
        <s v="Bug |  | 03031 - Data3 Shipments Bemis Order# and Invoice# Incorrect for a Cust Item " u="1"/>
        <s v="Bug |  02218 - 323 (BDT) - Shipment Landing Pg/Shipments Missing" u="1"/>
        <s v="Bug |  | 00856 - Spacing is incorrect across all pages" u="1"/>
        <s v="Bug |  | 01639 - BIT-159 Create Access Path for CSRs to Customer and User Profiles" u="1"/>
        <s v="Feature |  | 00277 - Notes view - Buyer view" u="1"/>
        <s v="Feature |  00378 - Generate Inventory Reports" u="1"/>
        <s v="Task | 00259 - Customer Site Template should have 'template' in name" u="1"/>
        <s v="Task |  | 00498 - Create and use some &quot;Liferay down / starting up / maintenance page&quot; for nginx" u="1"/>
        <s v="Feature |  00381 - Login page - cookie statement" u="1"/>
        <s v="Feature |  | 00367 - Welcome screen / landing page" u="1"/>
        <s v="Feature | 01473 - Switch to SOAP calls" u="1"/>
        <s v="Task | 01260 - [Mudança evolutiva na tela de Inclusão do tipo de visto] Acrescentar filtros para carregar as informações do Órgão Emissor com base no país de emissão e de destino." u="1"/>
        <s v="Feature |  00022 - Add support for OpenID Connect Single Sign-on" u="1"/>
        <s v="Bug |  01451 - CSR- editing buyer profile" u="1"/>
        <s v="Task |  00090 - Cookies in Liferay Portal" u="1"/>
        <s v="Feature | 00088 - Customer Org Hierarchy" u="1"/>
        <s v="Bug | 00012 - Images have disappeared from Qwipper" u="1"/>
        <s v="Bug |  01363 - BIT-113 FRM 283- Typos on report landing page" u="1"/>
        <s v="Feature | 00371  - Customer Profile updates from IBB" u="1"/>
        <s v="Task |  | 00034 - Setup Dev Infrasctructure" u="1"/>
        <s v="Bug | 00498 - Fix QA issues" u="1"/>
        <s v="Feature |  00031 - Investor Center - Stock portlet" u="1"/>
        <s v="Bug |  00907 - Update Completed Shipments data fields to allow for decimals " u="1"/>
        <s v="Bug | 01198 - BIT-146 Customer Address does not display on Customer Profile" u="1"/>
        <s v="Task | 00975 - Sprint Documentation SP10" u="1"/>
        <s v="Feature | 00308 - Set maximum width for pages in 1300 px" u="1"/>
        <s v="Task |  01260 - [Mudança evolutiva na tela de Inclusão do tipo de visto] Acrescentar filtros para carregar as informações do Órgão Emissor com base no país de emissão e de destino." u="1"/>
        <s v="Feature | 00101 - Product landing page" u="1"/>
        <s v="Task | 00090 - Cookies in Liferay Portal" u="1"/>
        <s v="Feature |  00107 - Shipments Landing Page" u="1"/>
        <s v="Bug | 02092 - 270 (BDT) - Release page missing info for Jel Sert" u="1"/>
        <s v="Feature | 00346 - Create page to show on-hand quantity for product in order detail." u="1"/>
        <s v="Task | 00235 - IBB Request Log" u="1"/>
        <s v="Ballpark - Demand | 00000 - Dummy Feature of Liferay Workspace Maintenance and Improvements" u="1"/>
        <s v="Bug | 03142 - 571 BDT - Open Closed report failing to preview from the orders page" u="1"/>
        <s v="Feature |  00308 - Set maximum width for pages in 1300 px" u="1"/>
        <s v="Feature | 00379 - View Orders for a specific Cust Item" u="1"/>
        <s v="BALLPARK - Demand | M | 00000 - Prepare acceptance environment" u="1"/>
        <s v="Bug |  01291 - Order does not exist in portal" u="1"/>
        <s v="Task |  00071 - BEMISCP-11 Validate with Process Owners - Internal entitlements" u="1"/>
        <s v="Feature |  | 01728 - Update Customer Profiles default order" u="1"/>
        <s v="Task |  | 00582 - Update our database columns for simId, simTeamId, and simFamilyId to be VARCHAR" u="1"/>
        <s v="Feature |  00080 - All external users are re-directed to the  dashboard" u="1"/>
        <s v="Task |  | 00072 - Where to get Actual/Standard pallet quantity for rolls/boxes/cartons" u="1"/>
        <s v="Feature | 00445 -  View/Edit User Profile" u="1"/>
        <s v="Bug |  | 00804 - User Customer Name (Employer) is incorrect" u="1"/>
        <s v="Bug |  | 01994 - 246 (BDT) - Order Pg Req Date Incorrect" u="1"/>
        <s v="Feature | 00011 - Carousel with three images and timer" u="1"/>
        <s v="Ballpark - Demand | 00000 - Dummy Feature of Tools - Sonar" u="1"/>
        <s v="Feature |  00535 - User Profile Dropdown" u="1"/>
        <s v="Feature | 00286 - As a buyer, I can search globally through the system, so that I can get quick access to relevant information" u="1"/>
        <s v="Feature | 00664 - Feature without assignee CEMEXWEB" u="1"/>
        <s v="Bug |  | 00903 - Update Releases data fields to allow for decimals " u="1"/>
        <s v="Feature | 00027 - Synchronize User Information" u="1"/>
        <s v="Feature |  | 02996 - Final Clean QA Deploy" u="1"/>
        <s v="Feature |  | 01575 - User friendly error messaging for CSR and Buyers" u="1"/>
        <s v="Task | 00057 - Management work" u="1"/>
        <s v="Bug |  01876 - 216 (BDT) Theme Generate Report link wrong color " u="1"/>
        <s v="Bug |  | 01363 - BIT-113 FRM 283- Typos on report landing page" u="1"/>
        <s v="Task | 00584 - Make the user Jose Alberto as a site admin" u="1"/>
        <s v="Bug |  01761 - Report menu categories should be alphabetical" u="1"/>
        <s v="Task |  | 00905 - Add History and Start dates to a number of Fields" u="1"/>
        <s v="Feature |  00347 - Product values in different currencies" u="1"/>
        <s v="Bug | 00632 - Orders - Move view details link below order Date" u="1"/>
        <s v="Bug |  00177 - Stories page without footer" u="1"/>
        <s v="Feature |  00373 - *DELETE* User Profile updates from IBB" u="1"/>
        <s v="Task | 00679 - Upgrade staging servers to use 4g heap" u="1"/>
        <s v="Bug |  02885 - (BDT 467) - Releases and Shipments do not display for new customer setup " u="1"/>
        <s v="Bug |  01309 - Report Landing Page- Inventory Detail Report" u="1"/>
        <s v="Task |  01775 - Theme Dependency needs to be updated due to core changes" u="1"/>
        <s v="Feature |  | 00370 - Order updates from IBB" u="1"/>
        <s v="Bug |  | 02023 - 251 (BDT) - Manufacture date" u="1"/>
        <s v="Feature | 00207 - Populate User Profiles" u="1"/>
        <s v="Feature | 00295 - Products + Service &gt; Trading" u="1"/>
        <s v="Task |  01291 - Automated Tests SP6 PQ3" u="1"/>
        <s v="Feature |  | 00013 - Footer" u="1"/>
        <s v="Task |  01089 - Analyse test coverage and improve it if necessary (Controllers and Services)" u="1"/>
        <s v="Feature |  00172 - Debt Information" u="1"/>
        <s v="Bug |  | 02737 - 434-GLC Release Missing" u="1"/>
        <s v="Feature | 01728 - Update Customer Profiles default order" u="1"/>
        <s v="Bug |  | 02638 - BDT 428 -ID 4191- Documents should not be using File Entry LocalService" u="1"/>
        <s v="Bug | 01755 - Mobile Footer no longer displays" u="1"/>
        <s v="Feature |  00007 - Design menus" u="1"/>
        <s v="Feature |  02864 - CR45 - Shipment Deletes" u="1"/>
        <s v="Feature |  | 00002 - Multi-criteria search" u="1"/>
        <s v="Feature |  | 02977 - Set search highlighting property to false" u="1"/>
        <s v="Task |  | 00277 - [Ajuste review sprint 05]: No Grid de listagem de solicitação de visto, acrescentar no grid a informação de status (utilizar sinal de cores). " u="1"/>
        <s v="Bug |  02098 - 290 (BDT) - Release Pg Ship To Name and Address incorrect" u="1"/>
        <s v="Feature |  | 00341 - User agreement - BNA" u="1"/>
        <s v="Bug | 03193 - BDT 596- User directed to &quot;You are logged in as&quot; page vs. org site." u="1"/>
        <s v="Task |  01070 - Optimize JVM settings" u="1"/>
        <s v="Feature | 00101 - As a buyer, I can navigate to the Products landing page (by clicking on the Products link in the header) to view a list of my items, so that I can quickly and easily see my relevant items in a single click." u="1"/>
        <s v="Feature |  | 00302 - Filter Data by Customer Location" u="1"/>
        <s v="Bug | 00069 - Menu not working when on mobile mode" u="1"/>
        <s v="Feature |  00247 - Download - report link" u="1"/>
        <s v="Task | 00603 - Create Earnings Webcast 1Q 17 page" u="1"/>
        <s v="Bug | 01291 - Order does not exist in portal" u="1"/>
        <s v="Feature | 00445 -  View/Edit Buyer User Profile" u="1"/>
        <s v="Bug |  01324 - Hide Edit options that Buyers do not have access to " u="1"/>
        <s v="Feature | 00017 - Design concepts, site creation, roles and users" u="1"/>
        <s v="Feature |  00219 - View customer site list" u="1"/>
        <s v="Feature |  | 00358 - Co-Packer - orders Ship to no pricing" u="1"/>
        <s v="Feature |  | 00023 - Events + Calendar Portlet" u="1"/>
        <s v="Task |  | 00931 - Finance team Query of IPS" u="1"/>
        <s v="Bug |  00716 - When an order is deleted, the associated AssetEntries are not removed" u="1"/>
        <s v="Feature |  | 00276 - Search on Landing page" u="1"/>
        <s v="Feature |  | 02783 - 441(BDT) - Data Sync Module Execution " u="1"/>
        <s v="Bug |  00474 - SoyPortlet does not build on windows machine" u="1"/>
        <s v="Bug |  00179 - Internet Explorer Story List Text Missing" u="1"/>
        <s v="Task |  00020 - Create Google Local Environment" u="1"/>
        <s v="Bug |  02239 - Zip code is missing from Inventory Layout" u="1"/>
        <s v="Feature |  | 01476 - Remove default e-mail suffix from login page" u="1"/>
        <s v="Feature |  | 00214 - View Notifications" u="1"/>
        <s v="Feature | 03215 - (606 BDT/CR59) K-C Rejected Release displayed in Portal" u="1"/>
        <s v="Feature |  02842 - Remove test users from deployment scripts" u="1"/>
        <s v="Feature | 00224 - Order Detail in Orders by PO" u="1"/>
        <s v="Bug | 01639 - BIT-159 Create Access Path for CSRs to Customer and User Profiles" u="1"/>
        <s v="Feature | 00369 - Inventory updates from IBB" u="1"/>
        <s v="Task |  | 00051 - Update Notification service" u="1"/>
        <s v="Task | 00597 - Use script to discover which web contents need to be fixed for ghost image issue" u="1"/>
        <s v="Bug |  01670 - Web Content LAR needs to be updated to reflect latest changes to TemplateContextContributor" u="1"/>
        <s v="Bug | 02091 - 268 (BDT) - Missing Open Scheduled Release Info" u="1"/>
        <s v="Feature |  00161 - Format text and add links to image description" u="1"/>
        <s v="Feature |  | 01180 - Updates to Bemis Portal Navigation" u="1"/>
        <s v="Feature |  00319 - Sustainable Sourcing" u="1"/>
        <s v="Bug | 03139 - 570 BDT - Reports are not automatically downloading" u="1"/>
        <s v="Bug | 01086 - Validation is ocurring too early in &quot;Hacer&quot; field (personal transfer)." u="1"/>
        <s v="Task |  | 00319 - [Ajuste na tela de edição de solicitação de visto]: Alterar a navegação atual utilizando o conceito de abas. " u="1"/>
        <s v="Feature |  00233 - Investors - Contact Us" u="1"/>
        <s v="Task |  00047 - BEMISCP-11 Customer Inventory Terms" u="1"/>
        <s v="Bug |  02485 - 380 (BDT) - Documents functionality missing add Basic Document" u="1"/>
        <s v="Bug |  | 01078 - Nombre del botón añadir esta incorrecto" u="1"/>
        <s v="Bug | 00808 - Arrow Font Size on Releases Page is too small" u="1"/>
        <s v="Task |  | 00476 - Mudança nas chamadas do serviço do SUC" u="1"/>
        <s v="Feature | 00365 - Left Navigation Expand / Collapse on all pages" u="1"/>
        <s v="Bug | 02679 - 410 (BDT) - Change the Discovery settings in elasticsearch.yml file to use host names" u="1"/>
        <s v="Task | 00925 - Internal SIM users should be added to the SIM organization automatically upon first login" u="1"/>
        <s v="Bug |  | 01418 - Release PO and Customer PO are wrapping on the same line" u="1"/>
        <s v="Bug | 01788 - Document Preview does not work " u="1"/>
        <s v="Bug |  00906 - Update Scheduled Releases data fields to allow for decimals " u="1"/>
        <s v="Bug | 02016 - 262 (BDT) - Documents- Changing location filter as a parent " u="1"/>
        <s v="Bug |  | 01563 - SAP Order 541116 Missing" u="1"/>
        <s v="Feature |  | 00360 - Add pallet detail view in batch view." u="1"/>
        <s v="Task |  00141 - CI server setup" u="1"/>
        <s v="Task | 00862 - Collect remaining Go-Live tasks" u="1"/>
        <s v="Task |  00030 - Research SCORM" u="1"/>
        <s v="Bug |  | 01198 - BIT-146 Customer Address does not display on Customer Profile" u="1"/>
        <s v="Feature |  00166 - Add behaviour to Homepage links" u="1"/>
        <s v="Task |  00965 - Part of Phase 1.5 - A number of small changes" u="1"/>
        <s v="Bug | 00379 - Adjust layout of stock ticker in different screen sizes" u="1"/>
        <s v="Task |  00065 - BEMISCP-11 Custom reports investigation" u="1"/>
        <s v="Bug | 01256 - BOL and INVOICE Hyperlink fails to load PDF" u="1"/>
        <s v="Task | 01070 - Optimize JVM settings" u="1"/>
        <s v="Task |  | 00071 - BEMISCP-11 Validate with Process Owners - Internal entitlements" u="1"/>
        <s v="Feature |  | 00224 - Order Detail in Orders by PO" u="1"/>
        <s v="Bug | 01084 - Dropdwn &quot;Tipo de Correo &quot; with format for IOS" u="1"/>
        <s v="Task |  | 00569 - Create support for showing maintenance page in nginx during Liferay's startup" u="1"/>
        <s v="Bug | 01078 - Nombre del botón añadir esta incorrecto" u="1"/>
        <s v="Bug |  01871 - Exceptions in LAR imports for Site Templates" u="1"/>
        <s v="Bug |  00672 - Items per Page does not allow you to return to default setting" u="1"/>
        <s v="Task |  | 02830 - IBB configs need to be updated to use a different service account on QA" u="1"/>
        <s v="Feature |  00218 - Select customer site template" u="1"/>
        <s v="Feature | 01993 - 242 (BDT) - Customer profile - no address pulling in" u="1"/>
        <s v="Bug | 01995 - 257 (BDT) - Orders page- mobile footer cutting off fields" u="1"/>
        <s v="Feature | 00222 - Order Detail in Orders by Item View" u="1"/>
        <s v="Bug | 02696 - JDBC Connection Exceptions in logs" u="1"/>
        <s v="Bug |  01305 -   Multiple Fields showing incorrectly on the Orders Landing Page. " u="1"/>
        <s v="Task | 00669 - Investigate freemarker issues in latest prod data refresh" u="1"/>
        <s v="Bug |  00408 - Our History &gt; Adjust padding in map for IPhone" u="1"/>
        <s v="Feature |  | 00397 - Careers &gt; Life at Cemex" u="1"/>
        <s v="Feature |  00265 - As a buyer, I can see Pending Shipment Quantity for a specific item, so that I know how much product to expect" u="1"/>
        <s v="Bug | 02700 - Buyers need to have ability to delete for specific folders " u="1"/>
        <s v="Feature |  | 00509 - View and Download Invoice and BoL " u="1"/>
        <s v="Task |  | 00641 - Apple and verify fix for CEMEX-15" u="1"/>
        <s v="Feature |  | 00009 - Place webcontent in the grid acording to wireframe" u="1"/>
        <s v="Feature |  00206 - Populate Customer Profiles" u="1"/>
        <s v="Feature |  | 00253 - Buyer - Navigate to Order by PO page from Shipment Page" u="1"/>
        <s v="Feature |  00080 - Redirect customers to dashboard" u="1"/>
        <s v="Bug | 01005 - Do not show Scheduled Releases with a Confirmed Qty =  0" u="1"/>
        <s v="Task |  00176 - Set up QA environment" u="1"/>
        <s v="Bug |  01272 - Fix sort order column names" u="1"/>
        <s v="Task | 00678 - Adjust BeL to the BG Security Team recommendations" u="1"/>
        <s v="Feature |  | 01526 - Update the report that is called from the Open Order Landing Page" u="1"/>
        <s v="Bug |  01426 - On Hand Inventory Details shows a Total Qty but there are no details " u="1"/>
        <s v="Bug |  | 01670 - Web Content LAR needs to be updated to reflect latest changes to TemplateContextContributor" u="1"/>
        <s v="Feature | 02842 - Remove test users from deployment scripts" u="1"/>
        <s v="Feature | 00059 - One Click Deploy V2" u="1"/>
        <s v="Task | 00127 - Tech Spec Truncation" u="1"/>
        <s v="Feature | 03088 - Apply Database configuration changes to improve resiliency" u="1"/>
        <s v="Feature | 01443 - Update date limit on Global Search " u="1"/>
        <s v="Bug |  01423 - BIT-46 Cards on Page incorrect" u="1"/>
        <s v="Task | 01454 - [Mudança evolutiva na tela de Detalhe do processo de visto e detalhe do visto emitido] Incluir informações referentes ao solicitante de visto e sobre dia e hora da abertura do processo." u="1"/>
        <s v="Feature | 00160 - As a CSR user, I can delete a document uploaded by a customer to a Document Library folder, so that I can remove outdated or irrelevant information" u="1"/>
        <s v="Bug |  01191 - Select All and Clear All links in Location filter do not work" u="1"/>
        <s v="Feature | 00006 - Create docker image for Elasticsearch" u="1"/>
        <s v="Feature |  00272 - Browse User Profile" u="1"/>
        <s v="Task | 00461 - Investigate 413 Request Entity Too Large when uploading file &gt; 1MB" u="1"/>
        <s v="Bug |  | 02113 - 297 (BDT) - On Hand Inventory page code error" u="1"/>
        <s v="Task | 00492 - Update orders based on feedback" u="1"/>
        <s v="Feature |  | 00260 - Buyer -  View Release PO on Expanded Shipment View" u="1"/>
        <s v="Feature | 00325 - As a CSR Manager, I can view a list of customers and select one or more, so that I can selectively view information pertaining to a specific customer or sub-organization within the customer" u="1"/>
        <s v="Feature |  00162 - Render iframe to show old content" u="1"/>
        <s v="Bug | 02239 - Zip code is missing from Inventory Layout" u="1"/>
        <s v="Bug | 02995 - 490 BDT - Invoice or BOL link on completed shipments subpage does not work" u="1"/>
        <s v="Task | 00030 - BEMISCP-11 Company Onboarding steps" u="1"/>
        <s v="Feature |  00063 - Show full story on Media Center" u="1"/>
        <s v="Task |  00890 - Modifiy page 'Medical &amp; Psychological Summary'" u="1"/>
        <s v="Task |  | 00830 - Perform SIMPS migration test" u="1"/>
        <s v="Bug |  | 02537 - Preview should display for all document types " u="1"/>
        <s v="Bug | 02095 - 269 (BDT) - Release page expanded card missing state zip country" u="1"/>
        <s v="Feature |  02454 - 376 (BDT) - Open and Closed Order Status Report- update to parameters from order page card button" u="1"/>
        <s v="Feature |  | 01172 - Portal Error Handling" u="1"/>
        <s v="Task | 00056 - Update organization model listener to remove all organization configuration and notification" u="1"/>
        <s v="Task |  | 00603 - Create Earnings Webcast 1Q 17 page" u="1"/>
        <s v="Bug |  | 02719 - 382 (BDT) - Order Pg Requested Date Incorrect" u="1"/>
        <s v="Bug |  01421 - Bemis Logo displayed on Bemis' QA is incorrect" u="1"/>
        <s v="Feature | 00364 - Buyer expanded view of orders by PO" u="1"/>
        <s v="Bug | 02552 - 394 (BDT) - Scheduled Releases Sub-Pg Bemis Line# Contains Leading Zeroes" u="1"/>
        <s v="Task |  | 00269 - [Ajuste identificado] Filtrar os itens a serem aprovados por centro de custo " u="1"/>
        <s v="Task |  00707 - Architectural discussions for Sprint 5" u="1"/>
        <s v="Feature |  00249 - Search on Landing page" u="1"/>
        <s v="Bug |  | 01068 - Always returns to dashboard when canceling a personal transfer" u="1"/>
        <s v="Bug |  | 02379 - IBB synchronization times should be in UTC timezone format" u="1"/>
        <s v="Task | 00279 - [Mudança review sprint 05] Criar uma aba (Aprovações/Comentários) para agrupar as Atividades e Comentários. Na tela de detalhe do candidato" u="1"/>
        <s v="Task | 00890 - Modifiy page 'Medical &amp; Psychological Summary'" u="1"/>
        <s v="Bug | 03332 - Global Search - Possible exception when entry not in DB." u="1"/>
        <s v="Bug |  00688 - DataSync background tasks are not being cleaned up from DB when successfully completed" u="1"/>
        <s v="Feature |  00234 - Services Page" u="1"/>
        <s v="Bug |  02273 - View Details crowded on Desktop" u="1"/>
        <s v="Bug |  01297 - Data Issue on Bemis QA Environment" u="1"/>
        <s v="Bug |  02731 - 427 (BDT) - Shipments Pg Floating Text, Not on Card" u="1"/>
        <s v="Bug | 03192 - BDt 598- All environments - log in screen" u="1"/>
        <s v="Feature |  00242 - Link Product Id in Orders Detail to Product Spec Page." u="1"/>
        <s v="Bug | 01076 - Red line indicating error does not appear when leaving empty the &quot;Cuenta destino&quot; field (personal transfer)." u="1"/>
        <s v="Task |  00072 - Where to get Actual/Standard pallet quantity for rolls/boxes/cartons" u="1"/>
        <s v="Task | 00794 - Refactoring Search for Shipment ordered and releases" u="1"/>
        <s v="Feature | 02445 - 321 (BDT) - Update the Shipments to use a field on Delivery vs. from Orders" u="1"/>
        <s v="Feature | 02905 - 470 (BDT) Updates to Consignment logic - Doned Shipments Sub-page shipped qty mismatched" u="1"/>
        <s v="Bug |  | 00568 - Publishing via PROD ELB is failing" u="1"/>
        <s v="Bug | 01704 - Mobile and Tablet View of Orders  is not aligned correctly " u="1"/>
        <s v="Bug |  | 01272 - Fix sort order column names" u="1"/>
        <s v="Feature | 00305 - Co-Packer - Role by Ship To" u="1"/>
        <s v="Bug | 02633 - 387 (BDT) - Missing any Shipments for Premium Waters" u="1"/>
        <s v="Task | 00041 - BEMISCP-11 Complete the Document matrix | Due date: 8/1/16" u="1"/>
        <s v="Task |  | 00514 - Research &amp; Apply URL Rewrite for URL containing String .aspx" u="1"/>
        <s v="Feature |  02407 - Change date field used for selecting invoices" u="1"/>
        <s v="Feature |  01480 - Performance Testing and Tunning" u="1"/>
        <s v="Task |  00045 - BEMISCP-11 Docs - BOL (SSRS - Can provide a copy of the BOL)" u="1"/>
        <s v="Bug |  02546 - 388 (BDT) - Inventory Pg Standard Pallet Qty Rounding Issue" u="1"/>
        <s v="Feature |  | 00271 - Search for User Profile Details" u="1"/>
        <s v="Task |  | 01061 - Códigos de Tarjeta Token no se están validando de manera correcta al realizar una transacción a terceros." u="1"/>
        <s v="Task |  00297 - Install fixes for PDF preview on QA env" u="1"/>
        <s v="Task | 00169 - Disable public access to the QA environment" u="1"/>
        <s v="Feature | 00227 - Add ExpandAll option to Orders Summaries." u="1"/>
        <s v="Bug |  | 02630 - Multiple OSGi registration calls from BemisPortalServiceImpl" u="1"/>
        <s v="Feature | 00370 - Order updates from IBB" u="1"/>
        <s v="Feature |  | 00017 - Workflows Customizations" u="1"/>
        <s v="Feature |  | 00206 - Populate Customer Profiles" u="1"/>
        <s v="Bug | 01423 - BIT-46 Cards on Page incorrect" u="1"/>
        <s v="Bug |  | 02591 - ORM exceptions for Customer Location data sync " u="1"/>
        <s v="Bug | 00283 - HomePage is not adjusting to fit correctly on 1366x768" u="1"/>
        <s v="Feature | 00363 - Internal users - mapping groups to portal roles" u="1"/>
        <s v="Task |  00584 - Make the user Jose Alberto as a site admin" u="1"/>
        <s v="Bug |  02453 - 375 (BDT) - Inventory Report - URL too long error " u="1"/>
        <s v="Feature | 00008 - Check graphics record (to monitor order progress)" u="1"/>
        <s v="Task | 00018 - BEMISCP-11 Quality - Credit Status (TBD system, not in IBB - Ruth Checking)" u="1"/>
        <s v="Bug |  00412 - Homepage &gt; Change &quot;Media and Events&quot; section" u="1"/>
        <s v="Task |  | 01260 - [Mudança evolutiva na tela de Inclusão do tipo de visto] Acrescentar filtros para carregar as informações do Órgão Emissor com base no país de emissão e de destino." u="1"/>
        <s v="Task | 01803 - QA Deployment Documentation" u="1"/>
        <s v="Bug |  | 02899 - 469 BDT - Logos on IE are blurry" u="1"/>
        <s v="Bug |  | 02239 - Zip code is missing from Inventory Layout" u="1"/>
        <s v="Feature |  00144 - Our story page without timeline section" u="1"/>
        <s v="Feature |  | 01858 - 200 (BDT)New Parameter Customer Item- wording on Field label" u="1"/>
        <s v="Bug | 01104 - The User can not insert an amount - Internet Explorer V11- Third party transfers" u="1"/>
        <s v="Task | 00087 - Should only send learning records when log in as a learner " u="1"/>
        <s v="Bug | 01314 - BIT-72 Report page- open and closed order report; parameters not expected" u="1"/>
        <s v="Task |  00044 - BEMISCP-11 When to onboard new customer - What to do when onboarding new cust" u="1"/>
        <s v="Bug |  02118 - 304(BDT) - 2FA has inconsistent behavior" u="1"/>
        <s v="Feature | 01428 - Updates to handle Standard Pallet Qty data" u="1"/>
        <s v="Feature |  02823 - Reverse PGI'd Shipment displayed in Portal (BDT 454)" u="1"/>
        <s v="Bug | 00010 - Product Attribute" u="1"/>
        <s v="Bug |  00905 - Update On Hand Inv data fields to allow for decimals " u="1"/>
        <s v="Task |  | 01504 - Automated Tests SP7 PQ3" u="1"/>
        <s v="Task |  01504 - Automated Tests SP7 PQ3" u="1"/>
        <s v="Bug |  00854 - Orders Page - Quantity Fields Show 0 Value" u="1"/>
        <s v="Feature | 00658 - Refactor UI elements to improve maintainability" u="1"/>
        <s v="Bug |  | 02883 - Consignment Inventory Whse Location/No Incorrect" u="1"/>
        <s v="Bug |  | 02227 - IBB Data Sync Performance " u="1"/>
        <s v="Task | 00549 - Make sure cemex.com redirects to www.cemex.com" u="1"/>
        <s v="Feature | 00015 - Place remaining Webcontents on Homepage" u="1"/>
        <s v="Feature | 00341 - As a BNA customer, I am prompted with the BNA user agreement upon my first login to the portal, so that legal compliance is maintained" u="1"/>
        <s v="Task | 00665 - Refresh the QA environment data" u="1"/>
        <s v="Feature | 00512  - Release Details" u="1"/>
        <s v="Bug |  02464 - Update error logs to capture ID and field " u="1"/>
        <s v="Task | 00609 - Create a page layout so that the Document and Media Store portlet can span across the entire page" u="1"/>
        <s v="Task |  00102 - OSGI Dependencies" u="1"/>
        <s v="Feature | 00264 - As a buyer, I can see the Shipped Quantity of a specific item, so that I can see the shipment history of an item" u="1"/>
        <s v="Feature |  00055 - Access shipper's website clicking shipper's name" u="1"/>
        <s v="Bug |  | 00175 - Sprint 2 minor fixes" u="1"/>
        <s v="Bug | 03290 - BDT625 - Ellipse Tooltip and Menu overlap (z-index) UI bug" u="1"/>
        <s v="Bug |  | 01348 - BIT-107 Order Report URL too long " u="1"/>
        <s v="Bug |  02552 - 394 (BDT) - Scheduled Releases Sub-Pg Bemis Line# Contains Leading Zeroes" u="1"/>
        <s v="Feature |  01777 - Keep CSR on Control Panel View when navigating to customer sites  " u="1"/>
        <s v="Feature | 00058 - Carrier List CRUD" u="1"/>
        <s v="Bug |  | 00634 - Orders -  Bemis Order # (line No) should be moved below Bemis ProductID" u="1"/>
        <s v="Bug |  01989 - 256 (BDT) - Orders page- mobile- expanded view - view details" u="1"/>
        <s v="Task | 01455 - [Mudança evolutiva na tela de consulta dos Tipos de visto] Destacar o motivo do agendamento dos tipos de vistos agendados. " u="1"/>
        <s v="Feature | 00015 - Configure Docker Swarm to auto scale Liferay" u="1"/>
        <s v="Bug |  01364 - Scheduled Releases Customer PO" u="1"/>
        <s v="Bug |  02173 - 310 (BDT) - Order Pg View Details Schedule Line Dates Sort Order Incorrect " u="1"/>
        <s v="Feature |  00033 - Content Workflow" u="1"/>
        <s v="Task | 00988 - Complete all necessary functions to make sim.org ready for Production" u="1"/>
        <s v="Feature |  | 00347 - Product values in different currencies" u="1"/>
        <s v="Task |  | 00592 - Homepage hero banner text is too large" u="1"/>
        <s v="Bug |  | 02827 - Typo in reset password page" u="1"/>
        <s v="Bug | 01077 - Nombre del Paso 1 de cuentas propias incorrecto." u="1"/>
        <s v="Bug |  | 02426 - 378 (BDT) - No pagination on the Reports Download page " u="1"/>
        <s v="Feature | 00008 - Connect Liferay Docker with BBDD" u="1"/>
        <s v="Feature |  | 00178 - Change order" u="1"/>
        <s v="Task |  | 00788 - Refactor IBB Authentication" u="1"/>
        <s v="Bug |  | 01079 - Textos del detalle de la recurrencia tienen color incorrecto" u="1"/>
        <s v="Task | 00956 - Creation of 3 Queries" u="1"/>
        <s v="Bug | 01417 - The Company logo will not populate on Welcome page" u="1"/>
        <s v="Bug |  | 01076 - Red line indicating error does not appear when leaving empty the &quot;Cuenta destino&quot; field (personal transfer)." u="1"/>
        <s v="Feature |  | 02445 - 321 (BDT) - Update the Shipments to use a field on Delivery vs. from Orders" u="1"/>
        <s v="Task |  | 00717 - Manage Technical Debt" u="1"/>
        <s v="Task | 00888 - For both Member &amp; Associate templates add a new Portlet to the Names, Birth, etc. page, called &quot;Personality&quot;" u="1"/>
        <s v="Feature | 00361 - Footer" u="1"/>
        <s v="Feature |  | 00280 - Careers Page" u="1"/>
        <s v="Task |  00171 - Replace stock images with real images from Bank of America" u="1"/>
        <s v="Task |  01432 - [Mudança evolutiva nos filtros de pesquisa do Processo de Visto e dos Vistos emitidos] Retirar o filtro Situação da seção Beneficiário do Visto. " u="1"/>
        <s v="Feature | 00044 - Review accesibility" u="1"/>
        <s v="Feature |  00012 - Country Selection content" u="1"/>
        <s v="Feature |  | 00146 - Two Factor Authentication" u="1"/>
        <s v="Feature |  00184 - Key Company Data" u="1"/>
        <s v="Task |  | 00227 - Build PROD definition and execute it in us-east-1" u="1"/>
        <s v="Task |  00056 - Conditional DL file entry searchability " u="1"/>
        <s v="Task |  00033 - LAR export / import API artefacts" u="1"/>
        <s v="Feature |  00018 - Create Google CI" u="1"/>
        <s v="Bug |  01363 - FRM 283- Typos on report landing page" u="1"/>
        <s v="Feature |  | 00025 - Notify Google LMS of User activity" u="1"/>
        <s v="Feature |  | 00537 - Link from Portal Logo" u="1"/>
        <s v="Bug |  01420 - BIT-103 Time, status and report freezes" u="1"/>
        <s v="Bug | 01644 - Mensagem de campo obrigatório só é exibida em um campo" u="1"/>
        <s v="Feature | 03308 - Rotate GC Logs for better management" u="1"/>
        <s v="Bug | 02426 - 378 (BDT) - No pagination on the Reports Download page " u="1"/>
        <s v="Bug |  01704 - Mobile and Tablet View of Orders  is not aligned correctly " u="1"/>
        <s v="Feature |  01857 - 199 (BDT)Report Parameter - Date range can have a null value" u="1"/>
        <s v="Bug | 01023 - Missing fields on Delivery stubs" u="1"/>
        <s v="Feature | 00244 - Link &quot;Number Quantity on Hand&quot; from the Order Detail to the &quot;Item detail On-Hand Inventory&quot;" u="1"/>
        <s v="Task | 00537 - If remote staging host becomes unavailable, staging portal becomes unusable" u="1"/>
        <s v="Feature | 00219 - View customer site list" u="1"/>
        <s v="Bug |  01917 - Icons for Ship To filter and Sorting do not display on Mobile view of Orders page" u="1"/>
        <s v="Feature | 00249 - Search on Landing page" u="1"/>
        <s v="Feature | 00351 - Location selection persists from page to page (within session)" u="1"/>
        <s v="Feature |  01622 - Menu position does not remain closed when navigating from one page to another " u="1"/>
        <s v="Feature |  00367 - Welcome screen / landing page" u="1"/>
        <s v="Ballpark - Demand |  00000 - Dummy Feature of Enhancement - Buyer Inventory Management " u="1"/>
        <s v="Feature |  | 00230 - Create/edit Order Note" u="1"/>
        <s v="Feature |  | 00335 - As a CSR, I can schedule an ASN to be sent to me or my customer, so that we can be notified of when product has shipped" u="1"/>
        <s v="Task | 00503 - WS Commons" u="1"/>
        <s v="Task | 00066 - BEMISCP-11 Document Extraction Strategy" u="1"/>
        <s v="Task | 00824 - Architectural document for Sprint 6" u="1"/>
        <s v="Feature | 00369  - Inventory updates from IBB" u="1"/>
        <s v="Dummy Feature |  | 00000 - Dummy Feature of  | 00691 - Liferay Workspace Maintenance and Improvements" u="1"/>
        <s v="Bug |  | 02711 - 416 (BDT) - Order Pg Shipment Qty Missing" u="1"/>
        <s v="Task |  00033 - BEMISCP-11 Handling/communication of obsolete items &amp; part number relationships" u="1"/>
        <s v="Feature |  | 00125 - Product spec detail page - CSR view" u="1"/>
        <s v="Feature | 00267 - As a buyer, I can navigate to the Product spec detail from the Product landing page, so that I can see the specific details of an item" u="1"/>
        <s v="Bug |  | 02025 - 252 (BDT) - Order Pg View Details 0 Confirmed Qty Should Not Be Displayed" u="1"/>
        <s v="Bug |  | 02342 - 332 (BDT) - Schedule Line View Details Link Missing for some records" u="1"/>
        <s v="Task | 00830 - Perform SIMPS migration test" u="1"/>
        <s v="Feature |  00318 - Sourcing Approach" u="1"/>
        <s v="Feature | 00077 - Import Users and Groups from AD" u="1"/>
        <s v="Task |  | 00514 - Update and fix all searches and make sure they work properly with Solr" u="1"/>
        <s v="Bug | 00177 - Stories page without footer" u="1"/>
        <s v="Bug |  01755 - Mobile Footer no longer displays" u="1"/>
        <s v="Task |  01013 - Update home page issues" u="1"/>
        <s v="Feature |  00073 - Unified boiler plate text" u="1"/>
        <s v="Task |  | 00039 - BEMISCP-11 Entitlements - Logistics (reject shipment) - WF Form" u="1"/>
        <s v="Bug | 01729 - Error on Report Definition Control Panel when editing " u="1"/>
        <s v="Feature | 00019 - Asset publisher - Simple version" u="1"/>
        <s v="Bug |  | 01684 - Add dependency in Theme for freemarker contributor" u="1"/>
        <s v="Feature |  | 02846 - Add a test user to the deployment scripts" u="1"/>
        <s v="Bug |  | 02364 - 337 (BDT) - Impersonating user- report generation issue stops impersonation" u="1"/>
        <s v="Feature |  01480 - Performance Testing and Tuning" u="1"/>
        <s v="Feature | 01475 - Update default Sort Order and Add Sort Functioanlity on Orders Landing Page " u="1"/>
        <s v="Feature | 00007 - Add expiration date" u="1"/>
        <s v="Bug | 00906 - Update Scheduled Releases data fields to allow for decimals " u="1"/>
        <s v="Feature |  00138 - Carrousel for full story pages" u="1"/>
        <s v="Bug |  | 01068 - BIT-112 Do not display Schedule Lines when confirmedQty = 0 on Orders Landing  Page" u="1"/>
        <s v="Bug |  02169 - 214 (BDT) - Theme test- Font spacing incorrect" u="1"/>
        <s v="Feature | 03090 - Add node visibility property for all environments" u="1"/>
        <s v="Bug |  02237 - The quotes around &quot;N/A&quot; need to be removed" u="1"/>
        <s v="Bug |  02052 - 282 (BDT) - Orders Page- Location filter location indicator " u="1"/>
        <s v="Bug |  01065 - Theme display in Bemis QA is not correct" u="1"/>
        <s v="Task | 00065 - BEMISCP-11 Custom reports investigation" u="1"/>
        <s v="Feature |  00016 - Capture learning events" u="1"/>
        <s v="BALLPARK - Demand | M | 00000 - Roles Configuration" u="1"/>
        <s v="Feature |  00101 - Landing page" u="1"/>
        <s v="Bug |  | 01859 - 201 (BDT) Report Parameters- Optional Columns Open and Closed Order Status Report" u="1"/>
        <s v="Feature |  | 01211 - Wildcard search for certain fields" u="1"/>
        <s v="Bug | 03295 - Some Order fields not getting updated during re-sync" u="1"/>
        <s v="Bug |  | 02230 - 325 (BDT) - report preview and generate report issue- mobile devices" u="1"/>
        <s v="Task |  00013 - BEMISCP-11 Terms &amp; Condition docs (site)(by customer specific)" u="1"/>
        <s v="Feature |  00286 - Global search" u="1"/>
        <s v="Bug |  01423 - Cards on Page incorrect" u="1"/>
        <s v="Bug |  01967 - 235 (BDT) - confirmed quantity in view details shows error " u="1"/>
        <s v="Bug | 01068 - BIT-112 Do not display Schedule Lines when confirmedQty = 0 on Orders Landing  Page" u="1"/>
        <s v="Bug |  02431 - 365 (BDT) - On Hand Inventory- mobile- click link on orders page takes you to completed shipments tab" u="1"/>
        <s v="Bug |  | 00554 - Notifications Configuration does not include Country Documents yet." u="1"/>
        <s v="Feature | 00296 - Mobile compatibility &amp; responsive design" u="1"/>
        <s v="Task |  01045 - Have a way to correct the Child template in PROD" u="1"/>
        <s v="Task |  00833 - Atividades Gerais Sprint 11" u="1"/>
        <s v="Bug | 01272 - Fix sort order column names" u="1"/>
        <s v="Bug | 02213 - Search box in Ship To Filter is broken" u="1"/>
        <s v="Bug |  | 02348 - 237 (BDT) - Inventory Report - Excel will not generate in portal" u="1"/>
        <s v="Task | 00045 - BEMISCP-11 Docs - BOL (SSRS - Can provide a copy of the BOL)" u="1"/>
        <s v="Feature |  00022 - Investors - Overview" u="1"/>
        <s v="Bug | 02541 - 328 (BDT) - Shipment Landing page incorrect ship to address" u="1"/>
        <s v="Bug | 01082 - En las transferencias a terceros, al desmarcar la casilla de recurrencia y presionar el botón siguiente se programa la transferencia con recurrencia" u="1"/>
        <s v="Bug | 00855 - Orders Page - Marshal Orders with NULL Statuses Displayed" u="1"/>
        <s v="Bug | 02390 - Scheduled Releases Sub-Page No Sort Order" u="1"/>
        <s v="Feature | 02862 - Customize Email Templates for users " u="1"/>
        <s v="Feature | 01692 - Update the Footer Content " u="1"/>
        <s v="Feature | 00081 - Map internal Users to Roles and Groups" u="1"/>
        <s v="Bug |  01256 - BOL Hyperlink fails to load PDF" u="1"/>
        <s v="Feature | 00221  - View Orders by Item" u="1"/>
        <s v="Task | 00833 - Atividades Gerais Sprint 11" u="1"/>
        <s v="Bug | 01194 - 'Show More' link missing from Report description" u="1"/>
        <s v="Task |  | 01432 - [Mudança evolutiva nos filtros de pesquisa do Processo de Visto e dos Vistos emitidos] Retirar o filtro Situação da seção Beneficiário do Visto. " u="1"/>
        <s v="Feature |  | 02853 - Upgrade liferay bundle to DE fix-pack 13" u="1"/>
        <s v="Bug |  | 01641 - Menu não exibe os submenus" u="1"/>
        <s v="Bug |  | 01878 - 218 (BDT) Theme My Company Locations Font Color" u="1"/>
        <s v="Bug |  | 01181 - My Locations navigation on Mobile view is not working" u="1"/>
        <s v="Task | 00450  - Setup Liferay Development Infrastructure" u="1"/>
        <s v="Bug |  01310 - Report Landing Page- Inventory Detail Report- remove unnecessary Parameters" u="1"/>
        <s v="Bug |  | 02682 - 405 (BDT) - Inventory Update Issues" u="1"/>
        <s v="Feature |  00801 - List shipments from specific Order" u="1"/>
        <s v="Task |  00889 - Add a new page on the Member &amp; Associates template for Experience, Skills, References &amp; General Comments" u="1"/>
        <s v="Feature |  00230 - Create/edit Order Note" u="1"/>
        <s v="Bug |  00115 - Ajustments in full stories layout" u="1"/>
        <s v="Feature | 02957 - 482 BDT - Optimizing report performance to 4 sec" u="1"/>
        <s v="Bug |  | 02485 - 380 (BDT) - Documents functionality missing add Basic Document" u="1"/>
        <s v="Task |  | 00011 - Parking Lot" u="1"/>
        <s v="Feature |  00256 - Buyer View of Customer Profile" u="1"/>
        <s v="Bug |  01788 - Document Preview does not work " u="1"/>
        <s v="Feature | 00302 - Customer location filter" u="1"/>
        <s v="Feature |  | 00256 - Buyer View of Customer Profile" u="1"/>
        <s v="Task | 00036 - BEMISCP-11 Aged Inventory (calculated, need BNA/BHP alignment)" u="1"/>
        <s v="Feature |  | 00177 - Order Release" u="1"/>
        <s v="Bug | 00716 - When an order is deleted, the associated AssetEntries are not removed" u="1"/>
        <s v="Feature |  | 00208 - Press Releases Page" u="1"/>
        <s v="Bug |  01737 - User Agreement link does not show content for CSR roles" u="1"/>
        <s v="Task |  00002 - Dannon Yo-Cream Theme" u="1"/>
        <s v="Bug |  02213 - Search box in Ship To Filter is broken" u="1"/>
        <s v="Feature | 00206 - Populate Portal with Customer Profile Information" u="1"/>
        <s v="Feature |  | 02878 - Update Carrier list for portal " u="1"/>
        <s v="Task |  | 00025 - BEMISCP-11 Consignment - Make and Hold Aging" u="1"/>
        <s v="Bug | 01917 - Icons for Ship To filter and Sorting do not display on Mobile view of Orders page" u="1"/>
        <s v="Feature |  | 00014 - Language selection functionality" u="1"/>
        <s v="Bug |  | 02049 - 278 (BDT) - On-hand inventory page- iphone issue with footer" u="1"/>
        <s v="Task | 00074 - Determine Document Library folder structure and category structure" u="1"/>
        <s v="Feature |  00297 - Browser compatibility" u="1"/>
        <s v="Task |  | 00593 - Change country menu cut off vertically" u="1"/>
        <s v="Bug | 03079 - Ship to filter Cancel and Search Box not working as designed (BDT 539)" u="1"/>
        <s v="Feature |  00358 - Co-Packer - orders Ship to no pricing" u="1"/>
        <s v="Feature | 00206 - Populate Customer Profiles" u="1"/>
        <s v="Feature | 00297 - Browser compatibility" u="1"/>
        <s v="Bug | 03187 - 595 BDT - Out of memory error" u="1"/>
        <s v="Task |  | 02993 - Enable log4j debug on Bemis Dev" u="1"/>
        <s v="Bug | 01844 - LDAP Configurations are not automatically imported" u="1"/>
        <s v="Ballpark - Demand |  00000 - Dummy Feature of Our Story" u="1"/>
        <s v="Bug |  00805 - On the Child Customer profile page format is incorrect" u="1"/>
        <s v="Feature | 00262  - On-Hand Inventory View for a specific item" u="1"/>
        <s v="Bug |  | 02048 - 277 (BDT) - On hand Inventory page- tablet- Batch # is hyperlinked" u="1"/>
        <s v="Feature | 00113 - Review Liferay policies to SDLC Tools Passwords" u="1"/>
        <s v="Bug |  01296 - Improve data sync logging to capture invalid data" u="1"/>
        <s v="Feature | 00174 - Corporate Governance Page" u="1"/>
        <s v="Bug | 02231 - 327 (BDT) - Completed Shipments Sub-Page/Shipment Missing" u="1"/>
        <s v="Bug |  01068 - BIT-112 Do not display Schedule Lines when confirmedQty = 0 on Orders Landing  Page" u="1"/>
        <s v="Feature |  00207 - Populate User Profiles" u="1"/>
        <s v="Feature |  00077 - Import Users and Groups from AD" u="1"/>
        <s v="Task | 01019 - Update page What We Do" u="1"/>
        <s v="Task |  | 00126 - Sales Order Status" u="1"/>
        <s v="Task |  00956 - Creation of 3 Queries" u="1"/>
        <s v="Feature |  | 00333 - Notes create/edit - CSR view" u="1"/>
        <s v="Bug |  01766 - Fixes needed for View Details dropdown desktop and mobile views" u="1"/>
        <s v="Bug |  | 01080 - Adding more than  + 10 Transfer accounts, Internet Explorer Stop Working. -Personal transfers- " u="1"/>
        <s v="Feature |  00236 - Global Solutions" u="1"/>
        <s v="Feature |  | 00023 - Add SCORM support" u="1"/>
        <s v="Bug |  01323 - Add documents button is inside the footer" u="1"/>
        <s v="Feature | 00014 - Language selection functionality" u="1"/>
        <s v="Feature | 00373 - *DELETE* User Profile updates from IBB" u="1"/>
        <s v="Feature |  00269 - Search for Customer Profile Details" u="1"/>
        <s v="Feature | 00107 - Feature without assignee GSSDLC" u="1"/>
        <s v="Feature | 00175 - Buyer View of Order Report" u="1"/>
        <s v="Bug |  | 02880 - User navigates to blank portal page  " u="1"/>
        <s v="Bug |  00719 - Custom-users-admin-web causes startup exceptions in portal" u="1"/>
        <s v="Bug |  02342 - 332 (BDT) - Schedule Line View Details Link Missing for some records" u="1"/>
        <s v="Feature | 02905 - 470 (BDT) Updates to Consignment logic - Completed Shipments Sub-page shipped qty mismatched" u="1"/>
        <s v="Feature |  02692 - ID 4191/4190 Update the CSR permissions to be organization based" u="1"/>
        <s v="Bug |  01535 - The calculation for the total location qty and batch lines displayed do not match  " u="1"/>
        <s v="Task |  00834 - Automated tests for Sprint 6" u="1"/>
        <s v="Task | 00076 - BIN Division Customers" u="1"/>
        <s v="BALLPARK - Demand | M | 00000 - Jira 7 sdlc tools validation" u="1"/>
        <s v="Task |  | 00450 - Setup Liferay Development Infrastructure" u="1"/>
        <s v="Feature |  | 01442 - Update search criteria on Release Landing Page " u="1"/>
        <s v="Bug |  | 01558 - BIT-166 Disabled User shows up in Members section on company profile page" u="1"/>
        <s v="Task |  | 00020 - Create Google Local Environment" u="1"/>
        <s v="Feature | 00257 - As a buyer, I can view a packing list for a shipment on the expanded shipment landing page, so that I can view the shipping document" u="1"/>
        <s v="Bug |  01297 - BIT-84 Data Issue on Bemis QA Environment" u="1"/>
        <s v="Bug | 00647 - Page visual layout broken after interactions" u="1"/>
        <s v="Bug |  01203 - SSRS integration config had wrong password for QA" u="1"/>
        <s v="Bug | 00760 - Impersonated User hits error" u="1"/>
        <s v="Bug |  01292 - The 'Bemis QA Portal Data' spreadsheet shows inventory data but the sales order is not on the orders tab" u="1"/>
        <s v="Feature | 00009 - Place webcontent in the grid acording to wireframe" u="1"/>
        <s v="Feature |  00212 - View Customer logo on the dashboard" u="1"/>
        <s v="Bug |  01267 - Cancel button on Locations filter does not cancel " u="1"/>
        <s v="Feature |  01669 - Refactor Inventory Sync/WS Classes for data refresh calls." u="1"/>
        <s v="Feature | 00161 - Format text and add links to image description" u="1"/>
        <s v="Bug |  01056 - Location and ShipTo filter dropdowns are missing a border in FF and IE" u="1"/>
        <s v="Feature | 02716 - 423 (BDT) - Have LDAP and portal Password policy both enabled " u="1"/>
        <s v="Task | 00157 - Customer hierarchy - Ongoing maintenance" u="1"/>
        <s v="Bug |  01314 - BIT-72 Report page- open and closed order report; parameters not expected" u="1"/>
        <s v="Task |  | 00048 - BEMISCP-11 Previous customer Item Number" u="1"/>
        <s v="Feature | 00159 - As an external user, I can delete a document I have uploaded to a Document Library folder, so that I can remove irrelevant or outdated information" u="1"/>
        <s v="Dummy Feature |  00000 - Dummy Feature of  00691 - Liferay Workspace Maintenance and Improvements" u="1"/>
        <s v="Feature | 00082 - As a CSR, I can view a list of customers and select one or more, so that I can selectively view information pertaining to a specific customer or sub-organization within the customer." u="1"/>
        <s v="Feature |  00156 - Create and assign customer Roles" u="1"/>
        <s v="Feature |  | 00296 - Mobile compatibility &amp; responsive design" u="1"/>
        <s v="Task |  | 01254 - Automated Tests" u="1"/>
        <s v="Task | 01122 - [Mudança na task 1023 review sprint 15] Formatar o hint da aba de vacinas (tela de execução do processo de contratação) de acordo com a estrutura definida pela Queiroz Gavão " u="1"/>
        <s v="Dummy Feature |  00000 - Dummy Feature of  00538 - Buyer - Reports" u="1"/>
        <s v="Bug | 03256 - Invoice # Strip Leading Zeroes Portal Logic Fix (BDT 621)" u="1"/>
        <s v="Bug | 02104 - 294 (BDT) - Invoice report iphone and ipad hyperlinks in preview and report" u="1"/>
        <s v="Bug |  | 02213 - Search box in Ship To Filter is broken" u="1"/>
        <s v="Feature |  | 00010 - Modern tile with &quot;MORE&quot; animation" u="1"/>
        <s v="Feature |  00280 - Careers Page" u="1"/>
        <s v="Bug |  | 02116 - 300 (BDT) - Releases page iphone footer issues" u="1"/>
        <s v="Bug |  02195 - 311 (BDT) - ERC 649A- Orders Page- report on main page has been incorrectly replaced" u="1"/>
        <s v="Task |  01803 - QA Deployment Documentation" u="1"/>
        <s v="Feature |  00223 - View Orders by PO" u="1"/>
        <s v="Feature | 00071 - Full story version 2" u="1"/>
        <s v="Bug |  | 01194 - 'Show More' link missing from Report description" u="1"/>
        <s v="Feature | 00022 - Investors - Overview" u="1"/>
        <s v="Bug | 00225 - In Cemex, fix where the theme gets placed in the bundle by workspace" u="1"/>
        <s v="Feature | 00215 - Login &amp; Logout" u="1"/>
        <s v="Feature |  | 01687 - Create a hook so that CSR users can see which users have completed setup" u="1"/>
        <s v="Task |  00971 - Automated test sprint 9" u="1"/>
        <s v="Bug | 00856 - Spacing is incorrect across all pages" u="1"/>
        <s v="Feature |  | 00024 - Questions Portlet" u="1"/>
        <s v="Feature |  | 03029 - BDT 507 - C&amp;S Closed Orders showing inventory displayed in portal " u="1"/>
        <s v="Feature | 00513  - Release Search" u="1"/>
        <s v="Bug |  02883 - Consignment Inventory Whse Location/No Incorrect" u="1"/>
        <s v="Task |  | 00141 - CI server setup" u="1"/>
        <s v="Bug |  | 00516 - Research publishing errors in log" u="1"/>
        <s v="Feature |  00144 - Our history page without timeline section" u="1"/>
        <s v="Task | 00016 - BEMISCP-11 Statement of Account (balance due to Bemis)" u="1"/>
        <s v="Task |  | 01018 - Update page Who We Are" u="1"/>
        <s v="Bug | 01558 - BIT-166 Disabled User shows up in Members section on company profile page" u="1"/>
        <s v="Feature |  00010 - Effects on the &quot;MORE&quot; button" u="1"/>
        <s v="Feature |  | 02905 - 470 (BDT) Updates to Consignment logic - Completed Shipments Sub-page shipped qty mismatched" u="1"/>
        <s v="Feature |  | 00536 - Remove Top Bar for External User" u="1"/>
        <s v="Feature |  | 00179 - Re-Order" u="1"/>
        <s v="Task |  00227 - Build PROD definition and execute it in us-east-1" u="1"/>
        <s v="Feature | 00072 - Full story version 4" u="1"/>
        <s v="Task | 00050 - BEMISCP-11 Compliance reports on-time complete from SSRS" u="1"/>
        <s v="Task | 00075 - Customer Portal and Make-to-Stock (MTS) | Due Date: 8/12/16" u="1"/>
        <s v="Feature | 00301 - As a buyer, I have view permissions for all the folders in a location's document folders, so that I can see the appropriate information" u="1"/>
        <s v="Feature |  00138 - Carousel for full story pages" u="1"/>
        <s v="Task |  00220 - Research: Error when creating a WebContent with nested WebContent" u="1"/>
        <s v="Bug |  01088 - Carrier Link is not working " u="1"/>
        <s v="Task | 00027 - BEMISCP-11 Reports - Partial Pallets, Pending Releases (date/value)" u="1"/>
        <s v="Feature | 02977 - Set search highlighting property to false" u="1"/>
        <s v="Bug |  02114 - 298 (BDT) - Releases - subpage- tablet view error" u="1"/>
        <s v="Task | 00013 - BEMISCP-11 Terms &amp; Condition docs (site)(by customer specific)" u="1"/>
        <s v="Task |  | 00599 - Research changing background for web content editor" u="1"/>
        <s v="Bug |  | 00180 - White spaces above images in story pages template 2" u="1"/>
        <s v="Bug |  | 02042 - 270 (BDT) Global Search displays error" u="1"/>
        <s v="Bug | 01548 - Customer logo is not displayed on parent or child location dashboards" u="1"/>
        <s v="Feature | 00723 - Add content for Portal dashboard landing page" u="1"/>
        <s v="Feature | 00211 - As a Customer, after I log in, I wish to view my site pages styled according to provided mock-ups." u="1"/>
        <s v="Task |  | 00074 - Determine Document Library folder structure and category structure" u="1"/>
        <s v="Task | 00711 - Prepare PROD deployment in AWS (Ireland region)" u="1"/>
        <s v="Feature |  00353 - Sort Orders by Specific Fields" u="1"/>
        <s v="Bug |  | 01119 - BIT-145 State, zip and Country details missing from Ship From location on Releases Page" u="1"/>
        <s v="Task | 00587 - Register Device adjustments" u="1"/>
        <s v="Feature | 00010 - Add status: draft, published, archived, invisible " u="1"/>
        <s v="Bug |  | 01415 - BIT-129 Invoice Report Field" u="1"/>
        <s v="Bug |  | 02219 - 324 (BDT) - Inventory report- mobile devices hyperlinks in reports" u="1"/>
        <s v="Bug | 00128 - Adjust homepage layout in different screen resolutions" u="1"/>
        <s v="Bug |  | 01364 - BIT-114 Scheduled Releases Customer PO" u="1"/>
        <s v="Bug | 01534 - Customer Data Sync is checking wrong address for validity" u="1"/>
        <s v="Bug |  | 02169 - 214 (BDT) - Theme test- Font spacing incorrect" u="1"/>
        <s v="Feature |  | 00266 - Suppliers Overview" u="1"/>
        <s v="Feature |  | 00205 - CSR - notes - viewable internally only " u="1"/>
        <s v="Bug | 01079 - Textos del detalle de la recurrencia tienen color incorrecto" u="1"/>
        <s v="Task | 00297 - Install fixes for PDF preview on QA env" u="1"/>
        <s v="Task |  00056 - BEMISCP-11 Can the same release PO or BOL have multiple invoices?" u="1"/>
        <s v="Bug |  00634 - Orders -  Bemis Order # (line No) should be moved below Bemis ProductID" u="1"/>
        <s v="Bug |  | 02019 - 266 (BDT) - Iphone view of welcome page- order of pages " u="1"/>
        <s v="Ballpark - Demand |  00000 - Dummy Feature of CSR - Dashboard" u="1"/>
        <s v="Feature | 00144 - Our history page without timeline section" u="1"/>
        <s v="Feature | 00247 - As a buyer, I can download a copy of the shipment status report, so that I can view or share the information offline" u="1"/>
        <s v="Bug |  00978 - Portlet 'Candiate Photo' is failing with an error" u="1"/>
        <s v="Feature | 00353  - Sort Orders by Specific Fields" u="1"/>
        <s v="Bug |  02591 - ORM exceptions for Customer Location data sync " u="1"/>
        <s v="Bug |  01851 - 196 (BDT) Documents- cannot change location filter and add files to folder " u="1"/>
        <s v="Task | 00053 - BEMISCP-11 Sales org - System view of customer data BHP/NA" u="1"/>
        <s v="Bug | 01324 - BIT-134 Hide Edit options that Buyers do not have access to " u="1"/>
        <s v="Bug |  00822 - UI- Navigation bar" u="1"/>
        <s v="Feature |  00262 - On-Hand Inventory View for a specific item" u="1"/>
        <s v="Feature |  01858 - 200 (BDT)New Parameter Customer Item- wording on Field label" u="1"/>
        <s v="Bug |  | 02217 - 320 (BDT) - Shipment Pg Bemis Order#/Line# Incorrect" u="1"/>
        <s v="Task |  | 00567 - Add FB Pixel snippet to theme" u="1"/>
        <s v="Bug | 02096 - 289(BDT) - Release Pg No Release" u="1"/>
        <s v="Bug |  | 03079 - Ship to filter Cancel and Search Box not working as designed (BDT 539)" u="1"/>
        <s v="Bug |  00379 - Adjust layout of stock ticker in different screen sizes" u="1"/>
        <s v="Task | 00995 - Functions required to maintain 'Child' records" u="1"/>
        <s v="Feature | 02680 - 409 (BDT) - Inventory Batch with Multiple Mfg Dates" u="1"/>
        <s v="Feature | 00334 - As a buyer, I can schedule an ASN to be sent to me, so that I know when product has shipped" u="1"/>
        <s v="Bug |  | 00822 - UI Navigation bar" u="1"/>
        <s v="Bug |  | 01309 - BIT-92 Report Landing Page- Inventory Detail Report" u="1"/>
        <s v="Task | 00752 - Atividades gerais sprint 10" u="1"/>
        <s v="Feature |  | 00801 - List shipments from specific Order" u="1"/>
        <s v="Feature |  | 00020 - Asset publisher layout" u="1"/>
        <s v="Bug |  00855 - Orders Page - Marshal Orders with NULL Statuses Displayed" u="1"/>
        <s v="Feature | 00341 - User agreement - BNA" u="1"/>
        <s v="Feature |  | 01643 - Update Sales Order Data Sync logic" u="1"/>
        <s v="Feature | 00381 - Login page - cookie statement" u="1"/>
        <s v="Bug |  | 00444 - Deleting record/site" u="1"/>
        <s v="Feature | 00256 - View my Company Profile." u="1"/>
        <s v="Feature | 00088  - Customer Org Hierarchy" u="1"/>
        <s v="Feature | 00156  - Create and assign customer Roles" u="1"/>
        <s v="Bug |  | 01088 - En la pantalla de confirmación el campo fecha está incorrecta" u="1"/>
        <s v="Feature | 02996 - Final Clean QA Deploy" u="1"/>
        <s v="Bug |  00760 - Impersonated User hits error" u="1"/>
        <s v="Bug |  01448 - BIT-154 User Agreement Link " u="1"/>
        <s v="Feature | 00326 - Search &amp; browse - customer &amp; user profiles - Sales restricted view" u="1"/>
        <s v="Feature |  00264 - Shipped quantity" u="1"/>
        <s v="Task | 00968 - Atividades de apoio Sprint 13 - Fixpacks / Apoio a Queiroz no Kaleo / Automação e ambientes SIGEX" u="1"/>
        <s v="BALLPARK - Demand | M | 00000 - Tools - Worklogger" u="1"/>
        <s v="Feature |  | 02599 - Enable 2FA &quot;Hard Switch&quot; in properties" u="1"/>
        <s v="Bug |  | 02115 - 299 (BDT) - Scheduled Releases subpage- iphone layout error" u="1"/>
        <s v="Bug |  | 01863 - 204 (BDT) Report Parameters Optional Columns Invoice History Report" u="1"/>
        <s v="Bug |  | 01876 - 216 (BDT) Theme Generate Report link wrong color " u="1"/>
        <s v="Feature |  01697 - Update display of qty fields on Orders page" u="1"/>
        <s v="BALLPARK - Demand | M | 00000 - CSR - Dashboard" u="1"/>
        <s v="Feature |  | 00275 - Products / Items - Status Filters" u="1"/>
        <s v="Task |  00717 - Manage Technical Debt" u="1"/>
        <s v="Bug |  02027 - 272 (BDT) - User Profile- Buyer missing Job Title" u="1"/>
        <s v="Task |  | 00334 - Redirect to a friendly &quot;page not found&quot;" u="1"/>
        <s v="Feature |  00352 - Location selection persists between logout and login" u="1"/>
        <s v="Feature |  00029 - Stock ticker portlet" u="1"/>
        <s v="Task | 00450 - Setup Liferay Development Infrastructure" u="1"/>
        <s v="Bug | 00044 - Some bugs about teams" u="1"/>
        <s v="Dummy Feature |  | 00000 - Dummy Feature of  | 00058 - Tools - Github" u="1"/>
        <s v="Feature |  | 00027 - Synchronize User Information" u="1"/>
        <s v="Task | 00019 - BEMISCP-11 Define site &amp; org hierarchy for the portal" u="1"/>
        <s v="Bug |  01266 - Welcome Name Banner" u="1"/>
        <s v="Task | 00495 - Update products based on feedback" u="1"/>
        <s v="Ballpark - Demand |  00000 - Dummy Feature of Enhanced Portal Foundation Settings" u="1"/>
        <s v="Feature |  00245 - Link &quot;Number of Items Shipped&quot; from the Orders Detail to &quot;Item detail Shipped Qty&quot; page" u="1"/>
        <s v="Feature |  | 01622 - Menu position does not remain closed when navigating from one page to another " u="1"/>
        <s v="Task |  00862 - Collect remaining Go-Live tasks" u="1"/>
        <s v="Feature | 00056 - Implement Celsus sync job to index Liferay Sites" u="1"/>
        <s v="Task | 00670 - Automated tests for Sprint 4" u="1"/>
        <s v="Task |  00025 - Configuração da infraestrutura de DevOps" u="1"/>
        <s v="Task | 01331 - Trocar chamadas fake pelos Serviços SUC / Testar o retorno dos dados e corrigir incosistências" u="1"/>
        <s v="Bug |  | 01917 - Icons for Ship To filter and Sorting do not display on Mobile view of Orders page" u="1"/>
        <s v="Bug | 01056 - Location and ShipTo filter dropdowns are missing a border in FF and IE" u="1"/>
        <s v="Feature |  00446 - View Customer Profile" u="1"/>
        <s v="Feature |  | 00227 - Add ExpandAll option to Orders Summaries." u="1"/>
        <s v="Feature | 01668 - Refactor Shipment Sync/WS Classes for data refresh calls." u="1"/>
        <s v="Bug | 00854 - Orders Page - Quantity Fields Show 0 Value" u="1"/>
        <s v="Ballpark - Demand |  | 00000 - Dummy Feature of Tools - Dashboard" u="1"/>
        <s v="Bug |  | 00576 - Home page &quot;More&quot; button does not work for Internet Explorer 10 or 11" u="1"/>
        <s v="Feature |  00006 - Add version" u="1"/>
        <s v="Bug |  02042 - 270 (BDT) Global Search displays error" u="1"/>
        <s v="Feature |  01981 - Logging Updates" u="1"/>
        <s v="Feature |  | 03020 - Shipments - handle BAG UoM values" u="1"/>
        <s v="Bug | 01311 - BIT-94 All Reports from Reports Landing Page- Optional column formatting" u="1"/>
        <s v="Feature | 01857 - 199 (BDT)Report Parameter - Date range can have a null value" u="1"/>
        <s v="Bug | 01643 - País está sendo informando como obrigatório no cadastro de fornecedor" u="1"/>
        <s v="Task | 00069 - BEMISCP-11 CSR notifications" u="1"/>
        <s v="Feature |  | 00235 - Building Solutions" u="1"/>
        <s v="Bug | 01267 - Cancel button on Locations filter does not work " u="1"/>
        <s v="Feature |  00072 - Full story version 4" u="1"/>
        <s v="Bug | 02899 - 469 BDT - Logos on IE are blurry" u="1"/>
        <s v="Bug |  | 02336 - 331 (BDT) Time Zone Clarification" u="1"/>
        <s v="Bug |  02638 - BDT 428 -ID 4191- Documents should not be using File Entry LocalService" u="1"/>
        <s v="Feature | 00363  - Map AD Groups to Roles" u="1"/>
        <s v="Bug | 02711 - 416 (BDT) - Order Pg Shipment Qty Missing" u="1"/>
        <s v="Task |  00023 - BEMISCP-11 Production Order data" u="1"/>
        <s v="Task |  00975 - Sprint Documentation SP10" u="1"/>
        <s v="Feature |  00407 - Search function on menu bar" u="1"/>
        <s v="Bug |  01212 - Clicking on Shipped Qty or Scheduled Releases throws an error" u="1"/>
        <s v="Feature | 00329 - Site map" u="1"/>
        <s v="Ballpark - Demand | 00000 - Dummy Feature of Tools - Indicators" u="1"/>
        <s v="Bug |  01257 - BIT-60 Missing Address should be empty" u="1"/>
        <s v="Feature | 00264 - Shipped quantity" u="1"/>
        <s v="Bug |  | 02696 - JDBC Connection Exceptions in logs" u="1"/>
        <s v="Task |  00539 - [Mudança hisoria SIGEX-110]: Sistema deve informar quem abriu o processo de contrataçao." u="1"/>
        <s v="Bug | 00120 - Story carrousel on homepage does not animate (zoom)" u="1"/>
        <s v="Feature | 00318 - Sourcing Approach" u="1"/>
        <s v="Bug |  | 00858 - The root directory for Advanced File Store is not parsed correctly" u="1"/>
        <s v="Bug | 01323 - Add documents button is inside the footer" u="1"/>
        <s v="Task |  | 00549 - Make sure cemex.com redirects to www.cemex.com" u="1"/>
        <s v="Bug |  | 01267 - Cancel button on Locations filter does not work " u="1"/>
        <s v="Task |  00609 - Create a page layout so that the Document and Media Store portlet can span across the entire page" u="1"/>
        <s v="Bug | 01751 - Edit Links on the User profile view are not visible with menu expanded" u="1"/>
        <s v="Task |  01732 - Automated Tests SP9 - Functional tests" u="1"/>
        <s v="Feature |  | 00295 - Products + Service &gt; Trading" u="1"/>
        <s v="Feature |  | 00136 - Choose the section of the image to show" u="1"/>
        <s v="Task | 00514 - Update and fix all searches and make sure they work properly with Solr" u="1"/>
        <s v="Bug |  02091 - 268 (BDT) - Missing Open Scheduled Release Info" u="1"/>
        <s v="Task | 00047 - BEMISCP-11 Customer Inventory Terms" u="1"/>
        <s v="Feature | 00158 - As an internal or external user, I can upload a document to a Document Library folder, so that I can share information securely and quickly" u="1"/>
        <s v="Task | 00638 - Apply and verify fix for CEMEX-21" u="1"/>
        <s v="Feature |  | 00723 - Add content for Portal dashboard landing page" u="1"/>
        <s v="Feature | 01440 - Update search criteria on Orders Landing Page" u="1"/>
        <s v="Feature | 01527 - Updates for all Report " u="1"/>
        <s v="Bug |  | 02173 - 310 (BDT) - Order Pg View Details Schedule Line Dates Sort Order Incorrect " u="1"/>
        <s v="Feature | 00020 - Asset publisher layout" u="1"/>
        <s v="Task |  00582 - Update our database columns for simId, simTeamId, and simFamilyId to be VARCHAR" u="1"/>
        <s v="Task | 00490 - Update multilocations based feedback" u="1"/>
        <s v="Bug | 02347 - Unable to generate reports against SSRS" u="1"/>
        <s v="Feature | 00017 - Workflows Customizations" u="1"/>
        <s v="Task |  | 00275 - [Mudança geral] Aumentar o tamanho do título das páginas" u="1"/>
        <s v="Task | 00661 - Upgrade to fixpack 15" u="1"/>
        <s v="Bug |  01348 - BIT-107 Order Report URL too long " u="1"/>
        <s v="Task |  | 00399 - Convert actual Dashboard to Angular" u="1"/>
        <s v="Bug |  | 02697 - Duplicate key row in object 'dbo.Bemis_Order'" u="1"/>
        <s v="Task |  00788 - Refactor IBB Authentication" u="1"/>
        <s v="Feature | 00358 - Co-Packer - orders Ship to no pricing" u="1"/>
        <s v="Feature |  00380 - Logistics Order History - No Pricing" u="1"/>
        <s v="Feature | 00027 - Install on Azure Production" u="1"/>
        <s v="Feature | 00511 - Releases by Item" u="1"/>
        <s v="Task | 00481 - UAT/Prod Deployment" u="1"/>
        <s v="Feature | 00374  - Shipment updates from IBB" u="1"/>
        <s v="Task |  | 01732 - Automated Tests SP9 - Functional tests" u="1"/>
        <s v="Feature |  | 00141 - Country micro site subpages" u="1"/>
        <s v="Bug |  01318 - BIT-73 Report Time not correct" u="1"/>
        <s v="Bug | 02733 - 425 (BDT) - Documents- buyer not able to delete a document" u="1"/>
        <s v="Task |  | 00235 - IBB Request Log" u="1"/>
        <s v="Bug |  02130 - 306 (BDT) - Orders Page-Report button" u="1"/>
        <s v="Bug |  02918 - BDT 474 Reporting errors for Customer id 0138680" u="1"/>
        <s v="Bug |  | 01072 - Incorrect color used for the primary buttons." u="1"/>
        <s v="Feature |  | 00416 - Adjustments throughout the portal" u="1"/>
        <s v="Bug |  00652 - Gradle task distBundleZip does not build/deploy themes" u="1"/>
        <s v="Feature | 00233 - Calculation on landing page" u="1"/>
        <s v="Feature |  00446 - CSR View of Customer Profile" u="1"/>
        <s v="Bug | 00688 - DataSync background tasks are not being cleaned up from DB when successfully Doned" u="1"/>
        <s v="Bug |  01192 - BIT-135 Search in Locations filter fails when no location match is found  " u="1"/>
        <s v="Task | 00141 - CI server setup" u="1"/>
        <s v="Feature | 00014 - Configure Liferay clustering " u="1"/>
        <s v="Feature |  02560 - 424 (BDT) - Change password policy verbiage for external users" u="1"/>
        <s v="Feature |  | 01718 - BIT 176 -  BOL# Incorrect for SAP Shipment" u="1"/>
        <s v="Task | 00648 - Apply and verify fix for CEMEX-18" u="1"/>
        <s v="Bug |  | 00652 - Gradle task distBundleZip does not build/deploy themes" u="1"/>
        <s v="Bug |  02133 - Search icon in ship to dropdown is off center" u="1"/>
        <s v="Feature |  | 01444 - Create Handling Unit Report " u="1"/>
        <s v="Task |  00583 - Create microsite page for Switzerland" u="1"/>
        <s v="Bug |  | 02593 - Report Preview UI issues " u="1"/>
        <s v="Task |  | 00279 - [Mudança review sprint 05] Criar uma aba (Aprovações/Comentários) para agrupar as Atividades e Comentários. Na tela de detalhe do candidato" u="1"/>
        <s v="Task |  | 00888 - For both Member &amp; Associate templates add a new Portlet to the Names, Birth, etc. page, called &quot;Personality&quot;" u="1"/>
        <s v="Feature |  | 00070 - Create Theme" u="1"/>
        <s v="Bug |  | 01874 - 213 (BDT) Theme- Assets that are light blue and should be dark blue -various portal pages" u="1"/>
        <s v="Task | 00930 - Create  Query for AIF form" u="1"/>
        <s v="Bug |  01751 - Edit Links on the User profile view are not visible with menu expanded" u="1"/>
        <s v="Feature |  | 01661 - Update default settings for locations filter" u="1"/>
        <s v="Task |  | 00971 - Automated test sprint 9" u="1"/>
        <s v="Bug | 01875 - 214 (BDT)Theme test- excel logo wrong color and font spacing incorrect" u="1"/>
        <s v="Bug |  | 01106 - Hover background is not displaying correcly on &quot;Cuenta de destino&quot; field (3rd party transfer)" u="1"/>
        <s v="Bug | 02453 - 375 (BDT) - Inventory Report - URL too long error " u="1"/>
        <s v="Bug | 01309 - BIT-92 Report Landing Page- Inventory Detail Report" u="1"/>
        <s v="Feature |  00397 - Careers &gt; Life at Cemex" u="1"/>
        <s v="Task |  00752 - Atividades gerais sprint 10" u="1"/>
        <s v="Feature |  00372 - *DUPLICATE* As a buyer, I can see updates to my customer profile screens when the IBB sends an update, so that I can have the most current information" u="1"/>
        <s v="Feature |  | 00331 - Page Legal " u="1"/>
        <s v="Feature | 00446 - View/Edit Customer Profile" u="1"/>
        <s v="Task |  00495 - Update products based on feedback" u="1"/>
        <s v="Feature | 00073 - Unified boiler plate text" u="1"/>
        <s v="Feature |  01891 - Add Google Analytics to the Customer Portal Sites" u="1"/>
        <s v="Bug | 03170 - Mars Inventory Total Location Qty UOM Incorrect (BDT 588)" u="1"/>
        <s v="Feature | 01180 - Updates to Bemis Portal Navigation" u="1"/>
        <s v="Feature | 00225 - Search Orders by Indexed fields" u="1"/>
        <s v="Feature |  | 02823 - Reverse PGI'd Shipment displayed in Portal (BDT 454)" u="1"/>
        <s v="Feature | 00222  - Order Detail in Orders by Item View" u="1"/>
        <s v="Feature |  00371 - Customer Profile updates from IBB" u="1"/>
        <s v="Feature |  | 00380 - Logistics Order History - No Pricing" u="1"/>
        <s v="Feature | 00007 - Design menus" u="1"/>
        <s v="Feature | 00022 - Add support for OpenID Connect Single Sign-on" u="1"/>
        <s v="Task | 00757 - Configure permissions to remove access to dockbar" u="1"/>
        <s v="Feature | 00258 - View Invoice" u="1"/>
        <s v="Bug |  | 00904 - Update Shipments data fields to allow for decimals " u="1"/>
        <s v="Feature |  | 01527 - Updates for all Report " u="1"/>
        <s v="Feature |  00377 - Generate Shipping Reports" u="1"/>
        <s v="Bug | 01766 - Fixes needed for View Details dropdown desktop and mobile views" u="1"/>
        <s v="Task |  | 00670 - Update Email templates" u="1"/>
        <s v="Feature |  | 00207 - Populate User Profiles" u="1"/>
        <s v="Bug |  | 02555 - 386 (BDT) - Poly IBB On Hand Qty Incorrect" u="1"/>
        <s v="Bug |  | 02337 - Pallet Field should display as Est. Pallet Count" u="1"/>
        <s v="Feature |  00023 - Notify Google LMS of Group events" u="1"/>
        <s v="Feature |  | 00059 - One Click Deploy" u="1"/>
        <s v="Feature |  | 01692 - Update the Footer Content " u="1"/>
        <s v="Bug | 03138 - Quantities display difference between parent and child buyer views" u="1"/>
        <s v="Bug |  | 03032 - 510 BDT - Shipments landing page not showing recent shipments" u="1"/>
        <s v="Feature | 00343 - As a buyer, I can be linked to webcenter/solutioncenter when viewing a product detail, so that I can see the details of graphics status" u="1"/>
        <s v="Ballpark - Demand | 00000 - Dummy Feature of Tools - Sizing" u="1"/>
        <s v="Feature |  00167 - Add behaviour to concrete incubator link" u="1"/>
        <s v="Task |  | 00711 - Prepare PROD deployment in AWS (Ireland region)" u="1"/>
        <s v="Bug | 00830 - Two Factor authentication configuration is in the wrong category" u="1"/>
        <s v="Feature | 01981 - Logging Updates" u="1"/>
        <s v="Task | 00491 - Update product details based on feedback" u="1"/>
        <s v="Bug | 01103 - The User can not insert an amount - Internet Explorer V11- Personal Transfers" u="1"/>
        <s v="Bug | 01509 - Exception for some Order Data Syncs" u="1"/>
        <s v="Bug |  01267 - Cancel button on Locations filter does not work " u="1"/>
        <s v="Bug |  01307 - BIT-90 Report Landing Page- Open Order Status Report- remove parameters from selection screen" u="1"/>
        <s v="Bug | 01067 - Always returns to dashboard when canceling a 3rd party transfer" u="1"/>
        <s v="Bug | 01266 - BIT-76 Welcome Name Banner" u="1"/>
        <s v="Feature |  00143 - Ethics and compliance page" u="1"/>
        <s v="Feature |  01784 - Improve data display on all pages " u="1"/>
        <s v="Feature |  00295 - Products + Service &gt; Trading" u="1"/>
        <s v="Bug |  02020 - 267 (BDT) - General mobile design- menu should automatically collapse " u="1"/>
        <s v="Bug | 02019 - 266 (BDT) - Iphone view of welcome page- order of pages " u="1"/>
        <s v="Feature | 00271  - Search for User Profile Details" u="1"/>
        <s v="Bug |  01316 - All Reports- Default Column Fields " u="1"/>
        <s v="Bug |  02231 - 327 (BDT) - Completed Shipments Sub-Page/Shipment Missing" u="1"/>
        <s v="Task |  | 00462 - Patching does not work on Windows" u="1"/>
        <s v="Task |  00235 - IBB Request Log" u="1"/>
        <s v="Bug | 01646 - Titulo não reflete a tela exibida" u="1"/>
        <s v="Bug | 00905 - Update On Hand Inv data fields to allow for decimals " u="1"/>
        <s v="Feature | 01777 - Keep CSR on Control Panel View when navigating to customer sites  " u="1"/>
        <s v="Bug | 02491 - 383 (BDT) If a single schedule line exists, and the Confirmed Qty = 0 LOG AND SKIP RECORD" u="1"/>
        <s v="Feature |  | 00261 - Notes view" u="1"/>
        <s v="Feature |  00255 - Shipment History" u="1"/>
        <s v="Feature |  00355 - Sort on Landing page" u="1"/>
        <s v="Bug |  02001 - Duplicate Entry Exception for Orders" u="1"/>
        <s v="Task | 00639 - Apply and verify fix for CEMEX-18" u="1"/>
        <s v="Task | 00259 - Customer Site Template name should have 'template' in name" u="1"/>
        <s v="Bug |  02899 - 469 BDT - Logos on IE are blurry" u="1"/>
        <s v="Bug |  00858 - The root directory for Advanced File Store is not parsed correctly" u="1"/>
        <s v="Bug |  01348 - Order Report URL too long " u="1"/>
        <s v="Task |  | 01133 - Atividades de automação do Sprint 16. " u="1"/>
        <s v="Task |  00711 - Prepare PROD deployment in AWS (Ireland region)" u="1"/>
        <s v="Task |  | 01089 - Analyse test coverage and improve it if necessary (Controllers and Services)" u="1"/>
        <s v="Bug |  | 00860 - Date Format is incorrect on all Pages" u="1"/>
        <s v="Task |  | 00085 - Prebill Inquiry" u="1"/>
        <s v="Bug | 01087 - Current transfer listed as future transfers on recurrency info pop-up (personal transfer)." u="1"/>
        <s v="Task |  00007 - Alinhamento do Workflow Front-end" u="1"/>
        <s v="Task |  00418 - Criar o componente de multi-moeda e a mudança da exibição nas telas que são utilizadas - Atividade FrontEnd" u="1"/>
        <s v="Bug |  | 02390 - Scheduled Releases Sub-Page No Sort Order" u="1"/>
        <s v="Bug | 03254 - UAT 42- Report From and To date formatting error" u="1"/>
        <s v="Feature | 00101  - Landing page" u="1"/>
        <s v="Feature | 00021 - Adjust styles of basic Liferay DXP components" u="1"/>
        <s v="Feature |  01442 - Update search criteria on Release Landing Page " u="1"/>
        <s v="Bug | 01064 - Wrong amount reported in &quot;Total a debitar hoy&quot; on Step #2 (personal transfer)." u="1"/>
        <s v="Bug | 02021 - 271 (BDT) - Orders page- hyperlinks and expand card issue" u="1"/>
        <s v="Task |  | 01803 - QA Deployment Documentation" u="1"/>
        <s v="Dummy Feature |  00000 - Dummy Feature of  00065 - Roles Configuration" u="1"/>
        <s v="Task | 00547 - Automated tests for Sprint 3" u="1"/>
        <s v="Feature |  00723 - Add content for Portal dashboard landing page" u="1"/>
        <s v="Bug |  | 00905 - Update On Hand Inv data fields to allow for decimals " u="1"/>
        <s v="Task |  02939 - Update LDAP configs now that FP 13 has fixed automatic loading of configs" u="1"/>
        <s v="Bug |  02364 - 337 (BDT) - Impersonating user- report generation issue stops impersonation" u="1"/>
        <s v="Task |  02993 - Enable log4j debug on Bemis Dev" u="1"/>
        <s v="Bug | 01997 - 260 (BDT) - Orders page- tablet view change page orientation from portrait to landscape" u="1"/>
        <s v="Feature | 00114 - Feature can skip Review step" u="1"/>
        <s v="Bug | 03021 - Date Range on Release and Shipment History Report - all systems" u="1"/>
        <s v="Task | 00931 - Finance team Query of IPS" u="1"/>
        <s v="Feature |  | 02407 - Change date field used for selecting invoices" u="1"/>
        <s v="Bug |  | 02734 - BDT 430 Reports are not downloading and refreshing automatically" u="1"/>
        <s v="Bug | 02230 - 325 (BDT) - report preview and generate report issue- mobile devices" u="1"/>
        <s v="Bug | 02697 - Duplicate key row in object 'dbo.Bemis_Order'" u="1"/>
        <s v="Bug | 02216 - 291 (BDT) - Release Pg Release PO incorrect" u="1"/>
        <s v="Bug |  00194 - Make bootstrap grid match theme media widths" u="1"/>
        <s v="Task | 00273 - [Ajuste identificado no review sprint 05] Mudar as cores dos status do processo na tela de detalhe do Processo de visto e fixar o tamanho da exibição do mesmo" u="1"/>
        <s v="Task | 00001 - Request SSL Certificate from Cemex for new website" u="1"/>
        <s v="Task |  | 01291 - Automated Tests SP6 PQ3" u="1"/>
        <s v="Bug |  | 00069 - Menu not working when on mobile mode" u="1"/>
        <s v="Task |  | 00597 - Use script to discover which web contents need to be fixed for ghost image issue" u="1"/>
        <s v="Bug | 01414 - BIT-121 Report time range selection box sizing - Shipments and Releases Report Test" u="1"/>
        <s v="Bug | 02935 - Documents page- title running off of screen box" u="1"/>
        <s v="Bug |  01020 - Checkboxes for Locations in filter do not show " u="1"/>
        <s v="Feature | 01442 - Update search criteria on Release Landing Page " u="1"/>
        <s v="Bug | 00941 - Explore the reason why the QA environment does not send email notification" u="1"/>
        <s v="Task |  00403 - Add Basic auth for QA environment" u="1"/>
        <s v="Feature |  00330 - Logistics - Products/Items - No Pricing" u="1"/>
        <s v="Task |  00075 - Customer Portal and Make-to-Stock (MTS) | Due Date: 8/12/16" u="1"/>
        <s v="Bug | 02133 - Search icon in ship to dropdown is off center" u="1"/>
        <s v="Bug | 00902 - BIT-42 Update orders data fields to allow for decimals " u="1"/>
        <s v="Feature |  00520 - Release updates from IBB" u="1"/>
        <s v="Bug |  | 01054 - Entries on the Release Page are not displaying " u="1"/>
        <s v="Task | 00582 - Update our database columns for simId, simTeamId, and simFamilyId to be VARCHAR" u="1"/>
        <s v="Task |  | 00824 - Architectural document for Sprint 6" u="1"/>
        <s v="Task | 00580 - Change Reports page &quot;SEC Filings&quot; section to open in a new tab" u="1"/>
        <s v="Task |  | 00476 - Enable staging from QA to PROD (guest site)" u="1"/>
        <s v="Feature |  01736 - Update Dashboard Content" u="1"/>
        <s v="Bug |  | 01023 - Missing fields on Delivery stubs" u="1"/>
        <s v="Task |  | 00580 - Change Reports page &quot;SEC Filings&quot; section to open in a new tab" u="1"/>
        <s v="Bug |  | 01291 - Order does not exist in portal" u="1"/>
        <s v="Feature | 01724 - Update the order of report sections on the Reports Landing Page" u="1"/>
        <s v="Bug |  | 01860 - 202 (BDT) Remove the optional column order up and down arrows from 2 reports" u="1"/>
        <s v="Task |  01454 - [Mudança evolutiva na tela de Detalhe do processo de visto e detalhe do visto emitido] Incluir informações referentes ao solicitante de visto e sobre dia e hora da abertura do processo." u="1"/>
        <s v="Feature |  00246 - Link &quot;Number of items Pending Ship&quot; from Orders Detail to the &quot;Item detail Pending Shipment&quot; page" u="1"/>
        <s v="Feature | 00234 - Services Page" u="1"/>
        <s v="Bug |  02630 - Multiple OSGi registration calls from BemisPortalServiceImpl" u="1"/>
        <s v="Feature |  01173 - BIT-49 Ship To Filter Name &amp; Address Info Missing in Portal" u="1"/>
        <s v="Feature |  | 00161 - Format text and add links to image description" u="1"/>
        <s v="Bug | 01761 - Report menu categories should be alphabetical" u="1"/>
        <s v="Task | 00596 - Anchor tags not working for some pages" u="1"/>
        <s v="Feature |  00146 - Add two factor authentication support to portal." u="1"/>
        <s v="Bug | 02169 - 214 (BDT) - Theme test- Font spacing incorrect" u="1"/>
        <s v="Bug |  | 00120 - Story carrousel on homepage does not animate (zoom)" u="1"/>
        <s v="Feature | 00249 - As a buyer, I can search through the shipment landing page, so that I can find the relevant information faster" u="1"/>
        <s v="Bug |  02047 - 275 (BDT) - Order Pg Sort Functionality" u="1"/>
        <s v="Task | 00640 - Atividades Gerais Sprint 09" u="1"/>
        <s v="Bug | 00804 - User Customer Name (Employer) is incorrect" u="1"/>
        <s v="Task | 00829 - Prepare QA environment (US-East region)" u="1"/>
        <s v="Task | 00011 - Questions for call on 01/29 -- LARs and JVMs clustering" u="1"/>
        <s v="Task | 00054 - BEMISCP-11 Workflow - COC, COAs upload to portal - Quality related" u="1"/>
        <s v="Feature |  00258 - View Invoice" u="1"/>
        <s v="Feature |  02445 - 321 (BDT) - Update the Shipments to use a field on Delivery vs. from Orders" u="1"/>
        <s v="Feature | 00269 - Search for Customer Profile Details" u="1"/>
        <s v="Bug | 00079 - NullPointer Exception after login in " u="1"/>
        <s v="Bug |  01318 - Report Time not correct" u="1"/>
        <s v="Bug | 01090 - Ubicación incorrecta de la casilla de recurrencia" u="1"/>
        <s v="Bug |  00632 - Orders - Move view details link below order Date" u="1"/>
        <s v="Bug | 00836 - Logon with incorrect password doesn't fail immediately with 2FA enabled" u="1"/>
        <s v="Task | 00227 - Build PROD definition and execute it in us-east-1" u="1"/>
        <s v="Task |  | 00002 - Request a DNS update from Cemex to add subdomains to point to new AWS environment" u="1"/>
        <s v="Feature | 01113 - Redesign for product description display" u="1"/>
        <s v="Bug | 01493 - Release Header fields do not display correctly" u="1"/>
        <s v="Task |  | 00026 - BEMISCP-11 Partial pallets in IBB - Not available in IBB for this phase" u="1"/>
        <s v="Bug |  02959 - BDT 483- Forgot Password error message" u="1"/>
        <s v="Ballpark - Demand |  00000 - Dummy Feature of Sustainability" u="1"/>
        <s v="Bug | 03003 - BDT 493 - Consignment Delivery Invoice Missing " u="1"/>
        <s v="Bug |  01450 - BIT-157 Wording on Dynamic Reports preview page needs to be changed to improve usability" u="1"/>
        <s v="Bug | 02732 - 424 (BDT) - Password Policy verbiage changes" u="1"/>
        <s v="Task | 00067 - BEMISCP-11 Document Metadata Extraction Strategy" u="1"/>
        <s v="Feature | 00090 - Jira Workflow updates" u="1"/>
        <s v="Task |  | 00913 - Automated test sprint 7" u="1"/>
        <s v="Bug | 01177 - BIT-136 Importing Orgs from UAT generates exception" u="1"/>
        <s v="Bug | 02995 - 490 BDT - Invoice or BOL link on Doned shipments subpage does not work" u="1"/>
        <s v="Feature |  00511 - Releases by Item" u="1"/>
        <s v="Bug |  | 01082 - En las transferencias a terceros, al desmarcar la casilla de recurrencia y presionar el botón siguiente se programa la transferencia con recurrencia" u="1"/>
        <s v="Bug | 01054 - Entries on the Release Page are not displaying " u="1"/>
        <s v="Feature |  00514 - Release Report" u="1"/>
        <s v="Ballpark - Demand |  | 00000 - Dummy Feature of Tools - Sizing" u="1"/>
        <s v="Task |  | 00644 - Allow HTTP between qa-staging and qa-live to test remote staging" u="1"/>
        <s v="Feature | 01250 - Update Sales Order to take in different order statuses" u="1"/>
        <s v="Feature |  | 01428 - Updates to handle Standard Pallet Qty data" u="1"/>
        <s v="Bug | 01364 - BIT-114 Scheduled Releases Customer PO" u="1"/>
        <s v="Bug | 00179 - Internet Explorer Story List Text Missing" u="1"/>
        <s v="Task | 00266  - Create data sync process to bulk upload data from IBB" u="1"/>
        <s v="Bug |  | 00010 - Product Attribute" u="1"/>
        <s v="Bug |  01005 - Do not show Scheduled Releases with a Confirmed Qty =  0" u="1"/>
        <s v="Bug |  02232 - 330 (BDT) - Order Pg Bemis Product ID missing" u="1"/>
        <s v="Feature |  00022 - Webcontent - Investors to Key Statistics" u="1"/>
        <s v="Bug | 01080 - Adding more than  + 10 Transfer accounts, Internet Explorer Stop Working. -Personal transfers- " u="1"/>
        <s v="Task |  | 00034 - BEMISCP-11 Dynamic build of field selection for building reports (SSRS)" u="1"/>
        <s v="Task |  00503 - WS Commons" u="1"/>
        <s v="Task |  01065 - Two IPS questions" u="1"/>
        <s v="Bug | 01420 - BIT-103 Time, status and report freezes" u="1"/>
        <s v="Feature | 00070 - Create Theme" u="1"/>
        <s v="Bug |  | 00633 - Orders - Add &quot;cust&quot; before PO label" u="1"/>
        <s v="Bug | 03195 - BDT 601- CSR/Admin View error and inconsistencies displaying customer profile " u="1"/>
        <s v="Bug |  01448 - BIT-154 User Agreement Link does not display for Buyers" u="1"/>
        <s v="Feature |  00033 - REST service for Enhanced Groups" u="1"/>
        <s v="Task |  | 00678 - Adjust BeL to the BG Security Team recommendations" u="1"/>
        <s v="Bug |  02541 - 328 (BDT) - Shipment Landing page incorrect ship to address" u="1"/>
        <s v="Task |  | 01095 - Ajuste no componente de Upload utilizado no SIGEX, nas telas que permitem edição. " u="1"/>
        <s v="Feature |  00167 - Add behavior to concrete incubator link" u="1"/>
        <s v="BALLPARK - Demand | M | 00000 - Demand without assignee BEMISCP" u="1"/>
        <s v="Bug |  | 01996 - 259 (BDT) - Orders Page- mobile view some customer PO numbers are hyperlinked" u="1"/>
        <s v="Task |  | 00370 - Common and specific infrastructure to the angular-portlet" u="1"/>
        <s v="Feature |  00360 - Add pallet detail view in batch view." u="1"/>
        <s v="Task |  | 00503 - WS Commons" u="1"/>
        <s v="Bug |  | 00545 - Two Factor Authentication - Verification Code Error" u="1"/>
        <s v="Bug |  | 01648 - Tipo de fornecedor não tem o label de obrigatório" u="1"/>
        <s v="Bug | 01855 -    Documents- CSR access to sites  " u="1"/>
        <s v="Bug |  | 02133 - Search icon in ship to dropdown is off center" u="1"/>
        <s v="Feature | 00012 - Country Selection content" u="1"/>
        <s v="Feature |  | 00144 - Our history page without timeline section" u="1"/>
        <s v="Bug | 00175 - Sprint 2 minor fixes" u="1"/>
        <s v="Feature | 00221 - Buyer View of Orders by Item" u="1"/>
        <s v="Bug |  | 01987 - 245 (BDT) - Order Pg View Details Schedule Lines Sorted Incorrectly" u="1"/>
        <s v="Task |  | 00050 - BEMISCP-11 Compliance reports on-time complete from SSRS" u="1"/>
        <s v="Feature | 03397 - (CR-67) Remove date parameter from open order status report - orders." u="1"/>
        <s v="Bug |  00722 - Race condition in DataSyncEngineImpl" u="1"/>
        <s v="Task |  00273 - [Ajuste identificado no review sprint 05] Mudar as cores dos status do processo na tela de detalhe do Processo de visto e fixar o tamanho da exibição do mesmo" u="1"/>
        <s v="Feature | 00025 - Notify Google LMS of User activity" u="1"/>
        <s v="Feature |  00332 - Logistics - Products/Items Shipped items no pricing" u="1"/>
        <s v="Bug |  00371 - RDR sync failing halfway through ORG sync" u="1"/>
        <s v="Bug |  | 00719 - Custom-users-admin-web causes startup exceptions in portal" u="1"/>
        <s v="Feature | 03134 - ShipTo Filter - Change default behavior and help text" u="1"/>
        <s v="Bug | 02205 - 315 (BDT) - Hyperlinks not working on shipments page for Carrier" u="1"/>
        <s v="Feature |  | 00446 - CSR View of Customer Profile" u="1"/>
        <s v="Bug |  02023 - 251 (BDT) - Manufacture date" u="1"/>
        <s v="Bug |  01310 - BIT-93 Report Landing Page- Inventory Detail Report- remove unnecessary Parameters" u="1"/>
        <s v="Feature |  00136 - Choose the section of the image to show" u="1"/>
        <s v="Bug |  | 00805 - On the Customer profile page format is incorrect" u="1"/>
        <s v="Bug |  | 01238 - The ... next to the Bemis Order number does not expand to show the full line" u="1"/>
        <s v="Feature | 00448  - Search User Profiles" u="1"/>
        <s v="Bug |  01192 - Search in Locations filter fails when no location match is found  " u="1"/>
        <s v="Bug |  | 00672 - Items per Page does not allow you to return to default setting" u="1"/>
        <s v="Feature | 02875 - Deployment Documentation " u="1"/>
        <s v="Bug |  01779 - After update to global web content, customer site template does not import" u="1"/>
        <s v="Bug |  01417 - The Company logo will not populate on Welcome page" u="1"/>
        <s v="Bug | 03094 - Ghost entries seen after order, release, shipment deletes" u="1"/>
        <s v="Feature | 00221 - Orders Landing Page" u="1"/>
        <s v="Feature |  00055 - Carrier website link" u="1"/>
        <s v="Bug |  | 01535 - The calculation for the total location qty and batch lines displayed do not match  " u="1"/>
        <s v="Bug |  | 01261 - BIT-68 Optional fields not correctly formatted or are missing in open and closed order report" u="1"/>
        <s v="Feature |  | 00329 - Site map" u="1"/>
        <s v="Task | 00086 - Bemis style guide | Due date:  8/12/16" u="1"/>
        <s v="Ballpark - Demand |  | 00000 - Dummy Feature of CSR - Dashboard" u="1"/>
        <s v="Task |  00603 - Create Earnings Webcast 1Q 17 page" u="1"/>
        <s v="Feature |  | 03031 - Data3 Invoice# Incorrect for a Cust Item " u="1"/>
        <s v="Feature |  01993 - 242 (BDT) - Customer profile - no address pulling in" u="1"/>
        <s v="Bug |  02336 - 331 (BDT) Time Zone Clarification" u="1"/>
        <s v="Feature |  | 01113 - Redesign for product description display" u="1"/>
        <s v="Task | 02830 - IBB configs need to be updated to use a different service account on QA" u="1"/>
        <s v="Bug |  02049 - 278 (BDT) - On-hand inventory page- iphone issue with footer" u="1"/>
        <s v="Task |  00829 - Prepare QA environment (US-East region)" u="1"/>
        <s v="Task |  | 00575 - Update workspace build to use custom EE bundle built from sources" u="1"/>
        <s v="Task | 00192 - Final Approval of the Inventory Landing Page Visual Mockup" u="1"/>
        <s v="Bug | 03059 - 532 BDT - Search Box on order screen not allowing entry" u="1"/>
        <s v="Task |  | 00478 - Clean up JSP for two-factor-auth-device-manager-web" u="1"/>
        <s v="Task |  | 00027 - BEMISCP-11 Reports - Partial Pallets, Pending Releases (date/value)" u="1"/>
        <s v="Feature |  | 00071 - Full story version 2" u="1"/>
        <s v="Bug | 01842 - User Edit Profile not working" u="1"/>
        <s v="Task | 00319 - [Ajuste na tela de edição de solicitação de visto]: Alterar a navegação atual utilizando o conceito de abas. " u="1"/>
        <s v="Feature |  | 00072 - Full story version 4" u="1"/>
        <s v="Task |  | 00038 - BEMISCP-11 Quality docs - Storage and access - KMS &amp; SAP (not until Phases 2&amp;3)" u="1"/>
        <s v="Task | 00594 - When a web content translation is selected, the corresponding metadata translations are not shown, but instead the default language is shown" u="1"/>
        <s v="Feature | 02692 - ID 4191/4190 Update the CSR permissions to be organization based" u="1"/>
        <s v="Feature |  00233 - Calculation on landing page" u="1"/>
        <s v="Bug |  00633 - Orders - Add &quot;cust&quot; before PO label" u="1"/>
        <s v="Task |  00757 - Configure permissions to remove access to dockbar" u="1"/>
        <s v="Feature |  | 00513 - Release Search" u="1"/>
        <s v="Bug |  00765 - Date format incorrect in UI" u="1"/>
        <s v="Bug |  01415 - BIT-129 Invoice Report Field" u="1"/>
        <s v="Bug |  | 02962 - Pinnacle Foods Bemis Order# 40009316 Shipment Missing (BDT 486)" u="1"/>
        <s v="Bug |  | 01643 - País está sendo informando como obrigatório no cadastro de fornecedor" u="1"/>
        <s v="Bug | 00860 - Date Format is incorrect on all Pages" u="1"/>
        <s v="Bug | 03176 - Sales Order Schedule Line with ConfirmedQty 0 displayed (BDT 590)" u="1"/>
        <s v="Task |  | 00003 - Sostituzione (Copia prodotti)" u="1"/>
        <s v="Bug |  | 01311 - BIT-94 All Reports from Reports Landing Page- Optional column formatting" u="1"/>
        <s v="Task |  | 00403 - Add Basic auth for QA environment" u="1"/>
        <s v="Feature | 00416 - Adjustments throughout the portal" u="1"/>
        <s v="Bug | 00405 - In overview pages the banner and image below must fill in all screen size" u="1"/>
        <s v="Feature |  | 01697 - Update display of qty fields on Orders page" u="1"/>
        <s v="Feature | 01661 - Update default settings for locations filter" u="1"/>
        <s v="Task | 00599 - Research changing background for web content editor" u="1"/>
        <s v="Feature | 00335 - As a CSR, I can schedule an ASN to be sent to me or my customer, so that we can be notified of when product has shipped" u="1"/>
        <s v="Task |  | 00590 - Investigate the staging and content publishing process issues" u="1"/>
        <s v="Task |  00450 - Setup Liferay Development Infrastructure" u="1"/>
        <s v="Bug |  | 02118 - 304(BDT) - 2FA has inconsistent behavior" u="1"/>
        <s v="Feature |  00244 - Link &quot;Number Quantity on Hand&quot; from the Order Detail to the &quot;Item detail On-Hand Inventory&quot;" u="1"/>
        <s v="Feature | 00172 - Password Policy" u="1"/>
        <s v="Bug | 02486 - 381 (BDT) - Portal console as admin or CSR- missing the Customer Profile view on the Bemis Site" u="1"/>
        <s v="Bug |  | 01073 - Dashboard - Personal transfers option is in uppercase" u="1"/>
        <s v="Feature |  | 00140 - Country micro site single page" u="1"/>
        <s v="Bug | 00576 - Home page &quot;More&quot; button does not work for Internet Explorer 10 or 11" u="1"/>
        <s v="Bug |  02104 - 294 (BDT) - Invoice report iphone and ipad hyperlinks in preview and report" u="1"/>
        <s v="Bug | 02375 - Order and Release Duplicate Exceptions  " u="1"/>
        <s v="Feature |  | 01019 - Link Bemis/TheHub Logo back CSR Bemis Site" u="1"/>
        <s v="Bug | 02563 - 392 (BDT) - Inventory Pg Standard Pallet Qty and UoM missing" u="1"/>
        <s v="Task |  | 01019 - Update page What We Do" u="1"/>
        <s v="Bug | 02116 - 300 (BDT) - Releases page iphone footer issues" u="1"/>
        <s v="Task |  | 00968 - Atividades de apoio Sprint 13 - Fixpacks / Apoio a Queiroz no Kaleo / Automação e ambientes SIGEX" u="1"/>
        <s v="Bug |  02230 - 325 (BDT) - report preview and generate report issue- mobile devices" u="1"/>
        <s v="Task |  00913 - Automated test sprint 7" u="1"/>
        <s v="Bug |  | 02130 - 306 (BDT) - Orders Page-Report button" u="1"/>
        <s v="Feature |  | 03036 - On Hand Qty displayed for completed shipment (BDT 518) CR53" u="1"/>
        <s v="Bug | 01181 - My Locations navigation on Mobile view is not working" u="1"/>
        <s v="Bug |  00168 - Redirect Not Allowed" u="1"/>
        <s v="Feature | 00363 - Map AD Groups to Roles" u="1"/>
        <s v="Bug | 03151 - 576  BDT - Log in page in Chrome blurry" u="1"/>
        <s v="Bug |  02491 - 383 (BDT) If a single schedule line exists, and the Confirmed Qty = 0 LOG AND SKIP RECORD" u="1"/>
        <s v="Feature | 00211 - Stock Information page" u="1"/>
        <s v="Bug | 01426 - On Hand Inventory Details shows a Total Qty but there are no details " u="1"/>
        <s v="Task |  01332 - [Mudança evolutiva na listagem dos Vistos Emitidos e na tela de Detalhe do Visto] Ajustar os status do visto apresentado na tela de detalhe e acrescentar as bandeirinhas na tabela de resultado. " u="1"/>
        <s v="Ballpark - Demand |  | 00000 - Dummy Feature of Tools - Worklogger" u="1"/>
        <s v="Bug | 01648 - Tipo de fornecedor não tem o label de obrigatório" u="1"/>
        <s v="Bug |  01420 - Time, status and report freezes" u="1"/>
        <s v="Task | 00044 - BEMISCP-11 When to onboard new customer - What to do when onboarding new cust" u="1"/>
        <s v="Bug |  02555 - 386 (BDT) - Poly IBB On Hand Qty Incorrect" u="1"/>
        <s v="Task |  00598 - Fix issue with titles not being shown for image selector" u="1"/>
        <s v="Task | 00085 - Prebill Inquiry" u="1"/>
        <s v="Feature | 00645 - Buyer - Security" u="1"/>
        <s v="Dummy Feature |  00000 - Dummy Feature of  00055 - Tools - Sonar" u="1"/>
        <s v="Bug | 02047 - 275 (BDT) - Order Pg Sort Functionality" u="1"/>
        <s v="Task |  00476 - Mudança nas chamadas do serviço do SUC" u="1"/>
        <s v="Feature | 00118 - Include videos on the full story page" u="1"/>
        <s v="Feature |  00024 - Questions Portlet" u="1"/>
        <s v="Feature |  | 00308 - Set maximum width for pages in 1300 px" u="1"/>
        <s v="Bug |  | 00892 - LDAP bulk import cannot be disable if 2FA is enabled" u="1"/>
        <s v="Task | 00021 - BEMISCP-11 3 yrs Rolling History vs 18 months" u="1"/>
        <s v="Feature |  | 00389 - Create a sign in page" u="1"/>
        <s v="Bug | 02638 - BDT 428 -ID 4191- Documents should not be using File Entry LocalService" u="1"/>
        <s v="Bug | 02570 - Bemis User Agreement is not displaying on first time log in  " u="1"/>
        <s v="Bug | 01083 - Bad style of all the Radio button and Check box" u="1"/>
        <s v="Bug |  01850 - 195 (BDT) Documents- unable to download; CSR and buyer view" u="1"/>
        <s v="BALLPARK - Demand | M | 00000 - Cancel task test" u="1"/>
        <s v="Feature | 03010 - 494 BDT - Handle IBB NULL responses in initial data sync" u="1"/>
        <s v="Bug |  01261 - Optional fields not correctly formatted or are missing in open and closed order report" u="1"/>
        <s v="Bug | 02115 - 299 (BDT) - Scheduled Releases subpage- iphone layout error" u="1"/>
        <s v="Bug | 02962 - Pinnacle Foods Bemis Order# 40009316 Shipment Missing (BDT 486)" u="1"/>
        <s v="Feature |  | 01473 - Switch to SOAP calls" u="1"/>
        <s v="Bug | 03209 - Carrier List not updated in The Hub Production system (BDT 605)" u="1"/>
        <s v="Task |  00127 - Tech Spec Truncation" u="1"/>
        <s v="Task |  | 02939 - Update LDAP configs now that FP 13 has fixed automatic loading of configs" u="1"/>
        <s v="Feature | 03134 - ShipTo Filter - change defaults and text." u="1"/>
        <s v="Task | 01133 - Atividades de automação do Sprint 16. " u="1"/>
        <s v="Bug | 02237 - The quotes around &quot;N/A&quot; need to be removed" u="1"/>
        <s v="Feature | 03037 - 517 BDT - Ship To filters should be checked" u="1"/>
        <s v="Bug |  | 02225 - Pull Shipment Order Information from Delivery Service" u="1"/>
        <s v="Bug | 02018 - 265 (BDT) - General mobile design issues- footer covers menu" u="1"/>
        <s v="Feature |  00226 - Filter Orders by user Locations" u="1"/>
        <s v="Feature |  | 01441 - Update date limit on Shipment Page search " u="1"/>
        <s v="Feature |  | 00225 - Search Orders by Indexed fields" u="1"/>
        <s v="Bug | 02048 - 277 (BDT) - On hand Inventory page- tablet- Batch # is hyperlinked" u="1"/>
        <s v="Bug | 03193 - BDT 596- Connectivity issues in production " u="1"/>
        <s v="Task |  | 00033 - LAR export / import API artefacts" u="1"/>
        <s v="Feature |  00012 - Expose enhanced Group API" u="1"/>
        <s v="Bug |  | 02934 - BIN Doc Service Test Invoice URL Parameters" u="1"/>
        <s v="Feature |  00172 - Password Policy" u="1"/>
        <s v="Feature | 00254 - View/Edit my User Profile." u="1"/>
        <s v="Task | 00050 - Create portlet to add location based configurations" u="1"/>
        <s v="Feature | 00159 - Feature without assignee GOOGLE" u="1"/>
        <s v="Feature |  | 00145 - Sustainability Overview" u="1"/>
        <s v="Feature |  00511 - Releases landing page" u="1"/>
        <s v="Bug |  01257 - Missing Address should be empty" u="1"/>
        <s v="Feature | 00367 - Welcome screen / landing page" u="1"/>
        <s v="Bug | 01065 - Theme display in Bemis QA is not correct" u="1"/>
        <s v="Bug |  | 03048 - 526 BDT - Sales order line not displaying on Orders page depending on who is logged on to the account" u="1"/>
        <s v="Bug | 00458 - Indexing of Web Content has errors" u="1"/>
        <s v="Bug |  00954 - Import of Organizations fails due to a NoSuchListTypeException" u="1"/>
        <s v="Feature | 00076 - Dashboard - New indicators" u="1"/>
        <s v="Feature | 00296 - Mobile compatibility" u="1"/>
        <s v="Task |  | 00597 - Atividades Gerais Sprint 08" u="1"/>
        <s v="Bug | 03209 - Carrier List not updated in The Hub Production system (BDT 609)" u="1"/>
        <s v="Bug | 02348 - 237 (BDT) - Inventory Report - Excel will not generate in portal" u="1"/>
        <s v="Task |  00670 - Automated tests for Sprint 4" u="1"/>
        <s v="Bug |  | 01296 - Improve data sync logging to capture invalid data" u="1"/>
        <s v="Task |  | 00013 - BEMISCP-11 Terms &amp; Condition docs (site)(by customer specific)" u="1"/>
        <s v="Feature |  | 02862 - Customize Email Templates for users " u="1"/>
        <s v="Bug |  | 02431 - 365 (BDT) - On Hand Inventory- mobile- click link on orders page takes you to completed shipments tab" u="1"/>
        <s v="Task | 01018 - Update page Who We Are" u="1"/>
        <s v="Task |  | 01070 - Optimize JVM settings" u="1"/>
        <s v="Feature | 02886 - Always display BOL and Invoice links" u="1"/>
        <s v="Feature |  01527 - Updates for all Report " u="1"/>
        <s v="Task |  | 00632 - Build new QA environment." u="1"/>
        <s v="Bug |  02028 - 273 (BDT) - User Profile- Buyer- blank space in address information" u="1"/>
        <s v="Feature |  02878 - Update Carrier list for portal " u="1"/>
        <s v="Task |  00995 - Functions required to maintain 'Child' records" u="1"/>
        <s v="Task | 00126 - Sales Order Status" u="1"/>
        <s v="Task |  00058 - Update SendEmail Jobs" u="1"/>
        <s v="Feature |  | 00223 - View Orders by PO" u="1"/>
        <s v="Bug |  | 02563 - 392 (BDT) - Inventory Pg Standard Pallet Qty and UoM missing" u="1"/>
        <s v="Bug |  | 00194 - Make bootstrap grid match theme media widths" u="1"/>
        <s v="Feature |  | 00007 - Add expiration date" u="1"/>
        <s v="Task |  | 00220 - Research: Error when creating a WebContent with nested WebContent" u="1"/>
        <s v="Task |  01070 - Import of the Vaccination fields via an Excel spreadsheet - one time entry" u="1"/>
        <s v="Task | 00033 - LAR export / import API artefacts" u="1"/>
        <s v="Task |  | 00512 - Change &quot;submit for publication&quot; text to &quot;submit&quot;" u="1"/>
        <s v="Task | 00818 - Need to Simplify the way to add a Candidate Photo" u="1"/>
        <s v="Task | 00012 - Documentate the whole process" u="1"/>
        <s v="Bug | 00007 - Hierarchical Class of Service (performance)" u="1"/>
        <s v="Task | 00022 - Documentate the whole process" u="1"/>
        <s v="Feature | 00254 - View/Edit my User Profile" u="1"/>
        <s v="Task | 00672 - Deploy Build including DE15 and hotfix-711 to Production 6/9/2017" u="1"/>
        <s v="Feature | 00256 - Buyer View of Customer Profile" u="1"/>
        <s v="Feature |  | 00172 - Debt Information" u="1"/>
        <s v="Bug |  02964 - 487 (BDT) - Issues with ship to filter" u="1"/>
        <s v="Bug |  | 00498 - Fix QA issues" u="1"/>
        <s v="Bug |  01311 - All Reports from Reports Landing Page- Optional column formatting" u="1"/>
        <s v="Feature | 00083  - Manage DL folder &amp; files" u="1"/>
        <s v="Bug |  | 02450 - Failures in initial data sync does cause a full data sync to occur in the next data sync interval" u="1"/>
        <s v="Feature |  00101 - Product landing page" u="1"/>
        <s v="Ballpark - Demand | 00000 - Dummy Feature of Need Credentials for the Following Users" u="1"/>
        <s v="Feature | 00229 - View Order Note." u="1"/>
        <s v="Task | 02993 - Enable log4j debug on Bemis Dev" u="1"/>
        <s v="Task | 01013 - Update home page issues" u="1"/>
        <s v="Bug |  | 01105 - System allows the user erase security questions." u="1"/>
        <s v="Bug |  | 01203 - SSRS integration config had wrong password for QA" u="1"/>
        <s v="Task | 00277 - [Ajuste review sprint 05]: No Grid de listagem de solicitação de visto, acrescentar no grid a informação de status (utilizar sinal de cores). " u="1"/>
        <s v="Task | 00488 - Update styles for all pages to reflect brand " u="1"/>
        <s v="Feature |  01575 - User friendly error messaging for CSR and Buyers" u="1"/>
        <s v="Feature | 00406 - Adjust forms layouts" u="1"/>
        <s v="Task |  | 00020 - BEMISCP-11 Portal Admin / Power Users" u="1"/>
        <s v="Feature |  00104 - Item Detail page" u="1"/>
        <s v="Feature | 01687 - Create a hook so that CSR users can see which users have completed setup" u="1"/>
        <s v="Bug | 03087 - 549 BDT - Connectivity Issues" u="1"/>
        <s v="Task |  00042 - BEMISCP-11 Watchlist - Orders / Items (Like starring an email)" u="1"/>
        <s v="Bug | 00822 - UI Navigation bar" u="1"/>
        <s v="Feature |  | 01669 - Refactor Inventory Sync/WS Classes for data refresh calls." u="1"/>
        <s v="Bug |  | 02093 - 284 (BDT) - Scheduled Releases Sub-Pg cards missing " u="1"/>
        <s v="Feature | 00245  - Link &quot;Number of Items Shipped&quot; from the Orders Detail to &quot;Item detail Shipped Qty&quot; page" u="1"/>
        <s v="Feature |  00014 - Capture user info" u="1"/>
        <s v="Feature |  | 00172 - Password Policy" u="1"/>
        <s v="Task | 00011 - Parking Lot" u="1"/>
        <s v="Bug | 00892 - LDAP bulk import cannot be disable if 2FA is enabled" u="1"/>
        <s v="Bug |  01183 - Reports Landing Page - Report Header is not aligned properly" u="1"/>
        <s v="Bug | 03032 - 510 BDT - Shipments landing page not showing recent shipments" u="1"/>
        <s v="Bug | 01069 - Notifications appear overlapped" u="1"/>
        <s v="Bug |  02018 - 265 (BDT) - General mobile design issues- footer covers menu" u="1"/>
        <s v="Task |  00275 - [Mudança geral] Aumentar o tamanho do título das páginas" u="1"/>
        <s v="Bug |  | 02491 - 383 (BDT) If a single schedule line exists, and the Confirmed Qty = 0 LOG AND SKIP RECORD" u="1"/>
        <s v="Bug |  01290 - Pinnacle Foods/Ethicon Inc SAP Orders missing in Orders Page" u="1"/>
        <s v="Bug |  02962 - Pinnacle Foods Bemis Order# 40009316 Shipment Missing (BDT 486)" u="1"/>
        <s v="Bug | 02225 - Pull Shipment Order Information from Delivery Service" u="1"/>
        <s v="Feature |  00363 - Map AD Groups to Roles" u="1"/>
        <s v="Bug |  | 01088 - BIT-17 Carrier Link is not working " u="1"/>
        <s v="Task | 00015 - BEMISCP-11 Use Case: Workflow - Reject Shipment" u="1"/>
        <s v="Feature | 00077 - As a internal staff user, I would like to be able to browse to the customer portal while being asked for my existing username and password, so that my AD login will be used" u="1"/>
        <s v="Feature | 00401 - Careers &gt; Locations and Functions" u="1"/>
        <s v="Bug |  | 00168 - Redirect Not Allowed" u="1"/>
        <s v="Feature |  00509 - View and Download Invoice and BoL " u="1"/>
        <s v="Bug |  01493 - Release Header fields do not display correctly" u="1"/>
        <s v="Task |  | 00058 - Update SendEmail Jobs" u="1"/>
        <s v="Bug |  00039 - Update subtask when parent update some fields" u="1"/>
        <s v="Bug | 02359 - 318 (BDT) - Shipment Sub Page ship date view in ascending order" u="1"/>
        <s v="Feature |  | 00330 - Logistics - Products/Items - No Pricing" u="1"/>
        <s v="Bug | 03097 - CR56 - Change display of Release and Shipment Reports in the Portal  Inbox " u="1"/>
        <s v="Task |  | 00002 - Dannon Yo-Cream Theme" u="1"/>
        <s v="Task |  00074 - Determine Document Library folder structure and category structure" u="1"/>
        <s v="Bug |  | 02089 - 261 (BDT) - Missing Open Scheduled Release Info" u="1"/>
        <s v="Feature | 00369 - View Updated Inventory Data" u="1"/>
        <s v="Feature | 00372 - *DUPLICATE* As a buyer, I can see updates to my customer profile screens when the IBB sends an update, so that I can have the most current information" u="1"/>
        <s v="Task | 00017 - BEMISCP-11 Demo WebCenter" u="1"/>
        <s v="Bug |  01874 - 213 (BDT) Theme- Assets that are light blue and should be dark blue -various portal pages" u="1"/>
        <s v="Feature |  | 01396 - Allow Buyers to update display settings " u="1"/>
        <s v="Feature |  | 00124 - View closed orders in Order Views" u="1"/>
        <s v="Task |  | 01013 - Update home page issues" u="1"/>
        <s v="Bug |  01177 - BIT-136 Importing Orgs from UAT generates exception" u="1"/>
        <s v="Bug |  | 02009 - 241 (BDT) - Searchbar missing X " u="1"/>
        <s v="Bug | 02049 - 278 (BDT) - On-hand inventory page- iphone issue with footer" u="1"/>
        <s v="Feature | 00375 - Buyer - Reports Landing Page" u="1"/>
        <s v="Feature | 00271 - Search for User Profile Details" u="1"/>
        <s v="Task | 01732 - Automated Tests SP9 - Functional tests" u="1"/>
        <s v="Bug |  01415 - Invoice Report Field" u="1"/>
        <s v="Bug | 00188 - Fix java script errors" u="1"/>
        <s v="Bug |  00405 - In overview pages the banner and image below must fill in all screen size" u="1"/>
        <s v="Feature |  | 00011 - All Projects Configuration" u="1"/>
        <s v="Bug |  02172 - 309 (BDT) - Orders page- iphone view details UOM Confirmed qtty crowding" u="1"/>
        <s v="Feature |  | 01480 - Performance Testing and Tuning" u="1"/>
        <s v="Feature | 02846 - Add a test user to the deployment scripts" u="1"/>
        <s v="Feature | 00105 - Deploy docker containers in liferay-gs-sdlc account" u="1"/>
        <s v="Bug |  | 02195 - 311 (BDT) - ERC 649A- Orders Page- report on main page has been incorrectly replaced" u="1"/>
        <s v="Feature | 00359 - As a buyer, I can see the contents of a batch in my on-hand inventory, so that I can see pallet summary level information for a batch" u="1"/>
        <s v="Feature |  | 03010 - 494 BDT - Handle IBB NULL responses in initial data sync" u="1"/>
        <s v="Feature |  | 00375 - Buyer - Reports Landing Page" u="1"/>
        <s v="Feature | 00175 - Order Status Report" u="1"/>
        <s v="Bug | 01779 - After update to global web content, customer site template does not import" u="1"/>
        <s v="Task |  00425 - Architectural design document - Sprint 2" u="1"/>
        <s v="Bug |  | 02020 - 267 (BDT) - General mobile design- menu should automatically collapse " u="1"/>
        <s v="Bug |  01684 - Add dependency in Theme for freemarker contributor" u="1"/>
        <s v="Bug |  01509 - Exception for some Order Data Syncs" u="1"/>
        <s v="Bug | 01746 - Duplicate fields displayed on the Completed Shipments tab" u="1"/>
        <s v="Task |  | 00638 - Apply and verify fix for CEMEX-21" u="1"/>
        <s v="Task |  00640 - Atividades Gerais Sprint 09" u="1"/>
        <s v="Bug | 00474 - SoyPortlet does not build on windows machine" u="1"/>
        <s v="Bug |  | 00196 - Adjust company profile page" u="1"/>
        <s v="Task |  | 00003 - Setup LCS activation" u="1"/>
        <s v="Bug |  | 01426 - On Hand Inventory Details shows a Total Qty but there are no details " u="1"/>
        <s v="Feature | 00375 - As a buyer, I can navigate to the Reports landing page to view a list my reports, so that I can easily access my data" u="1"/>
        <s v="Feature | 00023 - Events + Calendar Portlet" u="1"/>
        <s v="Task |  00057 - Management work" u="1"/>
        <s v="Bug | 02094 - 286 (BDT) - Release Pg Scheduled Release Qty UoM missing" u="1"/>
        <s v="Bug |  01974 - Login in container errors block login input" u="1"/>
        <s v="Task |  | 00037 - Solr Spell Suggest progress and artefacts" u="1"/>
        <s v="Bug |  02734 - BDT 430 Reports are not downloading and refreshing automatically" u="1"/>
        <s v="Bug | 02918 - BDT 474 Reporting errors for Customer id 0138680" u="1"/>
        <s v="Task | 00029 - BEMISCP-11 Doc repository - Confirmed, Liferay Doc Library will be used" u="1"/>
        <s v="Bug |  02089 - 261 (BDT) - Missing Open Scheduled Release Info" u="1"/>
        <s v="Feature |  00379 - View Orders for a specific Cust Item" u="1"/>
        <s v="Bug |  02733 - 425 (BDT) - Documents- buyer not able to delete a document" u="1"/>
        <s v="Task | 00511 - Identify .lpkg files in default bundle which we don't need to speepup the initial Tomcat start" u="1"/>
        <s v="Bug | 02231 - 327 (BDT) - Doned Shipments Sub-Page/Shipment Missing" u="1"/>
        <s v="Bug |  | 02635 - 402 (BDT) - Data Sync process does not clear the &quot;lastErrorMessage&quot; col. when sync is successful" u="1"/>
        <s v="Bug | 02369 - Multiple threads may cause NTLM errors in DataSync" u="1"/>
        <s v="Bug |  | 01642 - Menu não tem o hint traduzido" u="1"/>
        <s v="Bug |  01922 - Standard Pallet Qty should be N/A when batch line Pallet amount is N/A" u="1"/>
        <s v="Feature | 00082 - CSR - view and select customer" u="1"/>
        <s v="Feature | 00302  - Filter Data by Customer Location" u="1"/>
        <s v="Feature | 00308 - Customer - Org - Permissions" u="1"/>
        <s v="Bug | 02827 - Typo in reset password page" u="1"/>
        <s v="Bug |  | 02860 - User Profile dropdown is wrapping " u="1"/>
        <s v="Task | 00025 - BEMISCP-11 Consignment - Make and Hold Aging" u="1"/>
        <s v="Feature |  | 00058 - Carrier List CRUD" u="1"/>
        <s v="Feature |  | 00511 - Releases landing page" u="1"/>
        <s v="Feature | 00246  - Link &quot;Number of items Pending Ship&quot; from Orders Detail to the &quot;Item detail Pending Shipment&quot; page" u="1"/>
        <s v="Feature |  00375 - Buyer - Reports Landing Page" u="1"/>
        <s v="Bug | 03139 - 570 BDT - Reports download view is not automatically refreshing" u="1"/>
        <s v="Feature | 00247 - Download - report link" u="1"/>
        <s v="Bug |  | 01080 - Notifications are sending continuous notifications" u="1"/>
        <s v="Task | 00056 - BEMISCP-11 Can the same release PO or BOL have multiple invoices?" u="1"/>
        <s v="Task |  | 00056 - Conditional DL file entry searchability " u="1"/>
        <s v="Bug | 02118 - 304(BDT) - 2FA has inconsistent behavior" u="1"/>
        <s v="Task | 00598 - Fix issue with titles not being shown for image selector" u="1"/>
        <s v="Bug |  | 02218 - 323 (BDT) - Shipment Landing Pg/Shipments Missing" u="1"/>
        <s v="Bug |  | 02703 - 398 (BDT) - Tyson Shipments missing" u="1"/>
        <s v="Bug |  01639 - BIT-159 Create Access Path for CSRs to Customer and User Profiles" u="1"/>
        <s v="Feature |  00211 - Style and colors" u="1"/>
        <s v="Feature |  | 01250 - Update Sales Order to take in different order statuses" u="1"/>
        <s v="Bug | 01920 - Total On Hand Qty should include UOM  " u="1"/>
        <s v="Task | 00592 - Homepage hero banner text is too large" u="1"/>
        <s v="Task | 00038 - BEMISCP-11 Quality docs - Storage and access - KMS &amp; SAP (not until Phases 2&amp;3)" u="1"/>
        <s v="Feature |  | 00349 - Global search - not show pricing" u="1"/>
        <s v="Bug |  | 01985 - 243 (BDT) - Orders Page Material Avail Date/Req Date Incorrect " u="1"/>
        <s v="Task | 00664 - Match the sizing of app servers in qa-live and qa-staging to prod" u="1"/>
        <s v="Bug | 02593 - Report Preview UI issues " u="1"/>
        <s v="Bug |  02390 - Scheduled Releases Sub-Page No Sort Order" u="1"/>
        <s v="Feature | 00263 - Buyer Detail Product Spec" u="1"/>
        <s v="Feature | 00146 - As a customer, I need to be notified and confirm access via my email when logging into the portal from a different computer/device, so that security is maintained" u="1"/>
        <s v="Bug | 02964 - 487 (BDT) - Issues with ship to filter" u="1"/>
        <s v="Feature |  00645 - Buyer - Security" u="1"/>
        <s v="Feature | 01852 - Update User Creation Test Scripts and customer LARs " u="1"/>
        <s v="Bug | 02455 - 377 (BDT) - Releases and Shipment Report- date parameters and page view parameter requiredness" u="1"/>
        <s v="Bug | 00634 - Orders -  Bemis Order # (line No) should be moved below Bemis ProductID" u="1"/>
        <s v="Feature |  | 00007 - Design menus" u="1"/>
        <s v="Feature | 00367 - As a buyer, I am brought to a welcome page or landing page upon login to the customer portal, so that I can navigate easily to different parts of the system" u="1"/>
        <s v="Feature |  | 00319 - Sustainable Sourcing" u="1"/>
        <s v="Bug | 03248 - 618 BDT - Portal Passwords display in plain text" u="1"/>
        <s v="Bug |  02171 - 308 (BDT) - Orders page- iphone words in view detail spilling below allotted space" u="1"/>
        <s v="Task | 01045 - Have a way to correct the Child template in PROD" u="1"/>
        <s v="Bug |  01238 - The ... next to the Bemis Order number does not expand to show the full line" u="1"/>
        <s v="Feature |  01661 - Update default settings for locations filter" u="1"/>
        <s v="Feature |  00008 - Check graphics record (to monitor order progress)" u="1"/>
        <s v="Task |  01018 - Update page Who We Are" u="1"/>
        <s v="Bug | 00371 - RDR sync failing halfway through ORG sync" u="1"/>
        <s v="Bug |  | 01746 - Duplicate fields displayed on the Completed Shipments tab" u="1"/>
        <s v="Feature |  | 00012 - Country Selection content" u="1"/>
        <s v="Feature |  00221 - View Orders by Item" u="1"/>
        <s v="Feature | 00446  - View/Edit Customer Profile" u="1"/>
        <s v="Bug | 02464 - Update error logs to capture ID and field " u="1"/>
        <s v="Feature |  | 00401 - Careers &gt; Locations and Functions" u="1"/>
        <s v="Feature | 01622 - Menu position does not remain closed when navigating from one page to another " u="1"/>
        <s v="Bug | 01316 - BIT-78 All Reports- Default Column Fields " u="1"/>
        <s v="Feature |  | 01857 - 199 (BDT)Report Parameter - Date range can have a null value" u="1"/>
        <s v="Feature | 00125 - Product spec detail page - CSR view" u="1"/>
        <s v="Bug |  | 02114 - 298 (BDT) - Releases - subpage- tablet view error" u="1"/>
        <s v="Feature |  | 00063 - Show full story on Media Center" u="1"/>
        <s v="Feature | 00021 - Asset publisher filter" u="1"/>
        <s v="Feature |  01575 - User friendly error page" u="1"/>
        <s v="Feature | 00024 - Questions Portlet" u="1"/>
        <s v="Ballpark - Demand | 00000 - Dummy Feature of CSR - Dashboard" u="1"/>
        <s v="Feature | 00230 - Products Overview" u="1"/>
        <s v="Feature |  | 02886 - Always display BOL and Invoice links" u="1"/>
        <s v="Bug |  | 01974 - Login in container errors block login input" u="1"/>
        <s v="Bug |  | 02349 - 238 (BDT) - Item Level Report Preview is blank   " u="1"/>
        <s v="Task |  | 00067 - BEMISCP-11 Document Metadata Extraction Strategy" u="1"/>
        <s v="Feature |  | 00083 - Manage DL folder &amp; files" u="1"/>
        <s v="Bug |  02337 - Pallet Field should display as Est. Pallet Count" u="1"/>
        <s v="Feature | 00352 - Location selection persists between logout and login" u="1"/>
        <s v="Bug |  01842 - User Edit Profile not working" u="1"/>
        <s v="Ballpark - Demand | 00000 - Dummy Feature of Roles Configuration" u="1"/>
        <s v="Bug |  | 01548 - Customer logo is not displayed on parent or child location dashboards" u="1"/>
        <s v="Feature | 01784 - Improve data display on all pages " u="1"/>
        <s v="Feature | 00231 - Show Open Demand and On Hand Qty for Item." u="1"/>
        <s v="Task |  | 01331 - Trocar chamadas fake pelos Serviços SUC / Testar o retorno dos dados e corrigir incosistências" u="1"/>
        <s v="Bug | 02027 - 272 (BDT) - User Profile- Buyer missing Job Title" u="1"/>
        <s v="Bug | 03229 - 609 BDT - Inventory Detail Report - Get preview but Error on Downloads screen" u="1"/>
        <s v="Feature |  00271 - Search for User Profile Details" u="1"/>
        <s v="Feature | 03374 - Adjust GC log rotation settings" u="1"/>
        <s v="Bug |  | 00784 - Modify default date range for shipment, release, and order screens" u="1"/>
        <s v="Feature |  00448 - Search User Profiles" u="1"/>
        <s v="Feature |  | 00269 - Search for Customer Profile Details" u="1"/>
        <s v="Bug |  02375 - Order and Release Duplicate Exceptions  " u="1"/>
        <s v="Task | 00005 - Define strategy around docker and Azure" u="1"/>
        <s v="Feature |  01526 - Update the report that is called from the Open Order Landing Page" u="1"/>
        <s v="Bug |  | 00736 - Proxy configuration breaks access to IBB " u="1"/>
        <s v="Feature | 00370  - Order updates from IBB" u="1"/>
        <s v="Task |  00011 - Questions for call on 01/29 -- LARs and JVMs clustering" u="1"/>
        <s v="Feature |  | 00080 - All external users are re-directed to the  dashboard" u="1"/>
        <s v="Bug | 01737 - User Agreement link does not show content for CSR roles" u="1"/>
        <s v="Task |  | 00461 - Investigate 413 Request Entity Too Large when uploading file &gt; 1MB" u="1"/>
        <s v="Feature | 03031 - Data3 Invoice# Incorrect for a Cust Item " u="1"/>
        <s v="Task |  | 00583 - Create microsite page for Switzerland" u="1"/>
        <s v="Feature |  02680 - 409 (BDT) - Inventory Batch with Multiple Mfg Dates" u="1"/>
        <s v="Feature | 00002 - Multi-criteria search" u="1"/>
        <s v="Task | 00071 - BEMISCP-11 Validate with Process Owners - Internal entitlements" u="1"/>
        <s v="Task |  00052 - BEMISCP-11 BHP - Bulk upload of users" u="1"/>
        <s v="Task |  | 01045 - Have a way to correct the Child template in PROD" u="1"/>
        <s v="Feature | 00331 - Page Legal " u="1"/>
        <s v="Bug |  00822 - UI Navigation bar" u="1"/>
        <s v="Bug |  02348 - 237 (BDT) - Inventory Report - Excel will not generate in portal" u="1"/>
        <s v="Task |  | 00995 - Functions required to maintain 'Child' records" u="1"/>
        <s v="Task |  | 00076 - Disponibilizar nas páginas iniciais do sites da &quot;PT BR Internal&quot; e &quot;AA BR Internal&quot; o conteúdo de SlideShow com os links e figuras do ambiente de qualidade atual" u="1"/>
        <s v="Task |  00269 - [Ajuste identificado] Filtrar os itens a serem aprovados por centro de custo " u="1"/>
        <s v="Ballpark - Demand | 00000 - Dummy Feature of Content Management" u="1"/>
        <s v="Feature | 01718 - BIT 176 -  BOL# Incorrect for SAP Shipment" u="1"/>
        <s v="Task | 00068 - BEMISCP-11 BIN Customer Data Migration" u="1"/>
        <s v="Feature | 00511 - Releases landing page" u="1"/>
        <s v="Bug |  | 00541 - Stock Ticker portlet has content that is not localized" u="1"/>
        <s v="Task | 00539 - [Mudança hisoria SIGEX-110]: Sistema deve informar quem abriu o processo de contrataçao." u="1"/>
        <s v="Bug |  | 01270 - BIT-85 Column picks disappear in report form" u="1"/>
        <s v="Bug | 01874 - 213 (BDT) Theme- Assets that are light blue and should be dark blue -various portal pages" u="1"/>
        <s v="Bug | 02009 - 241 (BDT) - Searchbar missing X " u="1"/>
        <s v="Task |  00905 - Add History and Start dates to a number of Fields" u="1"/>
        <s v="Task |  | 00297 - Install fixes for PDF preview on QA env" u="1"/>
        <s v="Bug | 02362 - 336 (BDT) - CSR logged in first time; the site showing on her home page was jelsert." u="1"/>
        <s v="Bug |  | 01871 - Exceptions in LAR imports for Site Templates" u="1"/>
        <s v="Task |  | 00127 - Tech Spec Truncation" u="1"/>
        <s v="Feature | 00258 - Buyer - View Invoice in Expanded Shipment View" u="1"/>
        <s v="Feature |  00150 - Company profile page" u="1"/>
        <s v="Dummy Feature |  00000 - Dummy Feature of  00053 - Tools - Dashboard" u="1"/>
        <s v="Feature | 00319 - Sustainable Sourcing" u="1"/>
        <s v="Bug | 00585 - Page Fix for Careers page" u="1"/>
        <s v="Bug |  00832 - Interface between SIMPS and IPS - issues that have been identified" u="1"/>
        <s v="Task |  | 01122 - [Mudança na task 1023 review sprint 15] Formatar o hint da aba de vacinas (tela de execução do processo de contratação) de acordo com a estrutura definida pela Queiroz Gavão " u="1"/>
        <s v="Task |  | 00547 - Automated tests for Sprint 3" u="1"/>
        <s v="Task | 00717 - Manage Technical Debt" u="1"/>
        <s v="Bug | 00312 - Non-ACR User can see ACR Form button on home page" u="1"/>
        <s v="Task |  | 00040 - BEMISCP-11 Logistics - Product in transit" u="1"/>
        <s v="Feature |  | 00293 - About Us &gt; Position Papers" u="1"/>
        <s v="Ballpark - Demand | 00000 - Dummy Feature of Tools - Github" u="1"/>
        <s v="Bug | 00517 - Publish failed with the JSON formatting error" u="1"/>
        <s v="Bug |  | 02117 - 303 (BDT) - Releases page in page wildcard search on description" u="1"/>
        <s v="Bug | 01448 - BIT-154 User Agreement Link does not display for Buyers" u="1"/>
        <s v="Feature | 00225  - Search Orders by Indexed fields" u="1"/>
        <s v="Feature |  00214 - View Notifications" u="1"/>
        <s v="Feature |  | 00016 - Capture learning events" u="1"/>
        <s v="Feature | 00447 - Search Customer Profiles" u="1"/>
        <s v="Feature | 01526 - Update the report that is called from the Open Order Landing Page" u="1"/>
        <s v="Task |  01455 - [Mudança evolutiva na tela de consulta dos Tipos de visto] Destacar o motivo do agendamento dos tipos de vistos agendados. " u="1"/>
        <s v="Bug |  | 02092 - 270 (BDT) - Release page missing info for Jel Sert" u="1"/>
        <s v="Feature |  00446 - View/Edit Customer Profile" u="1"/>
        <s v="Bug |  | 02959 - BDT 483- Forgot Password error message" u="1"/>
        <s v="Bug | 00144 - Missing learning record events" u="1"/>
        <s v="Bug | 01262 - BIT-143 Sub-header font color on Reports Landing page are incorrect" u="1"/>
        <s v="Bug |  | 01314 - BIT-72 Report page- open and closed order report; parameters not expected" u="1"/>
        <s v="Feature |  | 00802 - List Releases of specifc Order" u="1"/>
        <s v="Feature |  | 00320 - Become a supplier" u="1"/>
        <s v="Feature |  | 00365 - Left Navigation Expand / Collapse on all pages" u="1"/>
        <s v="Feature |  | 00379 - View Orders for a specific Cust Item" u="1"/>
        <s v="Bug |  02682 - 405 (BDT) - Inventory Update Issues" u="1"/>
        <s v="Task | 01847 - Update Mock Services for changes to Data Sync" u="1"/>
        <s v="Bug |  02860 - User Profile dropdown is wrapping " u="1"/>
        <s v="Feature | 00221 - View Orders by Item" u="1"/>
        <s v="Task |  | 00839 - Sprint Documentation" u="1"/>
        <s v="Bug |  01414 - BIT-121 Report time range selection box sizing - Shipments and Releases Report Test" u="1"/>
        <s v="Task |  | 00047 - BEMISCP-11 Customer Inventory Terms" u="1"/>
        <s v="Task |  | 00425 - Architectural design document - Sprint 2" u="1"/>
        <s v="Bug | 00672 - Items per Page does not allow you to return to default setting" u="1"/>
        <s v="Bug |  00306 - Break page buttons evenly, centered" u="1"/>
        <s v="Bug | 00168 - Redirect Not Allowed" u="1"/>
        <s v="Feature |  02886 - Always display BOL and Invoice links" u="1"/>
        <s v="Feature |  | 01852 - Update User Creation Test Scripts and customer LARs " u="1"/>
        <s v="Feature | 00019 - Create different pages to show layouts" u="1"/>
        <s v="Task | 00512 - Change &quot;submit for publication&quot; text to &quot;submit&quot;" u="1"/>
        <s v="Feature | 00354 - Sort on Landing page" u="1"/>
        <s v="Task | 00064 - BEMISCP-11 CSR hierarchy" u="1"/>
        <s v="Task | 00012 - BEMISCP-11 Buying Well" u="1"/>
        <s v="Task |  | 00044 - BEMISCP-11 When to onboard new customer - What to do when onboarding new cust" u="1"/>
        <s v="Feature | 00253 - Buyer - Navigate to Order by PO page from Shipment Page" u="1"/>
        <s v="Task |  | 00046 - BEMISCP-11 QMS data - Complaints, interaction" u="1"/>
        <s v="Task |  | 00035 - BEMISCP-11 Notifications - Timelines, triggers, messages, templates, internal vs email" u="1"/>
        <s v="Feature | 00355 - Sort on Landing page" u="1"/>
        <s v="Task |  | 01225 - [Ajuste na tela de recuperação de caução SIGEX-1048] Ajustar comportamento do sistema para refletir a caução recuperada." u="1"/>
        <s v="Bug | 01293 - BIT-77 Missing sales order Data3" u="1"/>
        <s v="Bug |  02468 - 378 (BDT) - Report Functionality- limit to reports showing per page but not additional pages to view" u="1"/>
        <s v="Bug |  | 01183 - Reports Landing Page - Report Header is not aligned properly" u="1"/>
        <s v="Bug |  | 01788 - Document Preview does not work " u="1"/>
        <s v="Task | 00037 - BEMISCP-11 Entitlements - Proc Mgr - Negotiations - CRM" u="1"/>
        <s v="Ballpark - Demand | 00000 - Dummy Feature of Tools - Worklogger" u="1"/>
        <s v="Feature | 00275 - Products / Items - Status Filters" u="1"/>
        <s v="Feature |  00020 - Create Google Dev Environment" u="1"/>
        <s v="Bug | 02113 - 297 (BDT) - On Hand Inventory page code error" u="1"/>
        <s v="Feature |  | 00160 - As a CSR user, I can delete a document uploaded by a customer to a Document Library folder, so that I can remove outdated or irrelevant information" u="1"/>
        <s v="Bug | 02630 - Multiple OSGi registration calls from BemisPortalServiceImpl" u="1"/>
        <s v="Task |  | 00218 - As a user, I can see the Cemex stock price for NYSE and BMV" u="1"/>
        <s v="Task |  00372 - Atividades do Workflow (Processo de contratação)" u="1"/>
        <s v="Bug |  00784 - Modify default date range for shipment, release, and order screens" u="1"/>
        <s v="Feature | 00328 - Custom 404 page" u="1"/>
        <s v="Feature |  | 00143 - Ethics and compliance page" u="1"/>
        <s v="Feature |  00302 - Filter Data by Customer Location" u="1"/>
        <s v="Feature |  00166 - Add behavior to Homepage links" u="1"/>
        <s v="Task |  | 00594 - When a web content translation is selected, the corresponding metadata translations are not shown, but instead the default language is shown" u="1"/>
        <s v="Bug |  02719 - 382 (BDT) - Order Pg Requested Date Incorrect" u="1"/>
        <s v="Bug |  01139 - Padding issues with left nav menu" u="1"/>
        <s v="Task |  00839 - Sprint Documentation" u="1"/>
        <s v="Feature | 00359 - Batch details in on-hand inventory" u="1"/>
        <s v="Feature | 03036 - On Hand Qty displayed for completed shipment (BDT 518) CR53" u="1"/>
        <s v="Feature |  00124 - View closed orders in Order Views" u="1"/>
        <s v="Bug |  | 00306 - Break page buttons evenly, centered" u="1"/>
        <s v="Feature |  | 02373 - Remove space from DL file names" u="1"/>
        <s v="Task | 00641 - Apple and verify fix for CEMEX-15" u="1"/>
        <s v="Task |  00085 - Prebill Inquiry" u="1"/>
        <s v="Task |  | 00511 - Identify .lpkg files in default bundle which we don't need to speepup the initial Tomcat start" u="1"/>
        <s v="Bug | 00541 - Stock Ticker portlet has content that is not localized" u="1"/>
        <s v="BALLPARK - Demand | M | 00000 - Tools - Sizing" u="1"/>
        <s v="Feature | 00278 - Notes create/edit - Buyer view" u="1"/>
        <s v="Task | 00007 - Alinhamento do Workflow Front-end" u="1"/>
        <s v="Bug | 01271 - Fix date range for From and To fields" u="1"/>
        <s v="Bug |  | 01151 - CSR should have access to limited control panel " u="1"/>
        <s v="Task |  | 00566 - Configure workspace build to use NPM cache outside of the workspace" u="1"/>
        <s v="Bug |  | 02461 - 385 (BDT) Manufacture Data is missing from the On Hand Inventory sub-page" u="1"/>
        <s v="Feature | 02599 - Enable 2FA &quot;Hard Switch&quot; in properties" u="1"/>
        <s v="Task | 00372 - Atividades do Workflow (Processo de contratação)" u="1"/>
        <s v="Bug |  | 01195 -  Icons do not display properly on the Global Search Results Page" u="1"/>
        <s v="Bug |  02129 - 305 (BDT) - Invoice Report- tablet and iphone additional columns selection issue" u="1"/>
        <s v="Feature | 00245 - Link &quot;Number of Items Shipped&quot; from the Orders Detail to &quot;Item detail Shipped Qty&quot; page" u="1"/>
        <s v="Bug | 02098 - 290 (BDT) - Release Pg Ship To Name and Address incorrect" u="1"/>
        <s v="Feature | 00447 - CSR - Search for All Customer Profiles" u="1"/>
        <s v="Bug |  02217 - 320 (BDT) - Shipment Pg Bemis Order#/Line# Incorrect" u="1"/>
        <s v="Task |  01025 - Revisions to Migration/Update process from SIMPS" u="1"/>
        <s v="Bug | 00138 - The legacy id should match the siteId created from mocked data" u="1"/>
        <s v="Feature | 00146 - Two Factor Authentication" u="1"/>
        <s v="Feature |  | 00167 - Add behavior to concrete incubator link" u="1"/>
        <s v="Bug |  | 01644 - Mensagem de campo obrigatório só é exibida em um campo" u="1"/>
        <s v="Feature | 00331 - Logistics - Products/Items - Pending Shipments - no pricing" u="1"/>
        <s v="Feature |  00691 - Liferay Workspace Maintenance and Improvements" u="1"/>
        <s v="Feature | 00141 - Country micro site subpages" u="1"/>
        <s v="Bug |  01317 - BIT-74 Report Page- Open/Closed order status report- missing parameter" u="1"/>
        <s v="Feature |  00237 - Trading" u="1"/>
        <s v="Feature |  01473 - Switch to SOAP calls" u="1"/>
        <s v="Feature |  00389 - Create a sign in page" u="1"/>
        <s v="Task |  00334 - Redirect to a friendly &quot;page not found&quot;" u="1"/>
        <s v="Task | 00269 - [Ajuste identificado] Filtrar os itens a serem aprovados por centro de custo " u="1"/>
        <s v="Bug |  | 01139 - BIT-48 Padding issues with left nav menu " u="1"/>
        <s v="Bug |  | 01271 - Fix date range for From and To fields" u="1"/>
        <s v="Task |  | 00049 - BEMISCP-11 Customer Terms (Payment, Freight, Incoterms)" u="1"/>
        <s v="Task | 00511 - Steps Components" u="1"/>
        <s v="Bug |  01746 - Duplicate fields displayed on the Completed Shipments tab" u="1"/>
        <s v="Task | 00403 - Add Basic auth for QA environment" u="1"/>
        <s v="Feature | 00223 - View Orders by PO" u="1"/>
        <s v="Bug | 00554 - Notifications Configuration does not include Country Documents yet." u="1"/>
        <s v="Feature | 00261 - Notes view" u="1"/>
        <s v="Task | 00003 - Setup LCS activation" u="1"/>
        <s v="Feature |  00275 - Products / Items - Status Filters" u="1"/>
        <s v="Bug |  02216 - 291 (BDT) - Release Pg Release PO incorrect" u="1"/>
        <s v="Bug | 03382 - UAT79 - Order with Inventory Missing in Portal" u="1"/>
        <s v="Bug | 01290 - Pinnacle Foods/Ethicon Inc SAP Orders missing in Orders Page" u="1"/>
        <s v="Bug | 01996 - 259 (BDT) - Orders Page- mobile view some customer PO numbers are hyperlinked" u="1"/>
        <s v="Feature |  00512 - Release Details" u="1"/>
        <s v="Bug |  | 01043 - Issues within IPS PROD at this time that need to be cleared up." u="1"/>
        <s v="Task | 00418 - Criar o componente de multi-moeda e a mudança da exibição nas telas que são utilizadas - Atividade FrontEnd" u="1"/>
        <s v="Bug |  01030 - Add open condition to Search Orders" u="1"/>
        <s v="Feature | 01697 - Update display of qty fields on Orders page" u="1"/>
        <s v="Task | 00834 - Automated tests for Sprint 6" u="1"/>
        <s v="Bug |  | 01920 - Total On Hand Qty should include UOM  " u="1"/>
        <s v="Task |  | 00752 - Atividades gerais sprint 10" u="1"/>
        <s v="Bug |  00044 - Some bugs about teams" u="1"/>
        <s v="Feature |  00537 - Link from Bemis Logo" u="1"/>
        <s v="Feature | 00146  - Add two factor authentication support to portal." u="1"/>
        <s v="Bug | 03179 - BDT 591- AS CSR or Admin, unable to edit user profile from profile page. " u="1"/>
        <s v="Bug |  | 03081 - 542 (BDT) - The page was not displayed because the Request URI is too long." u="1"/>
        <s v="Task |  | 00589 - Review page structure and templates" u="1"/>
        <s v="Bug | 00112 - An error message is displayed when creating a new organization site from site template" u="1"/>
        <s v="Task | 01332 - [Mudança evolutiva na listagem dos Vistos Emitidos e na tela de Detalhe do Visto] Ajustar os status do visto apresentado na tela de detalhe e acrescentar as bandeirinhas na tabela de resultado. " u="1"/>
        <s v="Bug |  | 01451 - BIT-159 CSR- editing buyer profile" u="1"/>
        <s v="Bug |  | 02570 - Bemis User Agreement is not displaying on first time log in  " u="1"/>
        <s v="Bug | 02042 - 270 (BDT) Global Search displays error" u="1"/>
        <s v="Task |  00048 - BEMISCP-11 Previous customer Item Number" u="1"/>
        <s v="Bug |  | 02018 - 265 (BDT) - General mobile design issues- footer covers menu" u="1"/>
        <s v="Feature |  | 00512 - Release expanded view" u="1"/>
        <s v="Bug |  | 02001 - Duplicate Entry Exception for Orders" u="1"/>
        <s v="Feature |  02599 - Enable 2FA &quot;Hard Switch&quot; in properties" u="1"/>
        <s v="Task |  00514 - Research &amp; Apply URL Rewrite for URL containing String .aspx" u="1"/>
        <s v="Bug |  | 00902 - BIT-42 Update orders data fields to allow for decimals " u="1"/>
        <s v="Bug | 01074 - Personal transfers - Dropdown menus slightly move other fields" u="1"/>
        <s v="Task |  00206 - [Geral] Analisar o problema do auto-complete do Sistema" u="1"/>
        <s v="Feature |  01344 - Update decimals display on Bemis Portal Landing pages" u="1"/>
        <s v="Bug | 03180 - BDT 575 Tablet menu does not automatically collapse" u="1"/>
        <s v="Feature | 00255 - As a buyer, I can see shipment history from the shipment expanded landing page, so that I can see completed shipments for an item" u="1"/>
        <s v="Bug |  | 01083 - Bad style of all the Radio button and Check box" u="1"/>
        <s v="Task | 00566 - Configure workspace build to use NPM cache outside of the workspace" u="1"/>
        <s v="Bug | 00904 - Update Shipments data fields to allow for decimals " u="1"/>
        <s v="Task |  00830 - Perform SIMPS migration test" u="1"/>
        <s v="Feature | 00447  - Search Customer Profiles" u="1"/>
        <s v="Ballpark - Demand |  | 00000 - Dummy Feature of Tools - Github" u="1"/>
        <s v="Feature |  | 00334 - As a buyer, I can schedule an ASN to be sent to me, so that I know when product has shipped" u="1"/>
        <s v="Feature | 00059 - One Click Deploy" u="1"/>
        <s v="Bug |  01844 - LDAP Configurations are not automatically imported" u="1"/>
        <s v="Bug | 01670 - Web Content LAR needs to be updated to reflect latest changes to TemplateContextContributor" u="1"/>
        <s v="Feature |  01349 - Update default Sort Order on Shipments Landing Page " u="1"/>
        <s v="Task | 00034 - Setup Dev Infrasctructure" u="1"/>
        <s v="Bug |  | 01729 - Error on Report Definition Control Panel when editing " u="1"/>
        <s v="Bug |  | 01257 - BIT-60 Missing Address should be empty" u="1"/>
        <s v="Task | 00032 - BEMISCP-11 Disable access (showing links) to webcenter and solutioncenter" u="1"/>
        <s v="Task |  00596 - Anchor tags not working for some pages" u="1"/>
        <s v="Feature | 00175  - Order Status Report" u="1"/>
        <s v="Feature | 00380 - Logistics Order History - No Pricing" u="1"/>
        <s v="Bug |  02167 - 319 (BDT) Negative Scheduled Releases " u="1"/>
        <s v="Feature |  | 00249 - Shipment Search" u="1"/>
        <s v="Task |  | 00057 - BEMISCP-11 Order Invoice release report" u="1"/>
        <s v="Feature |  01113 - Redesign for product description display" u="1"/>
        <s v="Task |  | 00259 - Customer Site Template should have 'template' in name" u="1"/>
        <s v="Bug | 01922 - Standard Pallet Qty should be N/A when batch line Pallet amount is N/A" u="1"/>
        <s v="Task |  00593 - Change country menu cut off vertically" u="1"/>
        <s v="Feature | 01019 - Link Bemis/TheHub Logo back CSR Bemis Site" u="1"/>
        <s v="Feature |  | 00262 - On-Hand Inventory View for a specific item" u="1"/>
        <s v="Feature | 00256  - View Customer Profile" u="1"/>
        <s v="Task | 00275 - [Mudança geral] Aumentar o tamanho do título das páginas" u="1"/>
        <s v="Feature |  01440 - Update search criteria on Orders Landing Page" u="1"/>
        <s v="Bug | 02395 - 371 (BDT) Commas missing on qty fields on Scheduled Release and Completed Shipment Page " u="1"/>
        <s v="Task | 00034 - BEMISCP-11 Dynamic build of field selection for building reports (SSRS)" u="1"/>
        <s v="Bug | 02379 - IBB synchronization times should be in UTC timezone format" u="1"/>
        <s v="Bug | 01257 - BIT-60 Missing Address should be empty" u="1"/>
        <s v="Task | 00593 - Change country menu cut off vertically" u="1"/>
        <s v="Bug | 01860 - 202 (BDT) Remove the optional column order up and down arrows from 2 reports" u="1"/>
        <s v="Feature |  02702 - 417 (BDT) - Consignment Overstated Shipped Qty on Orders Pg" u="1"/>
        <s v="Feature |  00249 - Shipment Search" u="1"/>
        <s v="Dummy Feature |  00000 - Dummy Feature of  00054 - Tools - Indicators" u="1"/>
        <s v="Task |  00525 - As a privileged user, I can add image (urls) to a Ministry" u="1"/>
        <s v="Bug |  | 00458 - Indexing of Web Content has errors" u="1"/>
        <s v="Feature |  01861 - Remove Buyer access to edit display settings" u="1"/>
        <s v="Feature |  | 00101 - Product landing page" u="1"/>
        <s v="Feature |  | 00230 - Products Overview" u="1"/>
        <s v="Bug |  01268 - Product Description displaying incorrectly" u="1"/>
        <s v="Task |  00228 - Allow patches to be source-controlled and installed into bundle by workspace" u="1"/>
        <s v="Bug | 03152 - 575 BDT - Tablet- menu icon not in correct place on page" u="1"/>
        <s v="Bug | 02227 - IBB Data Sync Performance " u="1"/>
        <s v="Bug | 02273 - View Details crowded on Desktop" u="1"/>
        <s v="Task | 00498 - Create and use some &quot;Liferay down / starting up / maintenance page&quot; for nginx" u="1"/>
        <s v="Bug |  | 01561 - BIT-108 Cannot find Shipments in Portal" u="1"/>
        <s v="Task | 00127 - Remover google analytics" u="1"/>
        <s v="Bug | 01338 - BIT-99 Shipment Card Item Detail Box Scrolling Bar" u="1"/>
        <s v="Bug | 01057 - User profile editing is accessible to users other than the profile owner." u="1"/>
        <s v="Feature |  00266 - Suppliers Overview" u="1"/>
        <s v="Feature | 00083 - Manage DL folder &amp; files" u="1"/>
        <s v="Bug |  | 02679 - 410 (BDT) - Change the Discovery settings in elasticsearch.yml file to use host names" u="1"/>
        <s v="Feature | 00260 - Buyer -  View Release PO on Expanded Shipment View" u="1"/>
        <s v="Task |  00319 - [Ajuste na tela de edição de solicitação de visto]: Alterar a navegação atual utilizando o conceito de abas. " u="1"/>
        <s v="Bug |  | 01262 - BIT-143 Sub-header font color on Reports Landing page are incorrect" u="1"/>
        <s v="Bug |  | 02453 - 375 (BDT) - Inventory Report - URL too long error " u="1"/>
        <s v="Bug |  01338 - BIT-99 Shipment Card Item Detail Box Scrolling Bar" u="1"/>
        <s v="Dummy Feature |  00000 - Dummy Feature of  00058 - Tools - Github" u="1"/>
        <s v="Task |  | 00050 - Create portlet to add location based configurations" u="1"/>
        <s v="Feature | 00198 - CSR - multi-location + multi-customer - browse and select" u="1"/>
        <s v="Feature |  02957 - 482 BDT - Optimizing report performance to 4 sec" u="1"/>
        <s v="Feature | 00020 - Creation of content structures and templates" u="1"/>
        <s v="Bug |  02095 - 269 (BDT) - Release page expanded card missing state zip country" u="1"/>
        <s v="Task |  00316 - Install Audience Targeting on QA servers" u="1"/>
        <s v="Feature |  | 00211 - Stock Information page" u="1"/>
        <s v="Feature |  | 00274 - Add link to View Orders in Product View for Specific Item" u="1"/>
        <s v="Bug |  01270 - Column picks disappear in report form" u="1"/>
        <s v="Feature |  | 00295 - As a CSR, I can run and view the 5 internal and 4 external reports available to me, so that I can see my customer data in report format" u="1"/>
        <s v="Bug |  | 02214 - Not all shipments are being synced from IBB" u="1"/>
        <s v="Bug |  02537 - Preview should display for all document types " u="1"/>
        <s v="Bug |  | 02347 - Unable to generate reports against SSRS" u="1"/>
        <s v="Bug | 03198 - BDT 603 Production - Cust ID 0076618- no invoice and BOL PDF generates for specific order" u="1"/>
        <s v="Bug | 00194 - Make bootstrap grid match theme media widths" u="1"/>
        <s v="Feature |  00019 - Asset publisher - Simple version" u="1"/>
        <s v="Bug |  01240 - Formatting Error when Resizing" u="1"/>
        <s v="Bug |  | 01423 - BIT-46 Cards on Page incorrect" u="1"/>
        <s v="Bug | 02023 - 251 (BDT) - Manufacture date" u="1"/>
        <s v="Feature | 03029 - BDT 507 - C&amp;S Closed Orders showing inventory displayed in portal " u="1"/>
        <s v="Bug |  | 01417 - The Company logo will not populate on Welcome page" u="1"/>
        <s v="Feature | 00397 - Careers &gt; Life at Cemex" u="1"/>
        <s v="Bug |  01737 - User Agreement link does not show content" u="1"/>
        <s v="Bug |  | 02091 - 268 (BDT) - Missing Open Scheduled Release Info" u="1"/>
        <s v="Feature | 00207 - Populate Portal with User Profile Information" u="1"/>
        <s v="Bug | 02349 - 238 (BDT) - Item Level Report Preview is blank   " u="1"/>
        <s v="Feature |  00014 - Language selection functionality" u="1"/>
        <s v="Feature | 00101 - Landing page" u="1"/>
        <s v="Feature |  | 02998 - Create Hub Admin documentation" u="1"/>
        <s v="Task | 00597 - Atividades Gerais Sprint 08" u="1"/>
        <s v="Task | 00097 - CSR Visibility to All Customer Data" u="1"/>
        <s v="Task |  | 00011 - Questions for call on 01/29 -- LARs and JVMs clustering" u="1"/>
        <s v="Bug |  | 01335 - 3 Marshal Deliveries not showing in Completed Shipments page " u="1"/>
        <s v="Bug | 02431 - 365 (BDT) - On Hand Inventory- mobile- click link on orders page takes you to Doned shipments tab" u="1"/>
        <s v="Feature | 02407 - Change date field used for selecting invoices" u="1"/>
        <s v="Task |  | 00481 - UAT/Prod Deployment" u="1"/>
        <s v="Feature | 00277 - Notes view - Buyer view" u="1"/>
        <s v="Feature |  01444 - Create Handling Unit Report " u="1"/>
        <s v="Bug | 02217 - 320 (BDT) - Shipment Pg Bemis Order#/Line# Incorrect" u="1"/>
        <s v="Bug | 03379 - BDT626 - Ellipsis Toggle Functionality" u="1"/>
        <s v="Task | 00056 - Conditional DL file entry searchability " u="1"/>
        <s v="Task | 00026 - BEMISCP-11 Partial pallets in IBB - Not available in IBB for this phase" u="1"/>
        <s v="Task |  | 00591 - Change web content editor to a more robust WYSIWYG style editor" u="1"/>
        <s v="Feature |  00515 - Report Definition Parsing" u="1"/>
        <s v="Task | 00047 - Research and Build Theme Prototype" u="1"/>
        <s v="Feature |  00536 - Remove Top Bar for Regular User" u="1"/>
        <s v="Feature | 00509 - View and Download Invoice and BoL " u="1"/>
        <s v="Feature |  | 00254 - View/Edit my User Profile" u="1"/>
        <s v="Bug |  | 00765 - Date format incorrect in UI" u="1"/>
        <s v="Bug | 01859 - 201 (BDT) Report Parameters- Optional Columns Open and Closed Order Status Report" u="1"/>
        <s v="Bug |  01414 - Report time range selection box sizing - Shipments and Releases Report Test" u="1"/>
        <s v="Task |  00580 - Change Reports page &quot;SEC Filings&quot; section to open in a new tab" u="1"/>
        <s v="Bug |  | 01877 - 217 (BDT) Theme- upload document screen- blue bar theme updates " u="1"/>
        <s v="Task | 00965 - Part of Phase 1.5 - A number of small changes" u="1"/>
        <s v="Feature |  00296 - Mobile compatibility &amp; responsive design" u="1"/>
        <s v="Bug |  | 02237 - The quotes around &quot;N/A&quot; need to be removed" u="1"/>
        <s v="Task |  00597 - Atividades Gerais Sprint 08" u="1"/>
        <s v="Feature |  00305 - Co-Packer - Role by Ship To" u="1"/>
        <s v="Task |  00931 - Finance team Query of IPS" u="1"/>
        <s v="Bug | 00075 - Chrome users cannot access taskboard using HTTPS" u="1"/>
        <s v="Bug |  01264 - BIT-142 Cust Item Font color on Item detail view is incorrect" u="1"/>
        <s v="Task |  | 00075 - Customer Portal and Make-to-Stock (MTS) | Due Date: 8/12/16" u="1"/>
        <s v="Bug |  | 02171 - 308 (BDT) - Orders page- iphone words in view detail spilling below allotted space" u="1"/>
        <s v="Feature |  | 00213 - Pending notifications counter" u="1"/>
        <s v="Task |  00547 - Automated tests for Sprint 3" u="1"/>
        <s v="Feature |  00344 - Shipments paginated list grouped by item number" u="1"/>
        <s v="Bug |  00283 - HomePage is not adjusting to fit correctly on 1366x768" u="1"/>
        <s v="Bug |  | 00954 - Import of Organizations fails due to a NoSuchListTypeException" u="1"/>
        <s v="Bug | 03264 - UAT 55 - _x0009_Report Preview Pane Size Issue" u="1"/>
        <s v="Bug |  | 01084 - Dropdwn &quot;Tipo de Correo &quot; with format for IOS" u="1"/>
        <s v="Feature |  02716 - 423 (BDT) - Have LDAP and portal Password policy both enabled " u="1"/>
        <s v="Task |  | 00495 - Update products based on feedback" u="1"/>
        <s v="Bug |  02633 - 387 (BDT) - Missing any Shipments for Premium Waters" u="1"/>
        <s v="Bug |  | 01338 - BIT-99 Shipment Card Item Detail Box Scrolling Bar" u="1"/>
        <s v="Bug |  | 01414 - BIT-121 Report time range selection box sizing - Shipments and Releases Report Test" u="1"/>
        <s v="Feature | 00219  - View customer site list" u="1"/>
        <s v="Task |  | 00595 - Allow for ability to customize button colors" u="1"/>
        <s v="Feature |  | 00322 - Sales Rep - only sees orgs based on access" u="1"/>
        <s v="Bug | 00180 - White spaces above images in story pages template 2" u="1"/>
        <s v="Bug |  00736 - Proxy configuration breaks access to IBB " u="1"/>
        <s v="Feature |  | 00073 - Unified boiler plate text" u="1"/>
        <s v="Bug |  01307 - Report Landing Page- Open Order Status Report- remove parameters from selection screen" u="1"/>
        <s v="Feature |  | 00369 - Inventory updates from IBB" u="1"/>
        <s v="Ballpark - Demand |  00000 - Dummy Feature of Products" u="1"/>
        <s v="Bug |  | 00829 - Order Description not wrapping correctly" u="1"/>
        <s v="Feature | 00308  - Customer - Org - Permissions" u="1"/>
        <s v="Task | 00591 - Change web content editor to a more robust WYSIWYG style editor" u="1"/>
        <s v="Feature | 00244  - Link &quot;Number Quantity on Hand&quot; from the Order Detail to the &quot;Item detail On-Hand Inventory&quot;" u="1"/>
        <s v="Bug |  | 02486 - 381 (BDT) - Portal console as admin or CSR- missing the Customer Profile view on the Bemis Site" u="1"/>
        <s v="Feature |  00369 - Inventory updates from IBB" u="1"/>
        <s v="Bug |  01878 - 218 (BDT) Theme My Company Locations Font Color" u="1"/>
        <s v="Feature |  00213 - Pending notifications counter" u="1"/>
        <s v="Feature | 00321 - Global Search" u="1"/>
        <s v="Bug |  | 01755 - Mobile Footer no longer displays" u="1"/>
        <s v="Bug |  02377 - SSRS connection settings are not set during deployment " u="1"/>
        <s v="Feature | 00262 - On-Hand Inventory View for a specific item" u="1"/>
        <s v="Task |  00399 - Convert actual Dashboard to Angular" u="1"/>
        <s v="Bug |  | 01855 -    Documents- CSR access to sites  " u="1"/>
        <s v="Feature | 00370 - View Updated Order Data" u="1"/>
        <s v="Bug | 00444 - Deleting record/site" u="1"/>
        <s v="Task |  | 00587 - Register Device adjustments" u="1"/>
        <s v="Feature |  | 00221 - Orders Landing Page" u="1"/>
        <s v="Task |  01299 - [Mudança evolutiva na tela de Inclusão do tipo de visto] Acrescentar filtros para carregar as informações da Sigla/Descrição do tipo de visto com base no país de destino." u="1"/>
        <s v="Task | 00176 - Set up QA environment" u="1"/>
        <s v="Bug |  | 01067 - Always returns to dashboard when canceling a 3rd party transfer" u="1"/>
        <s v="Feature |  | 01724 - Update the order of report sections on the Reports Landing Page" u="1"/>
        <s v="Bug | 02731 - 427 (BDT) - Shipments Pg Floating Text, Not on Card" u="1"/>
        <s v="Feature | 00140 - Country micro site single page" u="1"/>
        <s v="Bug | 02167 - 319 (BDT) Negative Scheduled Releases " u="1"/>
        <s v="Task | 00058 - Update SendEmail Jobs" u="1"/>
        <s v="Feature |  00011 - All Projects Configuration" u="1"/>
        <s v="Bug | 02682 - 405 (BDT) - Inventory Update Issues" u="1"/>
        <s v="Feature |  | 00222 - Order Detail in Orders by Item View" u="1"/>
        <s v="Task | 00370 - Common and specific infrastructure to the angular-portlet" u="1"/>
        <s v="Bug | 00196 - Adjust company profile page" u="1"/>
        <s v="Feature |  02905 - Updates to Consignment logic" u="1"/>
        <s v="Task |  | 00710 - Automated Tests" u="1"/>
        <s v="Feature |  00013 - Footer" u="1"/>
        <s v="Feature |  00256 - View Customer Profile" u="1"/>
        <s v="Task | 01225 - [Ajuste na tela de recuperação de caução SIGEX-1048] Ajustar comportamento do sistema para refletir a caução recuperada." u="1"/>
        <s v="Bug |  | 01450 - BIT-157 Wording on Dynamic Reports preview page needs to be changed to improve usability" u="1"/>
        <s v="Bug |  | 02172 - 309 (BDT) - Orders page- iphone view details UOM Confirmed qtty crowding" u="1"/>
        <s v="Bug |  | 00007 - Hierarchical Class of Service (performance)" u="1"/>
        <s v="Bug | 03083 - ORM exceptions for salesOrder data sync " u="1"/>
        <s v="Task | 00048 - BEMISCP-11 Previous customer Item Number" u="1"/>
        <s v="Bug |  | 02455 - 377 (BDT) - Releases and Shipment Report- date parameters and page view parameter requiredness" u="1"/>
        <s v="Feature |  | 00407 - Search function on menu bar" u="1"/>
        <s v="Bug |  02116 - 300 (BDT) - Releases page iphone footer issues" u="1"/>
        <s v="Feature | 00293 - About Us &gt; Position Papers" u="1"/>
        <s v="Feature |  | 00455 - Media &gt; Overview" u="1"/>
        <s v="Bug |  | 02052 - 282 (BDT) - Orders Page- Location filter location indicator " u="1"/>
        <s v="Bug | 02173 - 310 (BDT) - Order Pg View Details Schedule Line Dates Sort Order Incorrect " u="1"/>
        <s v="Task |  | 00021 - BEMISCP-11 3 yrs Rolling History vs 18 months" u="1"/>
        <s v="Task | 00020 - Create Google Local Environment" u="1"/>
        <s v="Bug |  02737 - 434-GLC Release Missing" u="1"/>
        <s v="Feature |  02977 - Set search highlighting property to false" u="1"/>
        <s v="Bug |  | 00412 - Homepage &gt; Change &quot;Media and Events&quot; section" u="1"/>
        <s v="Feature | 00297 - As a customer, I can use the portal with a modern browser without compatibility issues, so that the experience is consistent" u="1"/>
        <s v="Task | 00051 - BEMISCP-11 Document migration from BIN to portal" u="1"/>
        <s v="Task | 00088 - A learner should be able to see the private page if he/she has the permission for that page" u="1"/>
        <s v="Bug |  | 01056 - Location and ShipTo filter dropdowns are missing a border in FF and IE" u="1"/>
        <s v="Feature | 00088 - SDLC Documentation" u="1"/>
        <s v="Feature | 00025 - Liferay Governance" u="1"/>
        <s v="Bug | 01421 - Bemis Logo displayed on Bemis' QA is incorrect" u="1"/>
        <s v="Task | 00057 - BEMISCP-11 Order Invoice release report" u="1"/>
        <s v="Bug |  01534 - Customer Data Sync is checking wrong address for validity" u="1"/>
        <s v="Task |  | 01332 - [Mudança evolutiva na listagem dos Vistos Emitidos e na tela de Detalhe do Visto] Ajustar os status do visto apresentado na tela de detalhe e acrescentar as bandeirinhas na tabela de resultado. " u="1"/>
        <s v="Bug | 01967 - 235 (BDT) - confirmed quantity in view details shows error " u="1"/>
        <s v="Bug |  | 00405 - In overview pages the banner and image below must fill in all screen size" u="1"/>
        <s v="Bug |  01139 - BIT-48 Padding issues with left nav menu " u="1"/>
        <s v="Bug | 03286 - UAT66 - Global Search: Unable to Display BOL" u="1"/>
        <s v="Bug |  02593 - Report Preview UI issues " u="1"/>
        <s v="Feature |  00029 - Homepage - Investor Portlet" u="1"/>
        <s v="Bug | 02364 - 337 (BDT) - Impersonating user- report generation issue stops impersonation" u="1"/>
        <s v="Feature | 02853 - Upgrade liferay bundle to DE fix-pack 13" u="1"/>
        <s v="Bug |  | 01312 - BIT-95 All reports from the Reports Landing Page" u="1"/>
        <s v="Bug |  02219 - 324 (BDT) - Inventory report- mobile devices hyperlinks in reports" u="1"/>
        <s v="Task | 00476 - Enable staging from QA to PROD (guest site)" u="1"/>
        <s v="Task |  | 00511 - Steps Components" u="1"/>
        <s v="Task | 00095 - SMS Spec Detail" u="1"/>
        <s v="Feature | 00103 - Operational indicators" u="1"/>
        <s v="Feature |  00118 - Include videos on the full story page" u="1"/>
        <s v="Task | 01775 - Theme Dependency needs to be updated due to core changes" u="1"/>
        <s v="Task | 01070 - Import of the Vaccination fields via an Excel spreadsheet - one time entry" u="1"/>
        <s v="Task |  00481 - UAT/Prod Deployment" u="1"/>
        <s v="Bug |  01548 - Customer logo is not displayed on parent or child location dashboards" u="1"/>
        <s v="Bug | 01877 - 217 (BDT) Theme- upload document screen- blue bar theme updates " u="1"/>
        <s v="Feature | 00276 - Search on Landing page" u="1"/>
        <s v="Feature |  | 00371 - Customer Profile updates from IBB" u="1"/>
        <s v="Bug |  | 02710 - 389 (BDT) - CSR AD group users are not set up properly" u="1"/>
        <s v="Bug |  | 00906 - Update Scheduled Releases data fields to allow for decimals " u="1"/>
        <s v="Bug | 02057 - 283 (BDT) - Scheduled Releases Sub-Page Line# Contains Leading Zeroes " u="1"/>
        <s v="Bug | 02485 - 380 (BDT) - Documents functionality missing add Basic Document" u="1"/>
        <s v="Bug |  01068 - Do not display Schedule Lines when confirmedQty = 0 on Orders Landing  Page" u="1"/>
        <s v="Feature | 00184 - Key Company Data" u="1"/>
        <s v="Bug |  | 02028 - 273 (BDT) - User Profile- Buyer- blank space in address information" u="1"/>
        <s v="Task |  00047 - Research and Build Theme Prototype" u="1"/>
        <s v="Bug | 01192 - BIT-135 Search in Locations filter fails when no location match is found  " u="1"/>
        <s v="Bug |  | 00806 - Ship To Filter Issue with Name Format and number of items" u="1"/>
        <s v="Bug |  | 00079 - NullPointer Exception after login in " u="1"/>
        <s v="Feature |  00447 - Search Customer Profiles" u="1"/>
        <s v="Feature | 00349 - As a co-packer, I can search globally through the system, so that I can get quick access to relevant information" u="1"/>
        <s v="Bug | 02710 - 389 (BDT) - CSR AD group users are not set up properly" u="1"/>
        <s v="Task | 01432 - [Mudança evolutiva nos filtros de pesquisa do Processo de Visto e dos Vistos emitidos] Retirar o filtro Situação da seção Beneficiário do Visto. " u="1"/>
        <s v="Task |  | 00127 - Remover google analytics" u="1"/>
        <s v="Bug |  01317 - Report Page- Open/Closed order status report- missing parameter" u="1"/>
        <s v="Feature |  00221 - Orders Landing Page" u="1"/>
        <s v="Feature |  00222 - Order Detail in Orders by Item View" u="1"/>
        <s v="Task |  | 00890 - Modifiy page 'Medical &amp; Psychological Summary'" u="1"/>
        <s v="Bug |  | 00177 - Stories page without footer" u="1"/>
        <s v="Feature |  00537 - Link from Portal Logo" u="1"/>
        <s v="Feature | 00323 - As a Sales Regional Manager, I can view a list of customers and select one or more, so that I can selectively view information pertaining to a specific customer or sub-organization within the customer" u="1"/>
        <s v="Bug |  01986 - 244 (BDT) - Order Pg Scheduled Releases/Available Qty Incorrect " u="1"/>
        <s v="Bug |  | 01491 - Customer Site Template was not updated correctly" u="1"/>
        <s v="Task |  00255 - Atividades Gerais sprint 06" u="1"/>
        <s v="Bug |  | 02362 - 336 (BDT) - CSR logged in first time; the site showing on her home page was jelsert." u="1"/>
        <s v="Bug |  01309 - BIT-92 Report Landing Page- Inventory Detail Report" u="1"/>
        <s v="Feature | 00018 - Install theme and layouts" u="1"/>
        <s v="Bug | 01841 - Shipments Cust PO" u="1"/>
        <s v="Bug |  | 00408 - Our History &gt; Adjust padding in map for IPhone" u="1"/>
        <s v="Bug |  02021 - 271 (BDT) - Orders page- hyperlinks and expand card issue" u="1"/>
        <s v="Bug | 01491 - Customer Site Template was not updated correctly" u="1"/>
        <s v="Feature | 00107  - Buyer - Shipments landing page" u="1"/>
        <s v="Task |  00025 - BEMISCP-11 Consignment - Make and Hold Aging" u="1"/>
        <s v="Task | 00228 - Allow patches to be source-controlled and installed into bundle by workspace" u="1"/>
        <s v="Feature |  00227 - Add ExpandAll option to Orders Summaries." u="1"/>
        <s v="Bug |  | 01103 - The User can not insert an amount - Internet Explorer V11- Personal Transfers" u="1"/>
        <s v="Bug |  | 00854 - Orders Page - Quantity Fields Show 0 Value" u="1"/>
        <s v="Task |  | 00639 - Apply and verify fix for CEMEX-18" u="1"/>
        <s v="Task | 00493 - Update customer inquiry based on feedback" u="1"/>
        <s v="Task | 00478 - Clean up JSP for two-factor-auth-device-manager-web" u="1"/>
        <s v="Task | 01254 - Automated Tests" u="1"/>
        <s v="Task |  | 00833 - Atividades Gerais Sprint 11" u="1"/>
        <s v="Bug |  02703 - 398 (BDT) - Tyson Shipments missing" u="1"/>
        <s v="Bug | 02591 - ORM exceptions for Customer Location data sync " u="1"/>
        <s v="Feature | 01643 - Update Sales Order Data Sync logic" u="1"/>
        <s v="Bug | 00719 - Custom-users-admin-web causes startup exceptions in portal" u="1"/>
        <s v="Feature |  01007 - Requirement changes for Reports" u="1"/>
        <s v="Bug |  01508 - NPE In Inventory Data Sync" u="1"/>
        <s v="Feature |  01879 - Update 'View Details' dropdown to include UOM" u="1"/>
        <s v="Task | 00481  - UAT/Prod Deployment" u="1"/>
        <s v="Bug | 00722 - Race condition in DataSyncEngineImpl" u="1"/>
        <s v="Task |  | 00707 - Architectural discussions for Sprint 5" u="1"/>
        <s v="Feature | 00178 - Change order" u="1"/>
        <s v="Bug | 01265 - Bemis Logo Compression/Crowding" u="1"/>
        <s v="Bug |  | 00978 - Portlet 'Candiate Photo' is failing with an error" u="1"/>
        <s v="Bug |  00804 - Parent Customer Profile name displayed is incorrect" u="1"/>
        <s v="Bug |  | 01324 - BIT-134 Hide Edit options that Buyers do not have access to " u="1"/>
        <s v="Feature |  | 00326 - Search &amp; browse - customer &amp; user profiles - Sales restricted view" u="1"/>
        <s v="Bug | 03048 - 526 BDT - Sales order line not displaying on Orders page depending on who is logged on to the account" u="1"/>
        <s v="Feature |  00030 - Search function on menu bar" u="1"/>
        <s v="Bug |  01563 - SAP Order 541116 Missing" u="1"/>
        <s v="Feature |  | 00514 - Release Report" u="1"/>
        <s v="Bug |  | 01030 - Add open condition to Search Orders" u="1"/>
        <s v="Bug | 00127 - Bugs can be moved to Done anytime" u="1"/>
        <s v="Ballpark - Demand | 00000 - Dummy Feature of Tools - Dashboard" u="1"/>
        <s v="Bug |  00804 - User Customer Name (Employer) is incorrect" u="1"/>
        <s v="Feature |  00331 - Logistics - Products/Items - Pending Shipments - no pricing" u="1"/>
        <s v="Feature |  | 01879 - Update 'View Details' dropdown to include UOM" u="1"/>
        <s v="Task |  | 00316 - Install Audience Targeting on QA servers" u="1"/>
        <s v="Bug |  00128 - Adjust homepage layout in different screen resolutions" u="1"/>
        <s v="Feature |  | 00361 - Footer" u="1"/>
        <s v="Feature |  00293 - About Us &gt; Position Papers" u="1"/>
        <s v="Bug |  | 01997 - 260 (BDT) - Orders page- tablet view change page orientation from portrait to landscape" u="1"/>
        <s v="Task |  00456 - Test stronger instance types to see relation to slow Liferay startup" u="1"/>
        <s v="Bug | 01268 - Product Description displaying incorrectly" u="1"/>
        <s v="Bug | 02214 - Not all shipments are being synced from IBB" u="1"/>
        <s v="Bug |  00180 - White spaces above images in story pages template 2" u="1"/>
        <s v="Bug |  | 02375 - Order and Release Duplicate Exceptions  " u="1"/>
        <s v="Bug |  | 00113 - Pie Charts are only displaying one column of data" u="1"/>
        <s v="Bug |  | 01268 - Product Description displaying incorrectly" u="1"/>
        <s v="Feature | 00014 - Capture user info" u="1"/>
        <s v="Feature | 00535 - User Profile Dropdown" u="1"/>
        <s v="Feature |  | 00011 - Carousel with three images and timer" u="1"/>
        <s v="Bug | 02734 - BDT 430 Reports are not downloading and refreshing automatically" u="1"/>
        <s v="Bug |  02117 - 303 (BDT) - Releases page in page wildcard search on description" u="1"/>
        <s v="Feature |  | 03045 -  BDT 489 - Portal LDAP configuration change" u="1"/>
        <s v="Bug | 01450 - BIT-157 Wording on Dynamic Reports preview page needs to be changed to improve usability" u="1"/>
        <s v="Task |  01254 - Automated Tests" u="1"/>
        <s v="Bug | 02028 - 273 (BDT) - User Profile- Buyer- blank space in address information" u="1"/>
        <s v="Bug |  | 02232 - 330 (BDT) - Order Pg Bemis Product ID missing" u="1"/>
        <s v="Feature |  | 00029 - Stock ticker portlet" u="1"/>
        <s v="Task |  00587 - Register Device adjustments" u="1"/>
        <s v="Bug |  00188 - Fix java script errors" u="1"/>
        <s v="Bug | 01191 - Select All and Clear All links in Location filter do not work" u="1"/>
        <s v="Feature |  | 01981 - Logging Updates" u="1"/>
        <s v="Task | 00567 - Add FB Pixel snippet to theme" u="1"/>
        <s v="Bug | 00306 - Break page buttons evenly, centered" u="1"/>
        <s v="Feature | 00237 - Buyer Access to Order Documents" u="1"/>
        <s v="Feature |  01211 - Wildcard search for certain fields" u="1"/>
        <s v="Task | 00971 - Automated test sprint 9" u="1"/>
        <s v="Feature |  | 00297 - Browser compatibility" u="1"/>
        <s v="Bug |  01863 - 204 (BDT) Report Parameters Optional Columns Invoice History Report" u="1"/>
        <s v="Feature |  | 00305 - Co-Packer - Role by Ship To" u="1"/>
        <s v="Feature |  | 02454 - 376 (BDT) - Open and Closed Order Status Report- update to parameters from order page card button" u="1"/>
        <s v="Bug |  02227 - IBB Data Sync Performance " u="1"/>
        <s v="Bug |  | 01509 - Exception for some Order Data Syncs" u="1"/>
        <s v="Bug | 03269 - Pagination Page Select Popup Bug (BDT 624)" u="1"/>
        <s v="Bug | 01296 - Improve data sync logging to capture invalid data" u="1"/>
        <s v="Task |  | 00171 - Replace stock images with real images from Bank of America" u="1"/>
        <s v="Feature | 00332 - Logistics - Products/Items Shipped items no pricing" u="1"/>
        <s v="Feature | 00226 - Filter Orders by user Locations" u="1"/>
        <s v="Bug |  00829 - Order Description not wrapping correctly" u="1"/>
        <s v="Feature | 02373 - Remove space from DL file names" u="1"/>
        <s v="Feature | 00407 - Search function on menu bar" u="1"/>
        <s v="Task |  | 00372 - E2.1 Login - Use SoapUI to validate WSDL/WS" u="1"/>
        <s v="Feature |  | 00077 - Import Users and Groups from AD" u="1"/>
        <s v="Task | 00076 - Disponibilizar nas páginas iniciais do sites da &quot;PT BR Internal&quot; e &quot;AA BR Internal&quot; o conteúdo de SlideShow com os links e figuras do ambiente de qualidade atual" u="1"/>
        <s v="Bug |  | 01986 - 244 (BDT) - Order Pg Scheduled Releases/Available Qty Incorrect " u="1"/>
        <s v="Bug |  | 00312 - Non-ACR User can see ACR Form button on home page" u="1"/>
        <s v="Feature |  00018 - Concrete Incubator webcontent" u="1"/>
        <s v="Task | 00052 - BEMISCP-11 BHP - Bulk upload of users" u="1"/>
        <s v="Task | 00582 - Mobile display problems" u="1"/>
        <s v="Feature |  01019 - Link Bemis/TheHub Logo back CSR Bemis Site" u="1"/>
        <s v="Feature |  00513 - Release Search" u="1"/>
        <s v="Task |  00002 - Request a DNS update from Cemex to add subdomains to point to new AWS environment" u="1"/>
        <s v="Bug | 00408 - Our History &gt; Adjust padding in map for IPhone" u="1"/>
        <s v="Bug | 02885 - (BDT 467) - Releases and Shipments do not display for new customer setup " u="1"/>
        <s v="Feature | 00211 - Style and colors" u="1"/>
        <s v="Bug | 01868 - 209 (BDT) Report Page test- deleting reports in download folder" u="1"/>
        <s v="Bug |  01262 - BIT-143 Sub-header font color on Reports Landing page are incorrect" u="1"/>
        <s v="Feature | 00110 - Buyer - Show Expanded Shipment View" u="1"/>
        <s v="Feature |  | 00074 - Related articles" u="1"/>
        <s v="Feature |  00374 - Shipment updates from IBB" u="1"/>
        <s v="Task |  00478 - Clean up JSP for two-factor-auth-device-manager-web" u="1"/>
        <s v="Task | 00051 - Update Notification service" u="1"/>
        <s v="Bug |  02880 - User navigates to blank portal page  " u="1"/>
        <s v="Task |  01606 - Automated Tests SP8 PQ3" u="1"/>
        <s v="Bug |  02359 - 318 (BDT) - Shipment Sub Page ship date view in ascending order" u="1"/>
        <s v="Bug |  | 01317 - BIT-74 Report Page- Open/Closed order status report- missing parameter" u="1"/>
        <s v="Bug |  | 00012 - Images have disappeared from Qwipper" u="1"/>
        <s v="Feature |  | 00377 - Our History" u="1"/>
        <s v="Bug | 00086 - Have too many errors for the developer license limit " u="1"/>
        <s v="Task |  00710 - Automated Tests" u="1"/>
        <s v="Feature | 00265 - As a buyer, I can see Pending Shipment Quantity for a specific item, so that I know how much product to expect" u="1"/>
        <s v="Bug |  | 01063 - Información incorrecta de cuentas ahorro en la lista desplegable de cuenta ahorro" u="1"/>
        <s v="Bug |  | 02468 - 378 (BDT) - Report Functionality- limit to reports showing per page but not additional pages to view" u="1"/>
        <s v="Bug |  | 02964 - 487 (BDT) - Issues with ship to filter" u="1"/>
        <s v="Task |  | 00273 - [Ajuste identificado no review sprint 05] Mudar as cores dos status do processo na tela de detalhe do Processo de visto e fixar o tamanho da exibição do mesmo" u="1"/>
        <s v="Bug | 02635 - 402 (BDT) - Data Sync process does not clear the &quot;lastErrorMessage&quot; col. when sync is successful" u="1"/>
        <s v="Task |  | 00510 - Investigate rejected SVG icons in Chrome when using CDN" u="1"/>
        <s v="Feature | 00011 - All Projects Configuration" u="1"/>
        <s v="Feature |  00509 - Download Invoice and BoL " u="1"/>
        <s v="Bug |  | 01218 - Landing page redirection does not work when impersonating" u="1"/>
        <s v="Bug |  | 01420 - BIT-103 Time, status and report freezes" u="1"/>
        <s v="Bug | 01318 - BIT-73 Report Time not correct" u="1"/>
        <s v="Task |  01847 - Update Mock Services for changes to Data Sync" u="1"/>
        <s v="Bug |  | 01075 - -Third party transfer- If the user Refresh the browser page (F5) in the step &quot;Verificar&quot;, the system redirect the user to &quot;Transferencia cuentas propias&quot; screen. " u="1"/>
        <s v="Task |  | 00037 - BEMISCP-11 Entitlements - Proc Mgr - Negotiations - CRM" u="1"/>
        <s v="Task |  | 00266 - Create data sync process to bulk upload data from IBB" u="1"/>
        <s v="Bug |  00820 - Enter the portal without logging back" u="1"/>
        <s v="Feature | 00256 - View Customer Profile" u="1"/>
        <s v="Task |  00067 - BEMISCP-11 Document Metadata Extraction Strategy" u="1"/>
        <s v="Task |  | 01018 - Atividades de ambiente e automação Sprint 14/15" u="1"/>
        <s v="Bug |  | 02546 - 388 (BDT) - Inventory Pg Standard Pallet Qty Rounding Issue" u="1"/>
        <s v="Task |  | 00049 - Update implementation for Notifier entity service (formerly Configuration)" u="1"/>
        <s v="Bug | 02395 - 371 (BDT) Commas missing on qty fields on Scheduled Release and Doned Shipment Page " u="1"/>
        <s v="Feature | 02783 - 441(BDT) - Data Sync Module Execution " u="1"/>
        <s v="Feature |  00021 - Asset publisher filter" u="1"/>
        <s v="Task | 00589 - Review page structure and templates" u="1"/>
        <s v="Bug | 02959 - BDT 483- Forgot Password error message" u="1"/>
        <s v="Feature |  02853 - Upgrade liferay bundle to DE fix-pack 13" u="1"/>
        <s v="Feature |  00141 - Country micro site subpages" u="1"/>
        <s v="Bug | 02431 - 365 (BDT) - On Hand Inventory- mobile- click link on orders page takes you to completed shipments tab" u="1"/>
        <s v="Bug | 01647 - Telefone não está sendo salvo" u="1"/>
        <s v="Bug |  | 00179 - Internet Explorer Story List Text Missing" u="1"/>
        <s v="Task |  | 00609 - Create a page layout so that the Document and Media Store portlet can span across the entire page" u="1"/>
        <s v="Task |  00925 - Internal SIM users should be added to the SIM organization automatically upon first login" u="1"/>
        <s v="Bug | 01451 - BIT-159 CSR- editing buyer profile" u="1"/>
        <s v="Task |  | 01065 - Have a way to restrict permissions in Receiving role" u="1"/>
        <s v="Bug |  01311 - BIT-94 All Reports from Reports Landing Page- Optional column formatting" u="1"/>
        <s v="Task |  | 00523 - Configure and run AWS Inspector" u="1"/>
        <s v="Feature |  | 00110 - Buyer - Show Expanded Shipment View" u="1"/>
        <s v="Bug |  | 01065 - Theme display in Bemis QA is not correct" u="1"/>
        <s v="Bug | 00113 - Pie Charts are only displaying one column of data" u="1"/>
        <s v="Bug |  | 02024 - 247 (BDT) - Inventory Delete Functionality - Old Inventory data showing on Screen" u="1"/>
        <s v="Feature |  00416 - Adjustments throughout the portal" u="1"/>
        <s v="Bug |  | 02216 - 291 (BDT) - Release Pg Release PO incorrect" u="1"/>
        <s v="Bug |  | 00855 - Orders Page - Marshal Orders with NULL Statuses Displayed" u="1"/>
        <s v="Bug | 01292 - The 'Bemis QA Portal Data' spreadsheet shows inventory data but the sales order is not on the orders tab" u="1"/>
        <s v="Dummy Feature |  | 00000 - Dummy Feature of  | 00630 - Need Credentials for the Following Users" u="1"/>
        <s v="Bug | 01060 - System does a wrong transfer, after a sucessful first transfer." u="1"/>
        <s v="Dummy Feature |  | 00000 - Dummy Feature of  | 00057 - Tools - Sizing" u="1"/>
        <s v="Bug |  | 00944 - Two Bugs related to Search " u="1"/>
        <s v="Task | 00514 - Research &amp; Apply URL Rewrite for URL containing String .aspx" u="1"/>
        <s v="Feature |  01396 - Allow Buyers to update display settings " u="1"/>
        <s v="Bug |  01271 - Fix date range for From and To fields" u="1"/>
        <s v="Bug |  | 00832 - Interface between SIMPS and IPS - issues that have been identified" u="1"/>
        <s v="Feature |  | 00445 -  View/Edit User Profile" u="1"/>
        <s v="Bug |  02048 - 277 (BDT) - On hand Inventory page- tablet- Batch # is hyperlinked" u="1"/>
        <s v="Bug | 01642 - Menu não tem o hint traduzido" u="1"/>
        <s v="Feature |  | 01443 - Update date limit on Global Search " u="1"/>
        <s v="Bug | 01415 - BIT-129 Invoice Report Field" u="1"/>
        <s v="Feature | 03036 - On Hand Qty displayed for Doned shipment (BDT 518) CR53" u="1"/>
        <s v="Task | 00913 - Automated test sprint 7" u="1"/>
        <s v="Task |  00372 - E2.1 Login - Use SoapUI to validate WSDL/WS" u="1"/>
        <s v="Feature |  00370 - Order updates from IBB" u="1"/>
        <s v="Bug |  | 01751 - Edit Links on the User profile view are not visible with menu expanded" u="1"/>
        <s v="Bug |  | 01071 - Login, Personal and Third party transfers - Arrows on dropdown menus don't change when the menu is opened" u="1"/>
        <s v="Bug |  | 01057 - User profile editing is accessible to users other than the profile owner." u="1"/>
        <s v="Task | 00399 - Convert actual Dashboard to Angular" u="1"/>
        <s v="Feature |  | 00364 - Buyer expanded view of orders by PO" u="1"/>
        <s v="Feature | 01211 - Wildcard search for certain fields" u="1"/>
        <s v="Task | 00372 - E2.1 Login - Use SoapUI to validate WSDL/WS" u="1"/>
        <s v="Bug |  02214 - Not all shipments are being synced from IBB" u="1"/>
        <s v="Bug |  00175 - Sprint 2 minor fixes" u="1"/>
        <s v="Bug |  01198 - BIT-146 Customer Address does not display on Customer Profile" u="1"/>
        <s v="Feature | 00063 - Show full story on Media Center" u="1"/>
        <s v="Feature |  | 00010 - Add status: draft, published, archived, invisible " u="1"/>
        <s v="Feature | 02976 - Source System Deletes - CR50 and CR51" u="1"/>
        <s v="Bug |  | 01077 - Nombre del Paso 1 de cuentas propias incorrecto." u="1"/>
        <s v="Feature | 01687 - Create a hook so that CSR users can see which users have Doned setup" u="1"/>
        <s v="Task | 01018 - Atividades de ambiente e automação Sprint 14/15" u="1"/>
        <s v="Feature |  00083 - Manage DL folder &amp; files" u="1"/>
        <s v="Task | 00637 - Apply and verify fix for CEMEX-13" u="1"/>
        <s v="Bug |  | 02094 - 286 (BDT) - Release Pg Scheduled Release Qty UoM missing" u="1"/>
        <s v="Bug | 01335 - 3 Marshal Deliveries not showing in Doned Shipments page " u="1"/>
        <s v="Bug |  | 01060 - System does a wrong transfer, after a sucessful first transfer." u="1"/>
        <s v="Feature |  | 00015 - Place remaining Webcontents on Homepage" u="1"/>
        <s v="Feature |  | 03037 - 517 BDT - Ship To filters should be checked" u="1"/>
        <s v="Bug |  | 01191 - Select All and Clear All links in Location filter do not work" u="1"/>
        <s v="Bug |  02369 - Multiple threads may cause NTLM errors in DataSync" u="1"/>
        <s v="Task |  00003 - Setup LCS activation" u="1"/>
        <s v="Task | 01606 - Automated Tests SP8 PQ3" u="1"/>
        <s v="Bug |  | 02633 - 387 (BDT) - Missing any Shipments for Premium Waters" u="1"/>
        <s v="Feature |  02864 - Source System Deletes" u="1"/>
        <s v="Task | 00667 - Apply ADT fix for FP 15" u="1"/>
        <s v="Bug |  | 01310 - BIT-93 Report Landing Page- Inventory Detail Report- remove unnecessary Parameters" u="1"/>
        <s v="Feature | 00455 - Media &gt; Overview" u="1"/>
        <s v="Feature |  | 02716 - 423 (BDT) - Have LDAP and portal Password policy both enabled " u="1"/>
        <s v="Bug |  02635 - 402 (BDT) - Data Sync process does not clear the &quot;lastErrorMessage&quot; col. when sync is successful" u="1"/>
        <s v="Feature | 01873 - 211 (BDT) Report parameter issue from page view buttons- Open and Closed/ Releases and Shipment History " u="1"/>
        <s v="Task | 03233 - Task without assignee BEMISCP" u="1"/>
        <s v="Task | 00002 - Request a DNS update from Cemex to add subdomains to point to new AWS environment" u="1"/>
        <s v="Feature |  | 00242 - Link Product Id in Orders Detail to Product Spec Page." u="1"/>
        <s v="Feature | 00006 - Add version" u="1"/>
        <s v="BALLPARK - Demand | M | 00000 - Need Credentials for the Following Users" u="1"/>
        <s v="Feature |  00217 - Update Customer logo" u="1"/>
        <s v="Bug |  02094 - 286 (BDT) - Release Pg Scheduled Release Qty UoM missing" u="1"/>
        <s v="Task | 00686 - QA test FP15 and hotfix 815" u="1"/>
        <s v="Feature |  | 00033 - REST service for Enhanced Groups" u="1"/>
        <s v="Feature | 00009 - Connect Liferay with Azure File Storage " u="1"/>
        <s v="Task |  | 00965 - Part of Phase 1.5 - A number of small changes" u="1"/>
        <s v="Feature | 00520 - Release updates from IBB" u="1"/>
        <s v="Task |  00266 - Create data sync process to bulk upload data from IBB" u="1"/>
        <s v="Bug |  01324 - BIT-134 Hide Edit options that Buyers do not have access to " u="1"/>
        <s v="Feature |  | 00257 - Packing List Report - SSRS" u="1"/>
        <s v="Bug |  | 01875 - 214 (BDT)Theme test- excel logo wrong color and font spacing incorrect" u="1"/>
        <s v="Task |  00050 - Create portlet to add location based configurations" u="1"/>
        <s v="Feature |  | 00166 - Add behavior to Homepage links" u="1"/>
        <s v="Bug | 03034 - Failover Testing: 500 - Internal Server Error" u="1"/>
        <s v="Task |  00034 - BEMISCP-11 Dynamic build of field selection for building reports (SSRS)" u="1"/>
        <s v="Bug |  | 01292 - The 'Bemis QA Portal Data' spreadsheet shows inventory data but the sales order is not on the orders tab" u="1"/>
        <s v="Task |  | 00889 - Add a new page on the Member &amp; Associates template for Experience, Skills, References &amp; General Comments" u="1"/>
        <s v="Bug | 01261 - BIT-68 Optional fields not correctly formatted or are missing in open and closed order report" u="1"/>
        <s v="Bug |  | 01070 - When the user type a word and then delete it in &quot;Descripción&quot; field, the default &quot;Descripción&quot; name's disappear in the step &quot;Verificar&quot;." u="1"/>
        <s v="Feature | 00373  - *DELETE* User Profile updates from IBB" u="1"/>
        <s v="Feature | 00138 - Carousel for full story pages" u="1"/>
        <s v="Feature |  00002 - Multi-criteria search" u="1"/>
        <s v="Feature |  | 00270 - Browse Customer Profiles" u="1"/>
        <s v="Bug | 01151 - CSR should have access to limited control panel " u="1"/>
        <s v="Feature | 00255 - Shipment History" u="1"/>
        <s v="Feature | 01127 - Create Page for CSRs to View Customer Locations " u="1"/>
        <s v="Bug | 01119 - BIT-145 State, zip and Country details missing from Ship From location on Releases Page" u="1"/>
        <s v="Dummy Feature |  | 00000 - Dummy Feature of  | 00056 - Tools - Worklogger" u="1"/>
        <s v="Bug |  02827 - Typo in reset password page" u="1"/>
        <s v="Ballpark - Demand |  | 00000 - Dummy Feature of Tools - Sonar" u="1"/>
        <s v="Feature | 03020 - Shipments - handle BAG UoM values" u="1"/>
        <s v="Bug | 02130 - 306 (BDT) - Orders Page-Report button" u="1"/>
        <s v="Bug | 01305 -   Multiple Fields showing incorrectly on the Orders Landing Page. " u="1"/>
        <s v="Bug |  | 01069 - Notifications appear overlapped" u="1"/>
        <s v="Task |  | 00670 - Automated tests for Sprint 4" u="1"/>
        <s v="Feature | 00219 - As a Staff, I wish to see a list of customers and select the customer's site to view" u="1"/>
        <s v="Bug | 03197 - BDT 602 -  First time login doesn show the MENU on the Bemis site" u="1"/>
        <s v="Bug |  | 01065 - Wrong amount reported in &quot;Total a debitar hoy&quot; on Step #2 (3rd party transfer)." u="1"/>
        <s v="Feature | 00389 - Create a sign in page" u="1"/>
        <s v="Feature |  | 01173 - BIT-49 Ship To Filter Name &amp; Address Info Missing in Portal" u="1"/>
        <s v="Task |  00037 - BEMISCP-11 Entitlements - Proc Mgr - Negotiations - CRM" u="1"/>
        <s v="Task | 00023 - Specific Training" u="1"/>
        <s v="Task |  00511 - Identify .lpkg files in default bundle which we don't need to speepup the initial Tomcat start" u="1"/>
        <s v="Bug |  | 00396 - Glyph errors in logs when resetting file previews" u="1"/>
        <s v="Bug |  | 00115 - Ajustments in full stories layout" u="1"/>
        <s v="Bug | 03320 - UAT 71- Bemis validation test user- change locations for user; records appearing that should not" u="1"/>
        <s v="Feature | 00376 - Generate Order Reports" u="1"/>
        <s v="Feature | 00355 - As a buyer, I can sort on the shipments landing page based on certain criteria, so that I can better organize the information" u="1"/>
        <s v="Bug | 01876 - 216 (BDT) Theme Generate Report link wrong color " u="1"/>
        <s v="Ballpark - Demand |  | 00000 - Dummy Feature of Sustainability" u="1"/>
        <s v="Task |  00049 - Update implementation for Notifier entity service (formerly Configuration)" u="1"/>
        <s v="Bug | 01070 - When the user type a word and then delete it in &quot;Descripción&quot; field, the default &quot;Descripción&quot; name's disappear in the step &quot;Verificar&quot;." u="1"/>
        <s v="Feature |  | 02864 - CR45 - Shipment Deletes" u="1"/>
        <s v="Task | 00049 - BEMISCP-11 Customer Terms (Payment, Freight, Incoterms)" u="1"/>
        <s v="Bug | 01987 - 245 (BDT) - Order Pg View Details Schedule Lines Sorted Incorrectly" u="1"/>
        <s v="Feature | 00347 - Product values in different currencies" u="1"/>
        <s v="Bug |  | 00039 - Update subtask when parent update some fields" u="1"/>
        <s v="Bug |  | 01290 - Pinnacle Foods/Ethicon Inc SAP Orders missing in Orders Page" u="1"/>
        <s v="Feature | 00515 - Report Definition Parsing" u="1"/>
        <s v="Bug |  01043 - Issues within IPS PROD at this time that need to be cleared up." u="1"/>
        <s v="Task |  | 01025 - Revisions to Migration/Update process from SIMPS" u="1"/>
        <s v="Task |  00051 - Update Notification service" u="1"/>
        <s v="Feature |  | 00234 - Services Page" u="1"/>
        <s v="Bug | 01878 - 218 (BDT) Theme My Company Locations Font Color" u="1"/>
        <s v="Task |  00037 - Solr Spell Suggest progress and artefacts" u="1"/>
        <s v="Feature | 01441 - Update date limit on Shipment Page search " u="1"/>
        <s v="Task |  | 00930 - Create  Query for AIF form" u="1"/>
        <s v="Task | 00462 - Patching does not work on Windows" u="1"/>
        <s v="Task | 00710 - Automated Tests" u="1"/>
        <s v="Bug | 02342 - 332 (BDT) - Schedule Line View Details Link Missing for some records" u="1"/>
        <s v="Task |  | 00095 - SMS Spec Detail" u="1"/>
        <s v="Bug |  00568 - Publishing via PROD ELB is failing" u="1"/>
        <s v="Bug | 00652 - Gradle task distBundleZip does not build/deploy themes" u="1"/>
        <s v="Bug | 02703 - 398 (BDT) - Tyson Shipments missing" u="1"/>
        <s v="Bug | 02093 - 284 (BDT) - Scheduled Releases Sub-Pg cards missing " u="1"/>
        <s v="Bug |  02697 - Duplicate key row in object 'dbo.Bemis_Order'" u="1"/>
        <s v="Task | 00073 - Comb through tickets and label the IBB tickets" u="1"/>
        <s v="Feature |  00802 - List Releases of specifc Order" u="1"/>
        <s v="Bug |  | 01448 - BIT-154 User Agreement Link does not display for Buyers" u="1"/>
        <s v="Feature | 02489 - Change Requested Date Logic" u="1"/>
        <s v="Bug |  00805 - On the Customer profile page format is incorrect" u="1"/>
        <s v="Feature | 00512 - Release expanded view" u="1"/>
        <s v="Ballpark - Demand | 00000 - Dummy Feature of User Management" u="1"/>
        <s v="Bug | 01062 - The screen &quot;Detalle de la recurrencia - Indefinida-&quot; has an extra field  &quot;Última transacción&quot;  that should not appear." u="1"/>
        <s v="Feature |  00346 - Create page to show on-hand quantity for product in order detail." u="1"/>
        <s v="Feature |  00406 - Adjust forms layouts" u="1"/>
        <s v="Task |  | 00065 - BEMISCP-11 Custom reports investigation" u="1"/>
        <s v="Bug |  01194 - 'Show More' link missing from Report description" u="1"/>
        <s v="Feature | 00512 - Release Details" u="1"/>
        <s v="Bug | 02337 - Pallet Field should display as Est. Pallet Count" u="1"/>
        <s v="Bug |  01316 - BIT-78 All Reports- Default Column Fields " u="1"/>
        <s v="Bug |  | 01766 - Fixes needed for View Details dropdown desktop and mobile views" u="1"/>
        <s v="Bug |  | 01449 - Descriptions are not showing 40 characters before ellipses " u="1"/>
        <s v="Task | 00037 - Solr Spell Suggest progress and artefacts" u="1"/>
        <s v="Task |  | 00818 - Need to Simplify the way to add a Candidate Photo" u="1"/>
        <s v="Feature | 00242 - Link Product Id in Orders Detail to Product Spec Page." u="1"/>
        <s v="Bug |  | 00820 - Enter the portal without logging back" u="1"/>
        <s v="Feature |  00376 - Generate Order Reports" u="1"/>
        <s v="Bug |  02225 - Pull Shipment Order Information from Delivery Service" u="1"/>
        <s v="Bug |  | 00941 - Explore the reason why the QA environment does not send email notification" u="1"/>
        <s v="Bug |  | 03034 - Failover Testing: 500 - Internal Server Error" u="1"/>
        <s v="Bug |  | 01081 - Adding more than  + 10 Transfer accounts, Internet Explorer Stop Working. -Third party transfers- " u="1"/>
        <s v="Bug | 02450 - Failures in initial data sync does cause a full data sync to occur in the next data sync interval" u="1"/>
        <s v="Task | 01504 - Automated Tests SP7 PQ3" u="1"/>
        <s v="Feature |  00211 - Stock Information page" u="1"/>
        <s v="Bug | 02219 - 324 (BDT) - Inventory report- mobile devices hyperlinks in reports" u="1"/>
        <s v="Feature |  | 02990 - Update deployment scripts to preserve old releases" u="1"/>
        <s v="Bug |  00576 - Home page &quot;More&quot; button does not work for Internet Explorer 10 or 11" u="1"/>
        <s v="Feature |  00017 - Workflows Customizations" u="1"/>
        <s v="Feature | 00198 - (UX) As a CSR, I can view a list of customers and select one or more, so that I can selectively view information pertaining to a specific customer or sub-organization within the customer." u="1"/>
        <s v="Feature | 00156 - Portal Admin - Ext User - Groups &amp; Roles" u="1"/>
        <s v="Task |  | 00956 - Creation of 3 Queries" u="1"/>
        <s v="Task |  | 00025 - Configuração da infraestrutura de DevOps" u="1"/>
        <s v="Bug | 01212 - Clicking on Shipped Qty or Scheduled Releases throws an error" u="1"/>
        <s v="Task |  | 00872 - Setup initial content (locations, configurations, admin users) for new DEV environment" u="1"/>
        <s v="Bug | 01195 -  Icons do not display properly on the Global Search Results Page" u="1"/>
        <s v="Bug | 02020 - 267 (BDT) - General mobile design- menu should automatically collapse " u="1"/>
        <s v="Bug | 02195 - 311 (BDT) - ERC 649A- Orders Page- report on main page has been incorrectly replaced" u="1"/>
        <s v="Task |  | 00640 - Apply and verify fix for CEMEX-23" u="1"/>
        <s v="Feature |  00445 -  View/Edit User Profile" u="1"/>
        <s v="Task |  00035 - BEMISCP-11 Notifications - Timelines, triggers, messages, templates, internal vs email" u="1"/>
        <s v="Bug | 00820 - Enter the portal without logging back" u="1"/>
        <s v="Bug | 01294 - Poly Orders missing in portal" u="1"/>
        <s v="Bug | 02089 - 261 (BDT) - Missing Open Scheduled Release Info" u="1"/>
        <s v="Task |  | 00056 - BEMISCP-11 Can the same release PO or BOL have multiple invoices?" u="1"/>
        <s v="Feature |  01728 - Update Customer Profiles default order" u="1"/>
        <s v="Task | 00384 - Setup Bemis Development Infrastructure" u="1"/>
        <s v="Feature | 00010 - Configure Elasticsearch with Azure local instance storage" u="1"/>
        <s v="Feature |  00088 - Customer Org Hierarchy" u="1"/>
        <s v="Bug |  | 01967 - 235 (BDT) - confirmed quantity in view details shows error " u="1"/>
        <s v="Task | 00583 - Create microsite page for Switzerland" u="1"/>
        <s v="Dummy Feature |  | 00000 - Dummy Feature of  | 00065 - Roles Configuration" u="1"/>
        <s v="Task | 00042 - BEMISCP-11 Watchlist - Orders / Items (Like starring an email)" u="1"/>
        <s v="Bug |  01995 - 257 (BDT) - Orders page- mobile footer cutting off fields" u="1"/>
        <s v="Feature |  | 00278 - Notes create/edit - Buyer view" u="1"/>
        <s v="Feature |  00351 - Location selection persists from page to page (within session)" u="1"/>
        <s v="Bug | 03380 - BDT 628 - Preview Button action not working for Inventory Detail and Handling Unit Reports" u="1"/>
        <s v="Feature | 00124 - View closed orders in Order Views" u="1"/>
        <s v="Feature | 00371 - Customer Profile updates from IBB" u="1"/>
        <s v="Feature | 00107 - Shipments Landing Page" u="1"/>
        <s v="Feature | 00099 - Add sorting capability to Site REST API" u="1"/>
        <s v="Feature | 00150 - Company profile page" u="1"/>
        <s v="Bug |  02349 - 238 (BDT) - Item Level Report Preview is blank   " u="1"/>
        <s v="Task |  00011 - Parking Lot" u="1"/>
        <s v="Bug |  | 02918 - BDT 474 Reporting errors for Customer id 0138680" u="1"/>
        <s v="Bug |  | 00585 - Page Fix for Careers page" u="1"/>
        <s v="Bug |  | 01104 - The User can not insert an amount - Internet Explorer V11- Third party transfers" u="1"/>
        <s v="Feature |  00110 - Buyer - Show Expanded Shipment View" u="1"/>
        <s v="Task | 01120 - IPS - Import from SIM Australia for IPS information" u="1"/>
        <s v="Task | 00072 - Where to get Actual/Standard pallet quantity for rolls/boxes/cartons" u="1"/>
        <s v="Feature |  | 02692 - ID 4191/4190 Update the CSR permissions to be organization based" u="1"/>
        <s v="Feature | 00152 - Management Team" u="1"/>
        <s v="Bug |  | 02129 - 305 (BDT) - Invoice Report- tablet and iphone additional columns selection issue" u="1"/>
        <s v="Task |  | 01847 - Update Mock Services for changes to Data Sync" u="1"/>
        <s v="Task | 01102 - Export to SIMPS enhancements required" u="1"/>
        <s v="Feature | 00074 - Related articles" u="1"/>
        <s v="Feature | 00214 - View Notifications" u="1"/>
        <s v="Feature |  | 00515 - Report Definition Parsing" u="1"/>
        <s v="Task | 01061 - Códigos de Tarjeta Token no se están validando de manera correcta al realizar una transacción a terceros." u="1"/>
        <s v="Feature | 00295 - As a CSR, I can run and view the 5 internal and 4 external reports available to me, so that I can see my customer data in report format" u="1"/>
        <s v="Bug | 02114 - 298 (BDT) - Releases - subpage- tablet view error" u="1"/>
        <s v="Bug | 01974 - Login in container errors block login input" u="1"/>
        <s v="Feature | 00230 - Create/edit Order Note" u="1"/>
        <s v="Bug |  02461 - 385 (BDT) Manufacture Data is missing from the On Hand Inventory sub-page" u="1"/>
        <s v="Task |  | 00372 - Atividades do Workflow (Processo de contratação)" u="1"/>
        <s v="Task | 01025 - Revisions to Migration/Update process from SIMPS" u="1"/>
        <s v="Bug | 00545 - Two Factor Authentication - Verification Code Error" u="1"/>
        <s v="Bug |  | 01264 - BIT-142 Cust Item Font color on Item detail view is incorrect" u="1"/>
        <s v="Feature |  00152 - Management Team" u="1"/>
        <s v="Bug |  | 00688 - DataSync background tasks are not being cleaned up from DB when successfully completed" u="1"/>
        <s v="Bug | 00156 - Test to Done" u="1"/>
        <s v="Feature |  00107 - Buyer - Shipments landing page" u="1"/>
        <s v="Feature | 00445  -  View/Edit User Profile" u="1"/>
        <s v="Task |  | 00052 - BEMISCP-11 BHP - Bulk upload of users" u="1"/>
        <s v="Ballpark - Demand |  | 00000 - Dummy Feature of Need Credentials for the Following Users" u="1"/>
        <s v="Bug |  02205 - 315 (BDT) - Hyperlinks not working on shipments page for Carrier" u="1"/>
        <s v="Bug |  01451 - BIT-159 CSR- editing buyer profile" u="1"/>
        <s v="Feature |  | 00325 - As a CSR Manager, I can view a list of customers and select one or more, so that I can selectively view information pertaining to a specific customer or sub-organization within the customer" u="1"/>
        <s v="Bug | 01641 - Menu não exibe os submenus" u="1"/>
        <s v="Bug | 00753 - Fix Gradle theme build " u="1"/>
        <s v="Bug |  | 02700 - Buyers need to have ability to delete for specific folders " u="1"/>
        <s v="Task |  01225 - [Ajuste na tela de recuperação de caução SIGEX-1048] Ajustar comportamento do sistema para refletir a caução recuperada." u="1"/>
        <s v="Task |  00040 - BEMISCP-11 Logistics - Product in transit" u="1"/>
        <s v="Feature |  | 00343 - As a buyer, I can be linked to webcenter/solutioncenter when viewing a product detail, so that I can see the details of graphics status" u="1"/>
        <s v="Bug | 00858 - The root directory for Advanced File Store is not parsed correctly" u="1"/>
        <s v="Feature | 00110  - Buyer - Show Expanded Shipment View" u="1"/>
        <s v="Bug |  | 02021 - 271 (BDT) - Orders page- hyperlinks and expand card issue" u="1"/>
        <s v="Bug | 02880 - User navigates to blank portal page  " u="1"/>
        <s v="Feature |  00009 - Place webcontent in the grid acording to wireframe" u="1"/>
        <s v="Bug |  | 02935 - Documents page- title running off of screen box" u="1"/>
        <s v="Bug |  | 01256 - BOL and INVOICE Hyperlink fails to load PDF" u="1"/>
        <s v="Bug |  02362 - 336 (BDT) - CSR logged in first time; the site showing on her home page was jelsert." u="1"/>
        <s v="Bug |  01177 - Importing Orgs from UAT generates exception" u="1"/>
        <s v="Bug |  01335 - 3 Marshal Deliveries not showing in Completed Shipments page " u="1"/>
        <s v="Feature |  | 01007 - Requirement changes for Reports" u="1"/>
        <s v="Feature |  | 00381 - Login page - cookie statement" u="1"/>
        <s v="Bug |  00753 - Fix Gradle theme build " u="1"/>
        <s v="Bug | 03259 - UAT50 - Documents and Media temporarily unavailable" u="1"/>
        <s v="Ballpark - Demand |  00000 - Dummy Feature of Roles Configuration" u="1"/>
        <s v="Bug |  01985 - 243 (BDT) - Orders Page Material Avail Date/Req Date Incorrect " u="1"/>
        <s v="Feature |  | 00156 - Create and assign customer Roles" u="1"/>
        <s v="Bug |  00806 - Ship To Filter Issue with Name Format and number of items" u="1"/>
        <s v="Bug |  01868 - 209 (BDT) Report Page test- deleting reports in download folder" u="1"/>
        <s v="Task |  | 00537 - If remote staging host becomes unavailable, staging portal becomes unusable" u="1"/>
        <s v="Bug |  | 01645 - Cadastro de fornecedor com textos grandes quebram o cadastro" u="1"/>
        <s v="Bug |  | 00716 - When an order is deleted, the associated AssetEntries are not removed" u="1"/>
        <s v="Bug |  02732 - 424 (BDT) - Password Policy verbiage changes" u="1"/>
        <s v="Bug | 01851 - 196 (BDT) Documents- cannot change location filter and add files to folder " u="1"/>
        <s v="Feature |  00536 - Remove Top Bar for External User" u="1"/>
        <s v="Ballpark - Demand |  00000 - Dummy Feature of Permissions" u="1"/>
        <s v="Bug | 01363 - BIT-113 FRM 283- Typos on report landing page" u="1"/>
        <s v="Feature |  | 00088 - Customer Org Hierarchy" u="1"/>
        <s v="Feature | 01476 - Remove default e-mail suffix from login page" u="1"/>
        <s v="Bug |  | 00722 - Race condition in DataSyncEngineImpl" u="1"/>
        <s v="Bug | 03136 - Portal display of On Hand inventory quantity is incorrect  " u="1"/>
        <s v="Feature |  01440 - Remove date limit on Orders Landing Page display" u="1"/>
        <s v="Bug | 03081 - 542 (BDT) - The page was not displayed because the Request URI is too long." u="1"/>
        <s v="Feature | 00177 - Order Release" u="1"/>
        <s v="Bug |  01261 - BIT-68 Optional fields not correctly formatted or are missing in open and closed order report" u="1"/>
        <s v="Feature |  00023 - Add SCORM support" u="1"/>
        <s v="Task | 00334 - Redirect to a friendly &quot;page not found&quot;" u="1"/>
        <s v="Bug |  | 01421 - Bemis Logo displayed on Bemis' QA is incorrect" u="1"/>
        <s v="Feature |  | 00118 - Include videos on the full story page" u="1"/>
        <s v="Bug | 02172 - 309 (BDT) - Orders page- iphone view details UOM Confirmed qtty crowding" u="1"/>
        <s v="Bug |  | 02096 - 289(BDT) - Release Pg No Release" u="1"/>
        <s v="Feature |  00025 - Notify Google LMS of User activity" u="1"/>
        <s v="Bug | 01264 - BIT-142 Cust Item Font color on Item detail view is incorrect" u="1"/>
        <s v="Task | 00489 - Update Mini Left Menu based on feedback" u="1"/>
        <s v="Task | 00255 - Atividades Gerais sprint 06" u="1"/>
        <s v="Task | 00595 - Allow for ability to customize button colors" u="1"/>
        <s v="Bug |  00197 - GPS - Playbooks &amp; Guidelines" u="1"/>
        <s v="Feature |  02976 - Schedule Line Deletes" u="1"/>
        <s v="Bug |  | 00808 - Arrow Font Size on Releases Page is too small" u="1"/>
        <s v="Bug |  | 01588 - Inventory display not correct for order 073G001269 " u="1"/>
        <s v="Task |  01018 - Atividades de ambiente e automação Sprint 14/15" u="1"/>
        <s v="Bug |  00069 - Menu not working when on mobile mode" u="1"/>
        <s v="Feature | 01344 - Update decimals display on Bemis Portal Landing pages" u="1"/>
        <s v="Bug |  | 01868 - 209 (BDT) Report Page test- deleting reports in download folder" u="1"/>
        <s v="Bug |  | 00830 - Two Factor authentication configuration is in the wrong category" u="1"/>
        <s v="Task |  00039 - BEMISCP-11 Entitlements - Logistics (reject shipment) - WF Form" u="1"/>
        <s v="Feature | 00217 - Update Customer logo" u="1"/>
        <s v="Feature |  | 02842 - Remove test users from deployment scripts" u="1"/>
        <s v="Feature | 00002 - Create docker image for Liferay installation" u="1"/>
        <s v="Bug | 02377 - SSRS connection settings are not set during deployment " u="1"/>
        <s v="Feature |  00023 - Events + Calendar Portlet" u="1"/>
        <s v="Feature |  00020 - Asset publisher layout" u="1"/>
        <s v="Dummy Feature |  00000 - Dummy Feature of  00057 - Tools - Sizing" u="1"/>
        <s v="Bug |  02113 - 297 (BDT) - On Hand Inventory page code error" u="1"/>
        <s v="Bug |  | 01090 - Ubicación incorrecta de la casilla de recurrencia" u="1"/>
        <s v="Bug |  02563 - 392 (BDT) - Inventory Pg Standard Pallet Qty and UoM missing" u="1"/>
        <s v="Bug |  01312 - BIT-95 All reports from the Reports Landing Page" u="1"/>
        <s v="Bug | 01020 - Checkboxes for Locations in filter do not show " u="1"/>
        <s v="Feature |  | 00021 - Asset publisher filter" u="1"/>
        <s v="Bug |  | 01323 - Add documents button is inside the footer" u="1"/>
        <s v="Task | 00788 - Refactor IBB Authentication" u="1"/>
        <s v="Feature |  | 00060 - Wip validator service REST" u="1"/>
        <s v="Feature |  00082 - View Customer Profiles" u="1"/>
        <s v="Bug | 02719 - 382 (BDT) - Order Pg Requested Date Incorrect" u="1"/>
        <s v="Task |  | 00598 - Fix issue with titles not being shown for image selector" u="1"/>
        <s v="Bug |  | 01851 - 196 (BDT) Documents- cannot change location filter and add files to folder " u="1"/>
        <s v="Feature | 00013 - Footer" u="1"/>
        <s v="Feature | 00232 - Reports Page" u="1"/>
        <s v="Feature |  00208 - Press Releases Page" u="1"/>
        <s v="Bug | 01348 - BIT-107 Order Report URL too long " u="1"/>
        <s v="Bug | 01863 - 204 (BDT) Report Parameters Optional Columns Invoice History Report" u="1"/>
        <s v="Feature |  | 00150 - Company profile page" u="1"/>
        <s v="Bug | 00115 - Ajustments in full stories layout" u="1"/>
        <s v="Task | 00220 - Research: Error when creating a WebContent with nested WebContent" u="1"/>
        <s v="Feature | 00365 - As a buyer, I expand and collapse the left menu navigation bar, so that I can have more horizontal space on the screen" u="1"/>
        <s v="Feature |  | 01736 - Update Dashboard Content" u="1"/>
        <s v="Feature | 00033 - Enhanced Group REST Service" u="1"/>
        <s v="Feature | 00145 - Sustainability Overview" u="1"/>
        <s v="Bug |  | 02694 - ORM exceptions for Inventory data sync " u="1"/>
        <s v="Bug | 01081 - Adding more than  + 10 Transfer accounts, Internet Explorer Stop Working. -Third party transfers- " u="1"/>
        <s v="Task |  | 00228 - Allow patches to be source-controlled and installed into bundle by workspace" u="1"/>
        <s v="Task |  00670 - Update Email templates" u="1"/>
        <s v="Bug | 00784 - Modify default date range for shipment, release, and order screens" u="1"/>
        <s v="Feature | 00208 - Press Releases Page" u="1"/>
        <s v="Bug |  | 02995 - 490 BDT - Invoice or BOL link on completed shipments subpage does not work" u="1"/>
        <s v="Bug |  01860 - 202 (BDT) Remove the optional column order up and down arrows from 2 reports" u="1"/>
        <s v="Feature | 00270  - Browse Customer Profiles" u="1"/>
        <s v="Bug |  02425 - 211 (BDT) - Report parameter issue from page view buttons- Open and Closed/ Releases and Shipment History" u="1"/>
        <s v="Feature | 02878 - Update Carrier list for portal " u="1"/>
        <s v="Feature |  | 00236 - Global Solutions" u="1"/>
        <s v="Bug |  01270 - BIT-85 Column picks disappear in report form" u="1"/>
        <s v="Feature | 00146 - Add two factor authentication support to portal." u="1"/>
        <s v="Feature | 00379 - As a buyer, I can navigate to a list of orders for a specific item from the Products landing page, so that I can see the order history for a specific item" u="1"/>
        <s v="Bug |  02486 - 381 (BDT) - Portal console as admin or CSR- missing the Customer Profile view on the Bemis Site" u="1"/>
        <s v="Task |  00678 - Adjust BeL to the BG Security Team recommendations" u="1"/>
        <s v="Feature | 00276 - As a buyer, I can search through the products landing page, so that I can find the relevant information faster" u="1"/>
        <s v="Bug |  | 00508 - Control Panel -&gt; Configuration -&gt; System Settings is broken in QA" u="1"/>
        <s v="Bug |  | 02167 - 319 (BDT) Negative Scheduled Releases " u="1"/>
        <s v="Feature | 00104 - Item Detail page" u="1"/>
        <s v="Bug | 01072 - Incorrect color used for the primary buttons." u="1"/>
        <s v="Feature | 02454 - 376 (BDT) - Open and Closed Order Status Report- update to parameters from order page card button" u="1"/>
        <s v="Feature |  00174 - Corporate Governance Page" u="1"/>
        <s v="Bug |  | 01844 - LDAP Configurations are not automatically imported" u="1"/>
        <s v="Task |  00218 - As a user, I can see the Cemex stock price for NYSE and BMV" u="1"/>
        <s v="Bug |  01198 - Customer Address does not display on Customer Profile" u="1"/>
        <s v="Feature |  01692 - Update the Footer Content " u="1"/>
        <s v="Bug | 03338 - UAT73 - Orders Page Orphaned Text not on card" u="1"/>
        <s v="Task | 00494 - Update shipments view based on feedback" u="1"/>
        <s v="Bug |  02570 - Bemis User Agreement is not displaying on first time log in  " u="1"/>
        <s v="Feature |  | 02680 - 409 (BDT) - Inventory Batch with Multiple Mfg Dates" u="1"/>
        <s v="Feature | 02864 - CR45 - Shipment Deletes" u="1"/>
        <s v="Feature | 00286 - Global search" u="1"/>
        <s v="Bug |  | 02885 - (BDT 467) - Releases and Shipments do not display for new customer setup " u="1"/>
        <s v="Feature | 03384 - Enable automatic patching download w/LCS" u="1"/>
        <s v="Bug | 00736 - Proxy configuration breaks access to IBB " u="1"/>
        <s v="Bug | 00087 - Should only send learning records when log in as a learner " u="1"/>
        <s v="Feature | 00352 - As a buyer, I can select a customer location or locations and this context will be kept between times where I logout and login to the system, so that I can pickup where I left off" u="1"/>
        <s v="Feature |  | 00006 - Add version" u="1"/>
        <s v="Bug | 02425 - 211 (BDT) - Report parameter issue from page view buttons- Open and Closed/ Releases and Shipment History" u="1"/>
        <s v="Task |  | 00525 - As a privileged user, I can add image (urls) to a Ministry" u="1"/>
        <s v="Bug |  | 01534 - Customer Data Sync is checking wrong address for validity" u="1"/>
        <s v="Bug |  01151 - CSR should have access to limited control panel " u="1"/>
        <s v="Feature | 00363 - As a developer, I can map the internal user groups to roles in the portal, so that user permissions can then be managed through AD" u="1"/>
        <s v="Feature |  00320 - Become a supplier" u="1"/>
        <s v="Bug | 01508 - NPE In Inventory Data Sync" u="1"/>
        <s v="Task | 00316 - Install Audience Targeting on QA servers" u="1"/>
        <s v="Feature |  | 02560 - 424 (BDT) - Change password policy verbiage for external users" u="1"/>
        <s v="Feature |  01873 - 211 (BDT) Report parameter issue from page view buttons- Open and Closed/ Releases and Shipment History " u="1"/>
        <s v="Feature |  | 01349 - Update default Sort Order on Shipments Landing Page " u="1"/>
        <s v="Task | 00839 - Sprint Documentation" u="1"/>
        <s v="Feature | 01432 -  Allow Portal Admin to adjust the date range of data synced" u="1"/>
        <s v="Bug | 02883 - Consignment Inventory Whse Location/No Incorrect" u="1"/>
        <s v="Task |  00095 - SMS Spec Detail" u="1"/>
        <s v="Bug |  | 01102 - Mensaje de error al intentar hacer mas de 10 transferencias a terceros" u="1"/>
        <s v="Bug | 00143 - Potential security vulnerability related to Apache Struts version 2.3.32 / 2.5.10.1 or later" u="1"/>
        <s v="Feature |  | 01440 - Update search criteria on Orders Landing Page" u="1"/>
        <s v="Task |  01133 - Atividades de automação do Sprint 16. " u="1"/>
        <s v="Feature | 00179 - Re-Order" u="1"/>
        <s v="Bug |  01264 - Cust Item Font color on Item detail view is incorrect" u="1"/>
        <s v="Feature | 00446 - View Company Profiles" u="1"/>
        <s v="Feature |  | 00331 - Logistics - Products/Items - Pending Shipments - no pricing" u="1"/>
        <s v="Feature | 01172 - Portal Error Handling" u="1"/>
        <s v="Feature | 00016 - Required Fields" u="1"/>
        <s v="Bug |  02426 - 378 (BDT) - No pagination on the Reports Download page " u="1"/>
        <s v="Feature |  01527 - Update Report Parameters" u="1"/>
        <s v="Feature |  01172 - Portal Error Handling" u="1"/>
        <s v="Feature |  | 00359 - Batch details in on-hand inventory" u="1"/>
        <s v="Task | 02939 - Update LDAP configs now that FP 13 has fixed automatic loading of configs" u="1"/>
        <s v="BALLPARK - Demand | M | 00000 - Demand without assignee GSSDLC" u="1"/>
        <s v="Bug |  | 02395 - 371 (BDT) Commas missing on qty fields on Scheduled Release and Completed Shipment Page " u="1"/>
        <s v="Feature | 01480 - Performance Testing and Tuning" u="1"/>
        <s v="Task |  00064 - BEMISCP-11 CSR hierarchy" u="1"/>
        <s v="Bug | 01102 - Mensaje de error al intentar hacer mas de 10 transferencias a terceros" u="1"/>
        <s v="Task |  00126 - Sales Order Status" u="1"/>
        <s v="Feature |  | 00352 - Location selection persists between logout and login" u="1"/>
        <s v="Bug | 00903 - Update Releases data fields to allow for decimals " u="1"/>
        <s v="Task | 03258 - Technical Spec Documentation" u="1"/>
        <s v="Bug | 01310 - BIT-93 Report Landing Page- Inventory Detail Report- remove unnecessary Parameters" u="1"/>
        <s v="Bug | 01065 - Wrong amount reported in &quot;Total a debitar hoy&quot; on Step #2 (3rd party transfer)." u="1"/>
        <s v="Feature | 00246 - Link &quot;Number of items Pending Ship&quot; from Orders Detail to the &quot;Item detail Pending Shipment&quot; page" u="1"/>
        <s v="Feature | 00029 - Stock ticker portlet" u="1"/>
        <s v="Bug | 02017 - 264 (BDT) - Viewing documents on mobile device" u="1"/>
        <s v="Task |  00930 - Create  Query for AIF form" u="1"/>
        <s v="Task | 00171 - Replace stock images with real images from Bank of America" u="1"/>
        <s v="Bug |  | 01005 - Do not show Scheduled Releases with a Confirmed Qty =  0" u="1"/>
        <s v="Bug |  | 02731 - 427 (BDT) - Shipments Pg Floating Text, Not on Card" u="1"/>
        <s v="Task |  00968 - Atividades de apoio Sprint 13 - Fixpacks / Apoio a Queiroz no Kaleo / Automação e ambientes SIGEX" u="1"/>
        <s v="Feature |  00007 - Add expiration date" u="1"/>
        <s v="Feature | 00302 - Filter Data by Customer Location" u="1"/>
        <s v="Feature | 00266 - Suppliers Overview" u="1"/>
        <s v="Bug | 00978 - Portlet 'Candiate Photo' is failing with an error" u="1"/>
        <s v="Bug |  00904 - Update Shipments data fields to allow for decimals " u="1"/>
        <s v="Bug |  | 01737 - User Agreement link does not show content for CSR roles" u="1"/>
        <s v="Task |  | 01299 - [Mudança evolutiva na tela de Inclusão do tipo de visto] Acrescentar filtros para carregar as informações da Sigla/Descrição do tipo de visto com base no país de destino." u="1"/>
        <s v="Feature |  | 00354 - Sort on Landing page" u="1"/>
        <s v="Task | 00384  - Setup Bemis Development Infrastructure" u="1"/>
        <s v="Feature |  | 00355 - Sort on Landing page" u="1"/>
        <s v="Bug | 01075 - -Third party transfer- If the user Refresh the browser page (F5) in the step &quot;Verificar&quot;, the system redirect the user to &quot;Transferencia cuentas propias&quot; screen. " u="1"/>
        <s v="Task | 00033 - BEMISCP-11 Handling/communication of obsolete items &amp; part number relationships" u="1"/>
        <s v="Feature |  00175 - Order Status Report" u="1"/>
        <s v="Feature |  | 01777 - Keep CSR on Control Panel View when navigating to customer sites  " u="1"/>
        <s v="Bug |  01266 - BIT-76 Welcome Name Banner" u="1"/>
        <s v="Feature | 00107 - Buyer - Shipments landing page" u="1"/>
        <s v="Feature |  00235 - Building Solutions" u="1"/>
        <s v="Bug | 01588 - Inventory display not correct for order 073G001269 " u="1"/>
        <s v="Feature |  | 00520 - Release updates from IBB" u="1"/>
        <s v="Feature | 00307 - Co-packer multi-selection" u="1"/>
        <s v="Feature |  02846 - Add a test user to the deployment scripts" u="1"/>
        <s v="Task | 00525 - As a privileged user, I can add image (urls) to a Ministry" u="1"/>
        <s v="Bug | 01989 - 256 (BDT) - Orders page- mobile- expanded view - view details" u="1"/>
        <s v="Feature |  00296 - Mobile compatibility" u="1"/>
        <s v="Feature |  02373 - Remove space from DL file names" u="1"/>
        <s v="Bug |  00444 - Deleting record/site" u="1"/>
        <s v="Feature |  | 00212 - View Customer logo on the dashboard" u="1"/>
        <s v="Dummy Feature | 00000  - Dummy Feature" u="1"/>
        <s v="Feature |  01475 - Update default Sort Order and Add Sort Functioanlity on Orders Landing Page " u="1"/>
        <s v="Task | 00644 - Allow HTTP between qa-staging and qa-live to test remote staging" u="1"/>
        <s v="Bug |  | 02359 - 318 (BDT) - Shipment Sub Page ship date view in ascending order" u="1"/>
        <s v="Feature | 00520  - Release updates from IBB" u="1"/>
        <s v="Task | 00070 - BEMISCP-11 Branding Images &amp; Text" u="1"/>
        <s v="Task |  | 00757 - Configure permissions to remove access to dockbar" u="1"/>
        <s v="Bug |  | 01020 - Checkboxes for Locations in filter do not show " u="1"/>
        <s v="Feature |  | 00104 - Item Detail page" u="1"/>
        <s v="Feature | 00082 - View Customer Profiles" u="1"/>
        <s v="Bug |  | 00371 - RDR sync failing halfway through ORG sync" u="1"/>
        <s v="Bug |  | 01647 - Telefone não está sendo salvo" u="1"/>
        <s v="Feature | 02998 - Create Hub Admin documentation" u="1"/>
        <s v="Task |  | 00539 - [Mudança hisoria SIGEX-110]: Sistema deve informar quem abriu o processo de contrataçao." u="1"/>
        <s v="Feature |  02862 - Customize Email Templates for users " u="1"/>
        <s v="Feature |  | 00239 - Hide Pricing Fields for Logistics, Co-Packer, and Quality roles" u="1"/>
        <s v="Task | 00003 - Sostituzione (Copia prodotti)" u="1"/>
        <s v="Feature |  01180 - Updates to Bemis Portal Navigation" u="1"/>
        <s v="Feature |  | 01891 - Add Google Analytics to the Customer Portal Sites" u="1"/>
        <s v="Feature | 00143 - Ethics and compliance page" u="1"/>
        <s v="Feature | 00269  - Search for Customer Profile Details" u="1"/>
        <s v="Bug | 01073 - Dashboard - Personal transfers option is in uppercase" u="1"/>
        <s v="Feature | 00219 - Staff view of customer site list" u="1"/>
        <s v="Feature |  | 00016 - Required Fields" u="1"/>
        <s v="Feature | 00218 - Customer site template" u="1"/>
        <s v="Bug | 00412 - Homepage &gt; Change &quot;Media and Events&quot; section" u="1"/>
        <s v="Feature |  00066 - Investor center effects" u="1"/>
        <s v="Bug | 02546 - 388 (BDT) - Inventory Pg Standard Pallet Qty Rounding Issue" u="1"/>
        <s v="Feature | 00167 - Add behavior to concrete incubator link" u="1"/>
        <s v="Feature | 01444 - Create Handling Unit Report " u="1"/>
        <s v="Bug |  00915 - Increase size limit for profile picture" u="1"/>
        <s v="Feature |  | 00018 - Concrete Incubator webcontent" u="1"/>
        <s v="Bug |  | 03003 - BDT 493 - Consignment Delivery Invoice Missing " u="1"/>
        <s v="Feature |  | 02702 - 417 (BDT) - Consignment Overstated Shipped Qty on Orders Pg" u="1"/>
        <s v="Feature | 00104 - Jenkins permissions" u="1"/>
        <s v="Feature | 00080 - All external users are re-directed to the  dashboard" u="1"/>
        <s v="Bug |  | 01316 - BIT-78 All Reports- Default Column Fields " u="1"/>
        <s v="Bug | 01240 - Formatting Error when Resizing" u="1"/>
        <s v="Task |  | 00384 - Setup Bemis Development Infrastructure" u="1"/>
        <s v="Bug |  | 02205 - 315 (BDT) - Hyperlinks not working on shipments page for Carrier" u="1"/>
        <s v="Bug | 03224 - 610 BDT - DataSync process won't start in Portal Prod" u="1"/>
        <s v="Task | 00035 - BEMISCP-11 Notifications - Timelines, triggers, messages, templates, internal vs email" u="1"/>
        <s v="Feature |  01428 - Updates to handle Standard Pallet Qty data" u="1"/>
        <s v="Bug |  01450 - Wording on Dynamic Reports preview page needs to be changed to improve usability" u="1"/>
        <s v="Bug |  | 01841 - Shipments Cust PO" u="1"/>
        <s v="Task |  00511 - Steps Components" u="1"/>
        <s v="Task |  00038 - BEMISCP-11 Quality docs - Storage and access - KMS &amp; SAP (not until Phases 2&amp;3)" u="1"/>
        <s v="Feature | 00536 - Remove Top Bar for External User" u="1"/>
        <s v="Task |  00370 - Common and specific infrastructure to the angular-portlet" u="1"/>
        <s v="Bug | 00039 - Update subtask when parent update some fields" u="1"/>
        <s v="Task | 00140 - Define IBB exception handling" u="1"/>
        <s v="Bug | 01030 - Add open condition to Search Orders" u="1"/>
        <s v="Task | 00039 - BEMISCP-11 Entitlements - Logistics (reject shipment) - WF Form" u="1"/>
        <s v="Feature | 00360 - Add pallet detail view in batch view." u="1"/>
        <s v="Feature |  | 02976 - Source System Deletes - CR50 and CR51" u="1"/>
        <s v="Bug |  | 02541 - 328 (BDT) - Shipment Landing page incorrect ship to address" u="1"/>
        <s v="Task | 00063 - BEMISCP-11 Select a monitoring tool for IBB web services | Due date: 8/9/16" u="1"/>
        <s v="Bug |  02700 - Buyers need to have ability to delete for specific folders " u="1"/>
        <s v="Bug |  | 00128 - Adjust homepage layout in different screen resolutions" u="1"/>
        <s v="Feature | 00514  - Release Report" u="1"/>
        <s v="Bug |  02057 - 283 (BDT) - Scheduled Releases Sub-Page Line# Contains Leading Zeroes " u="1"/>
        <s v="Bug | 00688 - DataSync background tasks are not being cleaned up from DB when successfully completed" u="1"/>
        <s v="Bug |  01023 - Missing fields on Delivery stubs" u="1"/>
        <s v="Task |  01102 - Export to SIMPS enhancements required" u="1"/>
        <s v="Ballpark - Demand |  | 00000 - Dummy Feature of Tools - Indicators" u="1"/>
        <s v="Feature |  | 00107 - Shipments Landing Page" u="1"/>
        <s v="Feature |  00328 - Custom 404 page" u="1"/>
        <s v="Bug | 00633 - Orders - Add &quot;cust&quot; before PO label" u="1"/>
        <s v="Feature |  00341 - User agreement - BNA" u="1"/>
        <s v="Task |  | 00023 - BEMISCP-11 Production Order data" u="1"/>
        <s v="Bug |  02347 - Unable to generate reports against SSRS" u="1"/>
        <s v="Bug | 02694 - ORM exceptions for Inventory data sync " u="1"/>
        <s v="Task |  | 00047 - Research and Build Theme Prototype" u="1"/>
        <s v="Feature |  | 00215 - Login &amp; Logout" u="1"/>
        <s v="Task |  | 00584 - Make the user Jose Alberto as a site admin" u="1"/>
        <s v="Task |  | 00033 - BEMISCP-11 Handling/communication of obsolete items &amp; part number relationships" u="1"/>
        <s v="Bug |  01875 - 214 (BDT)Theme test- excel logo wrong color and font spacing incorrect" u="1"/>
        <s v="Feature | 00136 - Choose the section of the image to show" u="1"/>
        <s v="Bug | 00944 - Two Bugs related to Search " u="1"/>
        <s v="Bug | 01203 - SSRS integration config had wrong password for QA" u="1"/>
        <s v="Bug |  02025 - 252 (BDT) - Order Pg View Details 0 Confirmed Qty Should Not Be Displayed" u="1"/>
        <s v="Task |  00988 - Complete all necessary functions to make sim.org ready for Production" u="1"/>
        <s v="Bug | 01270 - BIT-85 Column picks disappear in report form" u="1"/>
        <s v="Feature |  00224 - Order Detail in Orders by PO" u="1"/>
        <s v="Feature | 02823 - Reverse PGI'd Shipment displayed in Portal (BDT 454)" u="1"/>
        <s v="Feature |  | 00324 - As a Sales Exec, I can view a list of customers and select one or more, so that I can selectively view information pertaining to a specific customer or sub-organization within the customer " u="1"/>
        <s v="Feature | 00349 - Global search - not show pricing" u="1"/>
        <s v="Task |  | 00007 - Alinhamento do Workflow Front-end" u="1"/>
        <s v="Task | 00062 - BEMISCP-11 Define WSDL for bulk data load per customer | Due date: 8/29/16" u="1"/>
        <s v="Feature |  00145 - Sustainability Overview" u="1"/>
        <s v="Feature | 00270 - Browse Customer Profiles" u="1"/>
        <s v="Bug |  01314 - Report page- open and closed order report; parameters not expected" u="1"/>
        <s v="Feature | 00320 - Become a supplier" u="1"/>
        <s v="Bug | 01088 - BIT-17 Carrier Link is not working " u="1"/>
        <s v="Task |  | 00255 - Atividades Gerais sprint 06" u="1"/>
        <s v="Bug |  01195 -  Icons do not display properly on the Global Search Results Page" u="1"/>
        <s v="Bug |  | 02464 - Update error logs to capture ID and field " u="1"/>
        <s v="Bug |  | 01212 - Clicking on Shipped Qty or Scheduled Releases throws an error" u="1"/>
        <s v="Task | 01095 - Ajuste no componente de Upload utilizado no SIGEX, nas telas que permitem edição. " u="1"/>
        <s v="Feature |  00455 - Media &gt; Overview" u="1"/>
        <s v="Bug | 02904 - Premium Waters Index Issue" u="1"/>
        <s v="Feature |  01718 - BIT 176 -  BOL# Incorrect for SAP Shipment" u="1"/>
        <s v="Bug | 03292 - Control Pantl Menu icon is not visible for Internal users on first-time login" u="1"/>
        <s v="Bug | 01563 - SAP Order 541116 Missing" u="1"/>
        <s v="Feature |  | 01873 - 211 (BDT) Report parameter issue from page view buttons- Open and Closed/ Releases and Shipment History " u="1"/>
        <s v="Feature |  | 00377 - Generate Shipping Reports" u="1"/>
        <s v="Feature | 00172 - Debt Information" u="1"/>
        <s v="Task | 00510 - Investigate rejected SVG icons in Chrome when using CDN" u="1"/>
        <s v="Bug | 01183 - Reports Landing Page - Report Header is not aligned properly" u="1"/>
        <s v="Feature | 00377 - Our History" u="1"/>
        <s v="Bug |  02093 - 284 (BDT) - Scheduled Releases Sub-Pg cards missing " u="1"/>
        <s v="Task |  00026 - BEMISCP-11 Partial pallets in IBB - Not available in IBB for this phase" u="1"/>
        <s v="Bug | 01985 - 243 (BDT) - Orders Page Material Avail Date/Req Date Incorrect " u="1"/>
        <s v="Task |  | 00456 - Test stronger instance types to see relation to slow Liferay startup" u="1"/>
        <s v="Bug |  01057 - User profile editing is accessible to users other than the profile owner." u="1"/>
        <s v="Task | 00031 - BEMISCP-11 Corp security - IT security rules" u="1"/>
        <s v="Feature | 00023 - Add SCORM support" u="1"/>
        <s v="Feature | 00094 - Rename Taskboard levels/issueTypes" u="1"/>
        <s v="Feature |  | 00014 - Capture user info" u="1"/>
        <s v="Bug |  01265 - Bemis Logo Compression/Crowding" u="1"/>
        <s v="Feature |  | 00022 - Investors - Overview" u="1"/>
        <s v="Feature | 03347 - Finalize Hub Admin and Deployment Guides" u="1"/>
        <s v="Feature |  00016 - Required Fields" u="1"/>
        <s v="Feature | 00801 - List shipments from specific Order" u="1"/>
        <s v="Bug | 01105 - System allows the user erase security questions." u="1"/>
        <s v="Bug |  01859 - 201 (BDT) Report Parameters- Optional Columns Open and Closed Order Status Report" u="1"/>
        <s v="Task | 00872 - Setup initial content (locations, configurations, admin users) for new DEV environment" u="1"/>
        <s v="Task | 00476 - Mudança nas chamadas do serviço do SUC" u="1"/>
        <s v="Task |  01019 - Update page What We Do" u="1"/>
        <s v="Bug |  | 01266 - BIT-76 Welcome Name Banner" u="1"/>
        <s v="Feature | 00226  - Filter Orders by user Locations" u="1"/>
        <s v="Task |  01065 - Have a way to restrict permissions in Receiving role" u="1"/>
        <s v="Bug |  | 00915 - Increase size limit for profile picture" u="1"/>
        <s v="Bug | 03257 - UI issue, reduced screen width (tablet, mobile) oddities when impersonating a user (BDT 622) " u="1"/>
        <s v="Feature | 00294 - As a buyer, I can view invoice related report(s) from the Reports landing page, so that I can review reports on my invoices" u="1"/>
        <s v="Task | 00905 - Add History and Start dates to a number of Fields" u="1"/>
        <s v="Feature | 00205 - CSR - notes - viewable internally only " u="1"/>
        <s v="Feature | 00098 - Add authorization for Enhanced Group API" u="1"/>
        <s v="Task |  | 01606 - Automated Tests SP8 PQ3" u="1"/>
        <s v="Feature |  00146 - Two Factor Authentication" u="1"/>
        <s v="Task | 00046 - BEMISCP-11 QMS data - Complaints, interaction" u="1"/>
        <s v="Bug | 01746 - Duplicate fields displayed on the Doned Shipments tab" u="1"/>
        <s v="Task | 00218 - As a user, I can see the Cemex stock price for NYSE and BMV" u="1"/>
        <s v="Bug |  | 01293 - BIT-77 Missing sales order Data3" u="1"/>
        <s v="Bug |  01877 - 217 (BDT) Theme- upload document screen- blue bar theme updates " u="1"/>
        <s v="Task |  00056 - Update organization model listener to remove all organization configuration and notification" u="1"/>
        <s v="Bug |  02024 - 247 (BDT) - Inventory Delete Functionality - Old Inventory data showing on Screen" u="1"/>
        <s v="Feature | 00215 - As a Customer, I wish to quickly access my profile and be provided a way to logout" u="1"/>
        <s v="Task |  | 00057 - Management work" u="1"/>
        <s v="Feature | 00272  - Browse User Profile" u="1"/>
        <s v="Feature | 00578 - Image Animations do not match mockups for Stories" u="1"/>
        <s v="Task |  00384 - Setup Bemis Development Infrastructure" u="1"/>
        <s v="Task |  00027 - BEMISCP-11 Reports - Partial Pallets, Pending Releases (date/value)" u="1"/>
        <s v="Bug |  00578 - Image Animations do not match mockups for Stories" u="1"/>
        <s v="Feature | 00649 - Sustainability &gt; Overview" u="1"/>
        <s v="Feature | 00537 - Link from Portal Logo" u="1"/>
        <s v="Ballpark - Demand |  00000 - Dummy Feature of Content Workflow" u="1"/>
        <s v="Bug |  02432 - 366 (BDT) - Releases page- mobile missing ship to info" u="1"/>
        <s v="Task |  | 00988 - Complete all necessary functions to make sim.org ready for Production" u="1"/>
        <s v="Feature |  00010 - Modern tile with &quot;MORE&quot; animation" u="1"/>
        <s v="Bug |  01987 - 245 (BDT) - Order Pg View Details Schedule Lines Sorted Incorrectly" u="1"/>
        <s v="Task |  00259 - Customer Site Template should have 'template' in name" u="1"/>
        <s v="Feature |  01668 - Refactor Shipment Sync/WS Classes for data refresh calls." u="1"/>
        <s v="Task |  00512 - Change &quot;submit for publication&quot; text to &quot;submit&quot;" u="1"/>
        <s v="Task |  | 00102 - OSGI Dependencies" u="1"/>
        <s v="Bug | 03154 - _x0009_Customer PO Search Case Sensitive" u="1"/>
        <s v="Bug |  01054 - Entries on the Release Page are not displaying " u="1"/>
        <s v="Feature | 01669 - Refactor Inventory Sync/WS Classes for data refresh calls." u="1"/>
        <s v="Feature |  | 01475 - Update default Sort Order and Add Sort Functioanlity on Orders Landing Page " u="1"/>
        <s v="Bug |  | 01064 - Wrong amount reported in &quot;Total a debitar hoy&quot; on Step #2 (personal transfer)." u="1"/>
        <s v="Bug | 02461 - 385 (BDT) Manufacture Data is missing from the On Hand Inventory sub-page" u="1"/>
        <s v="Feature | 00448 - CSR - Search for All User Profiles" u="1"/>
        <s v="Bug |  | 02095 - 269 (BDT) - Release page expanded card missing state zip country" u="1"/>
        <s v="Task |  00046 - BEMISCP-11 QMS data - Complaints, interaction" u="1"/>
        <s v="Feature | 00448 - Search User Profiles" u="1"/>
        <s v="Feature |  | 00286 - Global search" u="1"/>
        <s v="Feature |  00512 - Release expanded view" u="1"/>
        <s v="Bug | 01850 - 195 (BDT) Documents- unable to download; CSR and buyer view" u="1"/>
        <s v="Bug |  02395 - 371 (BDT) Commas missing on qty fields on Scheduled Release and Completed Shipment Page " u="1"/>
        <s v="Task | 01065 - Have a way to restrict permissions in Receiving role" u="1"/>
        <s v="Task |  00050 - BEMISCP-11 Compliance reports on-time complete from SSRS" u="1"/>
        <s v="Bug | 01106 - Hover background is not displaying correcly on &quot;Cuenta de destino&quot; field (3rd party transfer)" u="1"/>
        <s v="Bug |  01920 - Total On Hand Qty should include UOM  " u="1"/>
        <s v="Bug |  01448 - User Agreement Link " u="1"/>
        <s v="Bug | 00197 - GPS - Playbooks &amp; Guidelines" u="1"/>
        <s v="Bug |  | 02098 - 290 (BDT) - Release Pg Ship To Name and Address incorrect" u="1"/>
        <s v="Bug | 02537 - Preview should display for all document types " u="1"/>
        <s v="Bug |  02450 - Failures in initial data sync does cause a full data sync to occur in the next data sync interval" u="1"/>
        <s v="Bug | 00829 - Order Description not wrapping correctly" u="1"/>
        <s v="Bug |  | 01305 -   Multiple Fields showing incorrectly on the Orders Landing Page. " u="1"/>
        <s v="Feature | 00330 - Logistics - Products/Items - No Pricing" u="1"/>
        <s v="Bug |  00585 - Page Fix for Careers page" u="1"/>
        <s v="Bug |  01218 - Landing page redirection does not work when impersonating" u="1"/>
        <s v="Feature |  | 01668 - Refactor Shipment Sync/WS Classes for data refresh calls." u="1"/>
        <s v="Feature | 00274 - Add link to View Orders in Product View for Specific Item" u="1"/>
        <s v="Task |  | 00001 - Request SSL Certificate from Cemex for new website" u="1"/>
        <s v="Feature | 00351 - As a buyer, I can select a customer location or locations and this context will be kept until I select another combination of location(s), so that I can see information from a customer-centric view" u="1"/>
        <s v="Bug |  00223 - After an article is saved, and going back to edit, the product or version are unable to be edited." u="1"/>
        <s v="Feature |  00329 - Site map" u="1"/>
        <s v="Bug |  | 02369 - Multiple threads may cause NTLM errors in DataSync" u="1"/>
        <s v="Feature |  00058 - Carrier List CRUD" u="1"/>
        <s v="Bug |  00836 - Logon with incorrect password doesn't fail immediately with 2FA enabled" u="1"/>
        <s v="Bug |  | 02016 - 262 (BDT) - Documents- Changing location filter as a parent " u="1"/>
        <s v="Task |  | 00829 - Prepare QA environment (US-East region)" u="1"/>
        <s v="Task | 00456 - Test stronger instance types to see relation to slow Liferay startup" u="1"/>
        <s v="Bug |  00808 - Arrow Font Size on Releases Page is too small" u="1"/>
        <s v="Task | 00889 - Add a new page on the Member &amp; Associates template for Experience, Skills, References &amp; General Comments" u="1"/>
        <s v="Bug |  | 01297 - BIT-84 Data Issue on Bemis QA Environment" u="1"/>
        <s v="Feature | 00099 - MySQL Jira Database Replica" u="1"/>
        <s v="Bug |  00007 - Hierarchical Class of Service (performance)" u="1"/>
        <s v="Bug | 01335 - 3 Marshal Deliveries not showing in Completed Shipments page " u="1"/>
        <s v="Task | 00640 - Apply and verify fix for CEMEX-23" u="1"/>
        <s v="Task |  02830 - IBB configs need to be updated to use a different service account on QA" u="1"/>
        <s v="Dummy Feature |  00000 - Dummy Feature of  00056 - Tools - Worklogger" u="1"/>
        <s v="Task |  | 00637 - Apply and verify fix for CEMEX-13" u="1"/>
        <s v="Bug |  | 02027 - 272 (BDT) - User Profile- Buyer missing Job Title" u="1"/>
        <s v="Feature |  | 00211 - Style and colors" u="1"/>
        <s v="Bug |  | 00836 - Logon with incorrect password doesn't fail immediately with 2FA enabled" u="1"/>
        <s v="Bug | 01063 - Información incorrecta de cuentas ahorro en la lista desplegable de cuenta ahorro" u="1"/>
        <s v="Task | 00425 - Architectural design document - Sprint 2" u="1"/>
        <s v="Bug |  00554 - Notifications Configuration does not include Country Documents yet." u="1"/>
        <s v="Bug |  00903 - Update Releases data fields to allow for decimals " u="1"/>
        <s v="Task |  | 01775 - Theme Dependency needs to be updated due to core changes" u="1"/>
        <s v="Bug | 03191 - BDT 597- Production issue- internal user being asked to validate device " u="1"/>
        <s v="Feature |  | 00374 - Shipment updates from IBB" u="1"/>
        <s v="Feature | 00077  - Import Users and Groups from AD" u="1"/>
        <s v="Bug |  | 02377 - SSRS connection settings are not set during deployment " u="1"/>
        <s v="Bug | 02117 - 303 (BDT) - Releases page in page wildcard search on description" u="1"/>
        <s v="Bug |  | 00225 - In Cemex, fix where the theme gets placed in the bundle by workspace" u="1"/>
        <s v="Bug |  00225 - In Cemex, fix where the theme gets placed in the bundle by workspace" u="1"/>
        <s v="Task |  00279 - [Mudança review sprint 05] Criar uma aba (Aprovações/Comentários) para agrupar as Atividades e Comentários. Na tela de detalhe do candidato" u="1"/>
        <s v="Bug |  01256 - BOL and INVOICE Hyperlink fails to load PDF" u="1"/>
        <s v="Feature | 00257 - Packing List Report - SSRS" u="1"/>
        <s v="Task | 00266 - Create data sync process to bulk upload data from IBB" u="1"/>
        <s v="Task |  | 01070 - Import of the Vaccination fields via an Excel spreadsheet - one time entry" u="1"/>
        <s v="Feature |  | 01993 - 242 (BDT) - Customer profile - no address pulling in" u="1"/>
        <s v="Bug | 03244 - BDT 619- Production UAT scripting error Documents in IE" u="1"/>
        <s v="Feature |  00349 - Global search - not show pricing" u="1"/>
        <s v="Task |  00001 - Request SSL Certificate from Cemex for new website" u="1"/>
        <s v="Feature |  00229 - View Order Note." u="1"/>
        <s v="Bug | 03131 - Inventory Sync Timestamp issue" u="1"/>
        <s v="Ballpark - Demand |  | 00000 - Dummy Feature of Roles Configuration" u="1"/>
        <s v="Bug |  | 02552 - 394 (BDT) - Scheduled Releases Sub-Pg Bemis Line# Contains Leading Zeroes" u="1"/>
        <s v="Feature | 00377 - Generate Shipping Reports" u="1"/>
        <s v="Bug |  | 00188 - Fix java script errors" u="1"/>
        <s v="Bug |  01994 - 246 (BDT) - Order Pg Req Date Incorrect" u="1"/>
        <s v="Task |  | 01102 - Export to SIMPS enhancements required" u="1"/>
        <s v="Task | 00002 - Dannon Yo-Cream Theme" u="1"/>
        <s v="Feature | 01173 - BIT-49 Ship To Filter Name &amp; Address Info Missing in Portal" u="1"/>
        <s v="Bug |  02096 - 289(BDT) - Release Pg No Release" u="1"/>
        <s v="Feature |  00215 - Login &amp; Logout" u="1"/>
        <s v="Dummy Feature |  00000 - Dummy Feature of  00539 - Buyer - Inventory Management" u="1"/>
        <s v="Feature |  | 00263 - Buyer Detail Product Spec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7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To QA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392" u="1"/>
        <n v="187" u="1"/>
        <n v="89" u="1"/>
        <n v="2515" u="1"/>
        <n v="20" u="1"/>
        <n v="2558" u="1"/>
        <n v="1207" u="1"/>
        <n v="2601" u="1"/>
        <n v="2644" u="1"/>
        <n v="1798" u="1"/>
        <n v="863" u="1"/>
        <n v="2730" u="1"/>
        <n v="2773" u="1"/>
        <n v="2816" u="1"/>
        <n v="1884" u="1"/>
        <n v="435" u="1"/>
        <n v="298" u="1"/>
        <n v="2902" u="1"/>
        <n v="1927" u="1"/>
        <n v="1379" u="1"/>
        <n v="2945" u="1"/>
        <n v="2988" u="1"/>
        <n v="1970" u="1"/>
        <n v="1422" u="1"/>
        <n v="949" u="1"/>
        <n v="2013" u="1"/>
        <n v="1465" u="1"/>
        <n v="2064" u="1"/>
        <n v="992" u="1"/>
        <n v="718" u="1"/>
        <n v="478" u="1"/>
        <n v="341" u="1"/>
        <n v="53" u="1"/>
        <n v="2107" u="1"/>
        <n v="2150" u="1"/>
        <n v="2193" u="1"/>
        <n v="2236" u="1"/>
        <n v="1594" u="1"/>
        <n v="1046" u="1"/>
        <n v="761" u="1"/>
        <n v="2279" u="1"/>
        <n v="2322" u="1"/>
        <n v="1637" u="1"/>
        <n v="2365" u="1"/>
        <n v="2408" u="1"/>
        <n v="1680" u="1"/>
        <n v="1132" u="1"/>
        <n v="530" u="1"/>
        <n v="384" u="1"/>
        <n v="183" u="1"/>
        <n v="2451" u="1"/>
        <n v="2494" u="1"/>
        <n v="1723" u="1"/>
        <n v="1175" u="1"/>
        <n v="2580" u="1"/>
        <n v="847" u="1"/>
        <n v="573" u="1"/>
        <n v="2623" u="1"/>
        <n v="2666" u="1"/>
        <n v="1809" u="1"/>
        <n v="2709" u="1"/>
        <n v="2752" u="1"/>
        <n v="1304" u="1"/>
        <n v="890" u="1"/>
        <n v="616" u="1"/>
        <n v="427" u="1"/>
        <n v="290" u="1"/>
        <n v="136" u="1"/>
        <n v="2795" u="1"/>
        <n v="2838" u="1"/>
        <n v="1895" u="1"/>
        <n v="2924" u="1"/>
        <n v="1938" u="1"/>
        <n v="1390" u="1"/>
        <n v="933" u="1"/>
        <n v="659" u="1"/>
        <n v="2967" u="1"/>
        <n v="976" u="1"/>
        <n v="702" u="1"/>
        <n v="470" u="1"/>
        <n v="333" u="1"/>
        <n v="226" u="1"/>
        <n v="52" u="1"/>
        <n v="2086" u="1"/>
        <n v="1562" u="1"/>
        <n v="745" u="1"/>
        <n v="2215" u="1"/>
        <n v="2258" u="1"/>
        <n v="1605" u="1"/>
        <n v="2301" u="1"/>
        <n v="2344" u="1"/>
        <n v="1648" u="1"/>
        <n v="1100" u="1"/>
        <n v="376" u="1"/>
        <n v="85" u="1"/>
        <n v="2387" u="1"/>
        <n v="19" u="1"/>
        <n v="2430" u="1"/>
        <n v="1691" u="1"/>
        <n v="1143" u="1"/>
        <n v="2473" u="1"/>
        <n v="2516" u="1"/>
        <n v="1734" u="1"/>
        <n v="1186" u="1"/>
        <n v="831" u="1"/>
        <n v="557" u="1"/>
        <n v="2559" u="1"/>
        <n v="2602" u="1"/>
        <n v="1229" u="1"/>
        <n v="2645" u="1"/>
        <n v="1820" u="1"/>
        <n v="1272" u="1"/>
        <n v="874" u="1"/>
        <n v="600" u="1"/>
        <n v="419" u="1"/>
        <n v="282" u="1"/>
        <n v="132" u="1"/>
        <n v="2774" u="1"/>
        <n v="2817" u="1"/>
        <n v="1906" u="1"/>
        <n v="917" u="1"/>
        <n v="643" u="1"/>
        <n v="2903" u="1"/>
        <n v="2946" u="1"/>
        <n v="1949" u="1"/>
        <n v="1401" u="1"/>
        <n v="2989" u="1"/>
        <n v="1992" u="1"/>
        <n v="960" u="1"/>
        <n v="462" u="1"/>
        <n v="325" u="1"/>
        <n v="222" u="1"/>
        <n v="51" u="1"/>
        <n v="2035" u="1"/>
        <n v="1487" u="1"/>
        <n v="2065" u="1"/>
        <n v="2108" u="1"/>
        <n v="1003" u="1"/>
        <n v="729" u="1"/>
        <n v="2151" u="1"/>
        <n v="2194" u="1"/>
        <n v="1573" u="1"/>
        <n v="1025" u="1"/>
        <n v="2280" u="1"/>
        <n v="1616" u="1"/>
        <n v="772" u="1"/>
        <n v="505" u="1"/>
        <n v="368" u="1"/>
        <n v="83" u="1"/>
        <n v="2323" u="1"/>
        <n v="2366" u="1"/>
        <n v="1659" u="1"/>
        <n v="1111" u="1"/>
        <n v="2409" u="1"/>
        <n v="2452" u="1"/>
        <n v="1702" u="1"/>
        <n v="1154" u="1"/>
        <n v="815" u="1"/>
        <n v="2495" u="1"/>
        <n v="2538" u="1"/>
        <n v="1745" u="1"/>
        <n v="1197" u="1"/>
        <n v="2581" u="1"/>
        <n v="2624" u="1"/>
        <n v="411" u="1"/>
        <n v="274" u="1"/>
        <n v="2667" u="1"/>
        <n v="1831" u="1"/>
        <n v="1283" u="1"/>
        <n v="2753" u="1"/>
        <n v="2796" u="1"/>
        <n v="1326" u="1"/>
        <n v="901" u="1"/>
        <n v="627" u="1"/>
        <n v="2839" u="1"/>
        <n v="2882" u="1"/>
        <n v="1369" u="1"/>
        <n v="2925" u="1"/>
        <n v="2968" u="1"/>
        <n v="1960" u="1"/>
        <n v="944" u="1"/>
        <n v="670" u="1"/>
        <n v="454" u="1"/>
        <n v="317" u="1"/>
        <n v="3011" u="1"/>
        <n v="50" u="1"/>
        <n v="2003" u="1"/>
        <n v="2046" u="1"/>
        <n v="1498" u="1"/>
        <n v="987" u="1"/>
        <n v="713" u="1"/>
        <n v="2087" u="1"/>
        <n v="1541" u="1"/>
        <n v="1584" u="1"/>
        <n v="1036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2345" u="1"/>
        <n v="2388" u="1"/>
        <n v="1122" u="1"/>
        <n v="799" u="1"/>
        <n v="525" u="1"/>
        <n v="2474" u="1"/>
        <n v="1713" u="1"/>
        <n v="1165" u="1"/>
        <n v="2517" u="1"/>
        <n v="1756" u="1"/>
        <n v="1208" u="1"/>
        <n v="842" u="1"/>
        <n v="403" u="1"/>
        <n v="126" u="1"/>
        <n v="2603" u="1"/>
        <n v="2646" u="1"/>
        <n v="1799" u="1"/>
        <n v="885" u="1"/>
        <n v="611" u="1"/>
        <n v="2818" u="1"/>
        <n v="1885" u="1"/>
        <n v="2861" u="1"/>
        <n v="1928" u="1"/>
        <n v="1380" u="1"/>
        <n v="928" u="1"/>
        <n v="654" u="1"/>
        <n v="446" u="1"/>
        <n v="309" u="1"/>
        <n v="214" u="1"/>
        <n v="2947" u="1"/>
        <n v="49" u="1"/>
        <n v="1971" u="1"/>
        <n v="3033" u="1"/>
        <n v="2014" u="1"/>
        <n v="1466" u="1"/>
        <n v="971" u="1"/>
        <n v="697" u="1"/>
        <n v="2066" u="1"/>
        <n v="2152" u="1"/>
        <n v="1552" u="1"/>
        <n v="1014" u="1"/>
        <n v="740" u="1"/>
        <n v="489" u="1"/>
        <n v="352" u="1"/>
        <n v="79" u="1"/>
        <n v="2238" u="1"/>
        <n v="1047" u="1"/>
        <n v="2281" u="1"/>
        <n v="2324" u="1"/>
        <n v="1638" u="1"/>
        <n v="783" u="1"/>
        <n v="2367" u="1"/>
        <n v="2410" u="1"/>
        <n v="1681" u="1"/>
        <n v="1133" u="1"/>
        <n v="2496" u="1"/>
        <n v="1176" u="1"/>
        <n v="826" u="1"/>
        <n v="552" u="1"/>
        <n v="395" u="1"/>
        <n v="258" u="1"/>
        <n v="124" u="1"/>
        <n v="2539" u="1"/>
        <n v="2582" u="1"/>
        <n v="1767" u="1"/>
        <n v="1219" u="1"/>
        <n v="2625" u="1"/>
        <n v="2668" u="1"/>
        <n v="1810" u="1"/>
        <n v="869" u="1"/>
        <n v="595" u="1"/>
        <n v="2754" u="1"/>
        <n v="1853" u="1"/>
        <n v="2797" u="1"/>
        <n v="2840" u="1"/>
        <n v="1896" u="1"/>
        <n v="912" u="1"/>
        <n v="638" u="1"/>
        <n v="438" u="1"/>
        <n v="301" u="1"/>
        <n v="48" u="1"/>
        <n v="2926" u="1"/>
        <n v="1939" u="1"/>
        <n v="1391" u="1"/>
        <n v="2969" u="1"/>
        <n v="3012" u="1"/>
        <n v="1982" u="1"/>
        <n v="1434" u="1"/>
        <n v="681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2260" u="1"/>
        <n v="1606" u="1"/>
        <n v="1058" u="1"/>
        <n v="767" u="1"/>
        <n v="2303" u="1"/>
        <n v="2346" u="1"/>
        <n v="1649" u="1"/>
        <n v="1101" u="1"/>
        <n v="2389" u="1"/>
        <n v="1144" u="1"/>
        <n v="810" u="1"/>
        <n v="536" u="1"/>
        <n v="387" u="1"/>
        <n v="253" u="1"/>
        <n v="122" u="1"/>
        <n v="2475" u="1"/>
        <n v="2518" u="1"/>
        <n v="1735" u="1"/>
        <n v="2561" u="1"/>
        <n v="2604" u="1"/>
        <n v="1778" u="1"/>
        <n v="1230" u="1"/>
        <n v="853" u="1"/>
        <n v="579" u="1"/>
        <n v="2647" u="1"/>
        <n v="2690" u="1"/>
        <n v="1821" u="1"/>
        <n v="1273" u="1"/>
        <n v="2776" u="1"/>
        <n v="896" u="1"/>
        <n v="622" u="1"/>
        <n v="430" u="1"/>
        <n v="293" u="1"/>
        <n v="206" u="1"/>
        <n v="2819" u="1"/>
        <n v="47" u="1"/>
        <n v="1907" u="1"/>
        <n v="1359" u="1"/>
        <n v="2948" u="1"/>
        <n v="1950" u="1"/>
        <n v="1402" u="1"/>
        <n v="939" u="1"/>
        <n v="2991" u="1"/>
        <n v="1445" u="1"/>
        <n v="2036" u="1"/>
        <n v="982" u="1"/>
        <n v="708" u="1"/>
        <n v="473" u="1"/>
        <n v="336" u="1"/>
        <n v="159" u="1"/>
        <n v="75" u="1"/>
        <n v="2067" u="1"/>
        <n v="2110" u="1"/>
        <n v="1531" u="1"/>
        <n v="2153" u="1"/>
        <n v="1574" u="1"/>
        <n v="1026" u="1"/>
        <n v="751" u="1"/>
        <n v="2282" u="1"/>
        <n v="1617" u="1"/>
        <n v="1069" u="1"/>
        <n v="2325" u="1"/>
        <n v="2368" u="1"/>
        <n v="1660" u="1"/>
        <n v="1112" u="1"/>
        <n v="520" u="1"/>
        <n v="249" u="1"/>
        <n v="2411" u="1"/>
        <n v="1703" u="1"/>
        <n v="1155" u="1"/>
        <n v="2497" u="1"/>
        <n v="2540" u="1"/>
        <n v="837" u="1"/>
        <n v="563" u="1"/>
        <n v="2583" u="1"/>
        <n v="2626" u="1"/>
        <n v="1789" u="1"/>
        <n v="2669" u="1"/>
        <n v="2712" u="1"/>
        <n v="1832" u="1"/>
        <n v="1284" u="1"/>
        <n v="880" u="1"/>
        <n v="606" u="1"/>
        <n v="422" u="1"/>
        <n v="285" u="1"/>
        <n v="202" u="1"/>
        <n v="2755" u="1"/>
        <n v="46" u="1"/>
        <n v="2798" u="1"/>
        <n v="1327" u="1"/>
        <n v="2841" u="1"/>
        <n v="2884" u="1"/>
        <n v="1918" u="1"/>
        <n v="1370" u="1"/>
        <n v="923" u="1"/>
        <n v="649" u="1"/>
        <n v="2927" u="1"/>
        <n v="2970" u="1"/>
        <n v="1961" u="1"/>
        <n v="3013" u="1"/>
        <n v="2004" u="1"/>
        <n v="1456" u="1"/>
        <n v="966" u="1"/>
        <n v="692" u="1"/>
        <n v="465" u="1"/>
        <n v="155" u="1"/>
        <n v="1499" u="1"/>
        <n v="2132" u="1"/>
        <n v="1542" u="1"/>
        <n v="1009" u="1"/>
        <n v="735" u="1"/>
        <n v="1585" u="1"/>
        <n v="1037" u="1"/>
        <n v="2261" u="1"/>
        <n v="2304" u="1"/>
        <n v="1628" u="1"/>
        <n v="1080" u="1"/>
        <n v="778" u="1"/>
        <n v="508" u="1"/>
        <n v="371" u="1"/>
        <n v="245" u="1"/>
        <n v="1671" u="1"/>
        <n v="1123" u="1"/>
        <n v="2476" u="1"/>
        <n v="1714" u="1"/>
        <n v="1166" u="1"/>
        <n v="547" u="1"/>
        <n v="2519" u="1"/>
        <n v="2562" u="1"/>
        <n v="1757" u="1"/>
        <n v="1209" u="1"/>
        <n v="2605" u="1"/>
        <n v="2648" u="1"/>
        <n v="1800" u="1"/>
        <n v="864" u="1"/>
        <n v="414" u="1"/>
        <n v="277" u="1"/>
        <n v="198" u="1"/>
        <n v="2691" u="1"/>
        <n v="45" u="1"/>
        <n v="1843" u="1"/>
        <n v="2777" u="1"/>
        <n v="2820" u="1"/>
        <n v="1886" u="1"/>
        <n v="2863" u="1"/>
        <n v="2906" u="1"/>
        <n v="1929" u="1"/>
        <n v="2949" u="1"/>
        <n v="1972" u="1"/>
        <n v="1424" u="1"/>
        <n v="950" u="1"/>
        <n v="676" u="1"/>
        <n v="457" u="1"/>
        <n v="151" u="1"/>
        <n v="71" u="1"/>
        <n v="3035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241" u="1"/>
        <n v="116" u="1"/>
        <n v="2283" u="1"/>
        <n v="2326" u="1"/>
        <n v="1091" u="1"/>
        <n v="2412" u="1"/>
        <n v="1682" u="1"/>
        <n v="1134" u="1"/>
        <n v="531" u="1"/>
        <n v="2498" u="1"/>
        <n v="1725" u="1"/>
        <n v="2584" u="1"/>
        <n v="1768" u="1"/>
        <n v="1220" u="1"/>
        <n v="848" u="1"/>
        <n v="574" u="1"/>
        <n v="406" u="1"/>
        <n v="269" u="1"/>
        <n v="2627" u="1"/>
        <n v="44" u="1"/>
        <n v="2670" u="1"/>
        <n v="1811" u="1"/>
        <n v="2713" u="1"/>
        <n v="2756" u="1"/>
        <n v="1854" u="1"/>
        <n v="1306" u="1"/>
        <n v="891" u="1"/>
        <n v="617" u="1"/>
        <n v="2799" u="1"/>
        <n v="1897" u="1"/>
        <n v="2928" u="1"/>
        <n v="1940" u="1"/>
        <n v="1392" u="1"/>
        <n v="934" u="1"/>
        <n v="660" u="1"/>
        <n v="449" u="1"/>
        <n v="312" u="1"/>
        <n v="147" u="1"/>
        <n v="2971" u="1"/>
        <n v="3014" u="1"/>
        <n v="1983" u="1"/>
        <n v="1435" u="1"/>
        <n v="1478" u="1"/>
        <n v="977" u="1"/>
        <n v="703" u="1"/>
        <n v="2090" u="1"/>
        <n v="1521" u="1"/>
        <n v="2176" u="1"/>
        <n v="1564" u="1"/>
        <n v="1020" u="1"/>
        <n v="746" u="1"/>
        <n v="492" u="1"/>
        <n v="355" u="1"/>
        <n v="114" u="1"/>
        <n v="6" u="1"/>
        <n v="2262" u="1"/>
        <n v="1607" u="1"/>
        <n v="1059" u="1"/>
        <n v="2305" u="1"/>
        <n v="1650" u="1"/>
        <n v="1102" u="1"/>
        <n v="789" u="1"/>
        <n v="2391" u="1"/>
        <n v="1693" u="1"/>
        <n v="1145" u="1"/>
        <n v="2520" u="1"/>
        <n v="832" u="1"/>
        <n v="558" u="1"/>
        <n v="398" u="1"/>
        <n v="261" u="1"/>
        <n v="190" u="1"/>
        <n v="43" u="1"/>
        <n v="2606" u="1"/>
        <n v="1231" u="1"/>
        <n v="2649" u="1"/>
        <n v="1822" u="1"/>
        <n v="1274" u="1"/>
        <n v="875" u="1"/>
        <n v="601" u="1"/>
        <n v="2778" u="1"/>
        <n v="1865" u="1"/>
        <n v="2821" u="1"/>
        <n v="1908" u="1"/>
        <n v="1360" u="1"/>
        <n v="918" u="1"/>
        <n v="644" u="1"/>
        <n v="441" u="1"/>
        <n v="304" u="1"/>
        <n v="67" u="1"/>
        <n v="2907" u="1"/>
        <n v="2950" u="1"/>
        <n v="1951" u="1"/>
        <n v="1403" u="1"/>
        <n v="961" u="1"/>
        <n v="2037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027" u="1"/>
        <n v="2284" u="1"/>
        <n v="1618" u="1"/>
        <n v="773" u="1"/>
        <n v="2327" u="1"/>
        <n v="2370" u="1"/>
        <n v="2413" u="1"/>
        <n v="2456" u="1"/>
        <n v="1156" u="1"/>
        <n v="816" u="1"/>
        <n v="542" u="1"/>
        <n v="390" u="1"/>
        <n v="186" u="1"/>
        <n v="2499" u="1"/>
        <n v="42" u="1"/>
        <n v="2542" u="1"/>
        <n v="1747" u="1"/>
        <n v="1199" u="1"/>
        <n v="2585" u="1"/>
        <n v="2628" u="1"/>
        <n v="1790" u="1"/>
        <n v="859" u="1"/>
        <n v="2671" u="1"/>
        <n v="2714" u="1"/>
        <n v="1833" u="1"/>
        <n v="1285" u="1"/>
        <n v="2757" u="1"/>
        <n v="2800" u="1"/>
        <n v="1328" u="1"/>
        <n v="628" u="1"/>
        <n v="433" u="1"/>
        <n v="296" u="1"/>
        <n v="2843" u="1"/>
        <n v="15" u="1"/>
        <n v="1919" u="1"/>
        <n v="1371" u="1"/>
        <n v="2929" u="1"/>
        <n v="2972" u="1"/>
        <n v="1962" u="1"/>
        <n v="945" u="1"/>
        <n v="671" u="1"/>
        <n v="3015" u="1"/>
        <n v="2005" u="1"/>
        <n v="1457" u="1"/>
        <n v="1500" u="1"/>
        <n v="988" u="1"/>
        <n v="476" u="1"/>
        <n v="339" u="1"/>
        <n v="229" u="1"/>
        <n v="110" u="1"/>
        <n v="2134" u="1"/>
        <n v="1543" u="1"/>
        <n v="2177" u="1"/>
        <n v="2220" u="1"/>
        <n v="1586" u="1"/>
        <n v="1038" u="1"/>
        <n v="2263" u="1"/>
        <n v="2306" u="1"/>
        <n v="1629" u="1"/>
        <n v="1081" u="1"/>
        <n v="2392" u="1"/>
        <n v="1672" u="1"/>
        <n v="1124" u="1"/>
        <n v="526" u="1"/>
        <n v="382" u="1"/>
        <n v="182" u="1"/>
        <n v="2435" u="1"/>
        <n v="41" u="1"/>
        <n v="2478" u="1"/>
        <n v="1715" u="1"/>
        <n v="1167" u="1"/>
        <n v="2521" u="1"/>
        <n v="2564" u="1"/>
        <n v="1758" u="1"/>
        <n v="1210" u="1"/>
        <n v="843" u="1"/>
        <n v="2607" u="1"/>
        <n v="2650" u="1"/>
        <n v="1801" u="1"/>
        <n v="2693" u="1"/>
        <n v="2736" u="1"/>
        <n v="886" u="1"/>
        <n v="612" u="1"/>
        <n v="425" u="1"/>
        <n v="288" u="1"/>
        <n v="135" u="1"/>
        <n v="2779" u="1"/>
        <n v="2822" u="1"/>
        <n v="1887" u="1"/>
        <n v="1339" u="1"/>
        <n v="2865" u="1"/>
        <n v="2908" u="1"/>
        <n v="1930" u="1"/>
        <n v="929" u="1"/>
        <n v="655" u="1"/>
        <n v="2951" u="1"/>
        <n v="2994" u="1"/>
        <n v="1425" u="1"/>
        <n v="1468" u="1"/>
        <n v="972" u="1"/>
        <n v="698" u="1"/>
        <n v="468" u="1"/>
        <n v="108" u="1"/>
        <n v="2070" u="1"/>
        <n v="1511" u="1"/>
        <n v="2156" u="1"/>
        <n v="1554" u="1"/>
        <n v="1015" u="1"/>
        <n v="741" u="1"/>
        <n v="2199" u="1"/>
        <n v="2242" u="1"/>
        <n v="1049" u="1"/>
        <n v="2285" u="1"/>
        <n v="2328" u="1"/>
        <n v="1092" u="1"/>
        <n v="374" u="1"/>
        <n v="2371" u="1"/>
        <n v="40" u="1"/>
        <n v="2414" u="1"/>
        <n v="1683" u="1"/>
        <n v="1135" u="1"/>
        <n v="2457" u="1"/>
        <n v="2500" u="1"/>
        <n v="1726" u="1"/>
        <n v="1178" u="1"/>
        <n v="827" u="1"/>
        <n v="553" u="1"/>
        <n v="2543" u="1"/>
        <n v="1769" u="1"/>
        <n v="1221" u="1"/>
        <n v="2629" u="1"/>
        <n v="2672" u="1"/>
        <n v="1812" u="1"/>
        <n v="870" u="1"/>
        <n v="596" u="1"/>
        <n v="417" u="1"/>
        <n v="131" u="1"/>
        <n v="2715" u="1"/>
        <n v="2758" u="1"/>
        <n v="2801" u="1"/>
        <n v="2844" u="1"/>
        <n v="1898" u="1"/>
        <n v="1350" u="1"/>
        <n v="913" u="1"/>
        <n v="639" u="1"/>
        <n v="2887" u="1"/>
        <n v="2930" u="1"/>
        <n v="1941" u="1"/>
        <n v="1393" u="1"/>
        <n v="2973" u="1"/>
        <n v="3016" u="1"/>
        <n v="1984" u="1"/>
        <n v="956" u="1"/>
        <n v="682" u="1"/>
        <n v="460" u="1"/>
        <n v="323" u="1"/>
        <n v="221" u="1"/>
        <n v="106" u="1"/>
        <n v="1479" u="1"/>
        <n v="1522" u="1"/>
        <n v="999" u="1"/>
        <n v="725" u="1"/>
        <n v="2135" u="1"/>
        <n v="2178" u="1"/>
        <n v="1565" u="1"/>
        <n v="2264" u="1"/>
        <n v="1608" u="1"/>
        <n v="1060" u="1"/>
        <n v="768" u="1"/>
        <n v="503" u="1"/>
        <n v="366" u="1"/>
        <n v="174" u="1"/>
        <n v="2307" u="1"/>
        <n v="39" u="1"/>
        <n v="2350" u="1"/>
        <n v="1651" u="1"/>
        <n v="1103" u="1"/>
        <n v="2393" u="1"/>
        <n v="2436" u="1"/>
        <n v="1694" u="1"/>
        <n v="1146" u="1"/>
        <n v="811" u="1"/>
        <n v="2479" u="1"/>
        <n v="2522" u="1"/>
        <n v="2565" u="1"/>
        <n v="2608" u="1"/>
        <n v="1780" u="1"/>
        <n v="1232" u="1"/>
        <n v="580" u="1"/>
        <n v="409" u="1"/>
        <n v="272" u="1"/>
        <n v="2651" u="1"/>
        <n v="1823" u="1"/>
        <n v="1275" u="1"/>
        <n v="2780" u="1"/>
        <n v="1866" u="1"/>
        <n v="897" u="1"/>
        <n v="623" u="1"/>
        <n v="2866" u="1"/>
        <n v="1909" u="1"/>
        <n v="1361" u="1"/>
        <n v="2909" u="1"/>
        <n v="2952" u="1"/>
        <n v="1952" u="1"/>
        <n v="1404" u="1"/>
        <n v="940" u="1"/>
        <n v="452" u="1"/>
        <n v="315" u="1"/>
        <n v="217" u="1"/>
        <n v="104" u="1"/>
        <n v="3038" u="1"/>
        <n v="2038" u="1"/>
        <n v="1490" u="1"/>
        <n v="983" u="1"/>
        <n v="709" u="1"/>
        <n v="2071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619" u="1"/>
        <n v="1071" u="1"/>
        <n v="2329" u="1"/>
        <n v="2372" u="1"/>
        <n v="1114" u="1"/>
        <n v="795" u="1"/>
        <n v="521" u="1"/>
        <n v="2415" u="1"/>
        <n v="2458" u="1"/>
        <n v="1705" u="1"/>
        <n v="2501" u="1"/>
        <n v="2544" u="1"/>
        <n v="1748" u="1"/>
        <n v="1200" u="1"/>
        <n v="838" u="1"/>
        <n v="564" u="1"/>
        <n v="264" u="1"/>
        <n v="2587" u="1"/>
        <n v="14" u="1"/>
        <n v="1791" u="1"/>
        <n v="2673" u="1"/>
        <n v="1834" u="1"/>
        <n v="1286" u="1"/>
        <n v="881" u="1"/>
        <n v="607" u="1"/>
        <n v="2759" u="1"/>
        <n v="2802" u="1"/>
        <n v="1329" u="1"/>
        <n v="2888" u="1"/>
        <n v="1372" u="1"/>
        <n v="924" u="1"/>
        <n v="650" u="1"/>
        <n v="444" u="1"/>
        <n v="307" u="1"/>
        <n v="213" u="1"/>
        <n v="102" u="1"/>
        <n v="2931" u="1"/>
        <n v="2974" u="1"/>
        <n v="1963" u="1"/>
        <n v="3017" u="1"/>
        <n v="2006" u="1"/>
        <n v="1458" u="1"/>
        <n v="967" u="1"/>
        <n v="693" u="1"/>
        <n v="2050" u="1"/>
        <n v="1501" u="1"/>
        <n v="2136" u="1"/>
        <n v="1544" u="1"/>
        <n v="1010" u="1"/>
        <n v="487" u="1"/>
        <n v="350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2351" u="1"/>
        <n v="2394" u="1"/>
        <n v="1673" u="1"/>
        <n v="1125" u="1"/>
        <n v="2437" u="1"/>
        <n v="2480" u="1"/>
        <n v="1168" u="1"/>
        <n v="548" u="1"/>
        <n v="393" u="1"/>
        <n v="256" u="1"/>
        <n v="2523" u="1"/>
        <n v="2566" u="1"/>
        <n v="1759" u="1"/>
        <n v="2609" u="1"/>
        <n v="2652" u="1"/>
        <n v="1802" u="1"/>
        <n v="865" u="1"/>
        <n v="591" u="1"/>
        <n v="2695" u="1"/>
        <n v="2738" u="1"/>
        <n v="1845" u="1"/>
        <n v="2781" u="1"/>
        <n v="2824" u="1"/>
        <n v="1888" u="1"/>
        <n v="1340" u="1"/>
        <n v="908" u="1"/>
        <n v="436" u="1"/>
        <n v="299" u="1"/>
        <n v="209" u="1"/>
        <n v="100" u="1"/>
        <n v="2867" u="1"/>
        <n v="2910" u="1"/>
        <n v="1931" u="1"/>
        <n v="2953" u="1"/>
        <n v="951" u="1"/>
        <n v="677" u="1"/>
        <n v="3039" u="1"/>
        <n v="1469" u="1"/>
        <n v="2072" u="1"/>
        <n v="994" u="1"/>
        <n v="720" u="1"/>
        <n v="479" u="1"/>
        <n v="342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2416" u="1"/>
        <n v="1136" u="1"/>
        <n v="532" u="1"/>
        <n v="385" u="1"/>
        <n v="252" u="1"/>
        <n v="2459" u="1"/>
        <n v="2502" u="1"/>
        <n v="1727" u="1"/>
        <n v="1179" u="1"/>
        <n v="2545" u="1"/>
        <n v="2588" u="1"/>
        <n v="1770" u="1"/>
        <n v="849" u="1"/>
        <n v="2631" u="1"/>
        <n v="2674" u="1"/>
        <n v="1813" u="1"/>
        <n v="2717" u="1"/>
        <n v="2760" u="1"/>
        <n v="1856" u="1"/>
        <n v="618" u="1"/>
        <n v="428" u="1"/>
        <n v="291" u="1"/>
        <n v="205" u="1"/>
        <n v="98" u="1"/>
        <n v="2803" u="1"/>
        <n v="5" u="1"/>
        <n v="1899" u="1"/>
        <n v="1351" u="1"/>
        <n v="2889" u="1"/>
        <n v="2932" u="1"/>
        <n v="1942" u="1"/>
        <n v="1394" u="1"/>
        <n v="935" u="1"/>
        <n v="2975" u="1"/>
        <n v="3018" u="1"/>
        <n v="978" u="1"/>
        <n v="704" u="1"/>
        <n v="471" u="1"/>
        <n v="158" u="1"/>
        <n v="35" u="1"/>
        <n v="1523" u="1"/>
        <n v="2137" u="1"/>
        <n v="2180" u="1"/>
        <n v="1566" u="1"/>
        <n v="1021" u="1"/>
        <n v="747" u="1"/>
        <n v="2223" u="1"/>
        <n v="2266" u="1"/>
        <n v="1609" u="1"/>
        <n v="1061" u="1"/>
        <n v="2309" u="1"/>
        <n v="2352" u="1"/>
        <n v="1104" u="1"/>
        <n v="790" u="1"/>
        <n v="516" u="1"/>
        <n v="248" u="1"/>
        <n v="2438" u="1"/>
        <n v="1695" u="1"/>
        <n v="1147" u="1"/>
        <n v="2481" u="1"/>
        <n v="2524" u="1"/>
        <n v="1738" u="1"/>
        <n v="1190" u="1"/>
        <n v="833" u="1"/>
        <n v="559" u="1"/>
        <n v="2567" u="1"/>
        <n v="2610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2739" u="1"/>
        <n v="2782" u="1"/>
        <n v="1867" u="1"/>
        <n v="2825" u="1"/>
        <n v="2868" u="1"/>
        <n v="1910" u="1"/>
        <n v="919" u="1"/>
        <n v="2911" u="1"/>
        <n v="2954" u="1"/>
        <n v="1953" u="1"/>
        <n v="1405" u="1"/>
        <n v="3040" u="1"/>
        <n v="962" u="1"/>
        <n v="688" u="1"/>
        <n v="463" u="1"/>
        <n v="326" u="1"/>
        <n v="154" u="1"/>
        <n v="34" u="1"/>
        <n v="2039" u="1"/>
        <n v="2073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2374" u="1"/>
        <n v="1663" u="1"/>
        <n v="1115" u="1"/>
        <n v="2417" u="1"/>
        <n v="2460" u="1"/>
        <n v="1706" u="1"/>
        <n v="1158" u="1"/>
        <n v="817" u="1"/>
        <n v="543" u="1"/>
        <n v="2503" u="1"/>
        <n v="1201" u="1"/>
        <n v="2589" u="1"/>
        <n v="2632" u="1"/>
        <n v="1792" u="1"/>
        <n v="586" u="1"/>
        <n v="412" u="1"/>
        <n v="275" u="1"/>
        <n v="197" u="1"/>
        <n v="94" u="1"/>
        <n v="2675" u="1"/>
        <n v="2718" u="1"/>
        <n v="1835" u="1"/>
        <n v="1287" u="1"/>
        <n v="2761" u="1"/>
        <n v="2804" u="1"/>
        <n v="1330" u="1"/>
        <n v="629" u="1"/>
        <n v="2847" u="1"/>
        <n v="1921" u="1"/>
        <n v="1373" u="1"/>
        <n v="2933" u="1"/>
        <n v="1964" u="1"/>
        <n v="946" u="1"/>
        <n v="455" u="1"/>
        <n v="150" u="1"/>
        <n v="3019" u="1"/>
        <n v="33" u="1"/>
        <n v="1502" u="1"/>
        <n v="989" u="1"/>
        <n v="71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2353" u="1"/>
        <n v="2396" u="1"/>
        <n v="1674" u="1"/>
        <n v="1126" u="1"/>
        <n v="527" u="1"/>
        <n v="2439" u="1"/>
        <n v="2482" u="1"/>
        <n v="1717" u="1"/>
        <n v="1169" u="1"/>
        <n v="2525" u="1"/>
        <n v="2568" u="1"/>
        <n v="1760" u="1"/>
        <n v="844" u="1"/>
        <n v="570" u="1"/>
        <n v="404" u="1"/>
        <n v="267" u="1"/>
        <n v="193" u="1"/>
        <n v="92" u="1"/>
        <n v="2611" u="1"/>
        <n v="2654" u="1"/>
        <n v="1255" u="1"/>
        <n v="2740" u="1"/>
        <n v="1846" u="1"/>
        <n v="1298" u="1"/>
        <n v="887" u="1"/>
        <n v="613" u="1"/>
        <n v="2826" u="1"/>
        <n v="1889" u="1"/>
        <n v="1341" u="1"/>
        <n v="2869" u="1"/>
        <n v="2912" u="1"/>
        <n v="1932" u="1"/>
        <n v="930" u="1"/>
        <n v="656" u="1"/>
        <n v="447" u="1"/>
        <n v="310" u="1"/>
        <n v="146" u="1"/>
        <n v="2955" u="1"/>
        <n v="32" u="1"/>
        <n v="1975" u="1"/>
        <n v="1427" u="1"/>
        <n v="3041" u="1"/>
        <n v="1470" u="1"/>
        <n v="973" u="1"/>
        <n v="699" u="1"/>
        <n v="2074" u="1"/>
        <n v="1513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2418" u="1"/>
        <n v="1685" u="1"/>
        <n v="1137" u="1"/>
        <n v="2504" u="1"/>
        <n v="828" u="1"/>
        <n v="554" u="1"/>
        <n v="259" u="1"/>
        <n v="189" u="1"/>
        <n v="90" u="1"/>
        <n v="2547" u="1"/>
        <n v="2590" u="1"/>
        <n v="1771" u="1"/>
        <n v="2676" u="1"/>
        <n v="1814" u="1"/>
        <n v="871" u="1"/>
        <n v="597" u="1"/>
        <n v="2762" u="1"/>
        <n v="2805" u="1"/>
        <n v="2848" u="1"/>
        <n v="1900" u="1"/>
        <n v="1352" u="1"/>
        <n v="914" u="1"/>
        <n v="640" u="1"/>
        <n v="439" u="1"/>
        <n v="302" u="1"/>
        <n v="142" u="1"/>
        <n v="2891" u="1"/>
        <n v="1943" u="1"/>
        <n v="1395" u="1"/>
        <n v="957" u="1"/>
        <n v="683" u="1"/>
        <n v="2029" u="1"/>
        <n v="1481" u="1"/>
        <n v="2053" u="1"/>
        <n v="1524" u="1"/>
        <n v="1000" u="1"/>
        <n v="726" u="1"/>
        <n v="482" u="1"/>
        <n v="345" u="1"/>
        <n v="2139" u="1"/>
        <n v="2182" u="1"/>
        <n v="2268" u="1"/>
        <n v="1610" u="1"/>
        <n v="1062" u="1"/>
        <n v="769" u="1"/>
        <n v="2311" u="1"/>
        <n v="2354" u="1"/>
        <n v="1653" u="1"/>
        <n v="1105" u="1"/>
        <n v="2397" u="1"/>
        <n v="2440" u="1"/>
        <n v="812" u="1"/>
        <n v="538" u="1"/>
        <n v="388" u="1"/>
        <n v="88" u="1"/>
        <n v="2483" u="1"/>
        <n v="2526" u="1"/>
        <n v="1739" u="1"/>
        <n v="2569" u="1"/>
        <n v="2612" u="1"/>
        <n v="1234" u="1"/>
        <n v="581" u="1"/>
        <n v="2655" u="1"/>
        <n v="2698" u="1"/>
        <n v="1825" u="1"/>
        <n v="1277" u="1"/>
        <n v="2741" u="1"/>
        <n v="1320" u="1"/>
        <n v="898" u="1"/>
        <n v="624" u="1"/>
        <n v="431" u="1"/>
        <n v="294" u="1"/>
        <n v="31" u="1"/>
        <n v="1911" u="1"/>
        <n v="2913" u="1"/>
        <n v="2956" u="1"/>
        <n v="1954" u="1"/>
        <n v="1406" u="1"/>
        <n v="941" u="1"/>
        <n v="2999" u="1"/>
        <n v="3042" u="1"/>
        <n v="2040" u="1"/>
        <n v="1492" u="1"/>
        <n v="984" u="1"/>
        <n v="710" u="1"/>
        <n v="474" u="1"/>
        <n v="337" u="1"/>
        <n v="2075" u="1"/>
        <n v="12" u="1"/>
        <n v="2161" u="1"/>
        <n v="2204" u="1"/>
        <n v="1578" u="1"/>
        <n v="2247" u="1"/>
        <n v="2290" u="1"/>
        <n v="1621" u="1"/>
        <n v="1073" u="1"/>
        <n v="2333" u="1"/>
        <n v="2376" u="1"/>
        <n v="1664" u="1"/>
        <n v="1116" u="1"/>
        <n v="796" u="1"/>
        <n v="522" u="1"/>
        <n v="380" u="1"/>
        <n v="181" u="1"/>
        <n v="86" u="1"/>
        <n v="2419" u="1"/>
        <n v="1707" u="1"/>
        <n v="1159" u="1"/>
        <n v="2505" u="1"/>
        <n v="2548" u="1"/>
        <n v="1750" u="1"/>
        <n v="1202" u="1"/>
        <n v="839" u="1"/>
        <n v="565" u="1"/>
        <n v="1793" u="1"/>
        <n v="2677" u="1"/>
        <n v="2720" u="1"/>
        <n v="1836" u="1"/>
        <n v="1288" u="1"/>
        <n v="882" u="1"/>
        <n v="608" u="1"/>
        <n v="423" u="1"/>
        <n v="286" u="1"/>
        <n v="134" u="1"/>
        <n v="2763" u="1"/>
        <n v="2806" u="1"/>
        <n v="1331" u="1"/>
        <n v="2849" u="1"/>
        <n v="2892" u="1"/>
        <n v="1374" u="1"/>
        <n v="925" u="1"/>
        <n v="651" u="1"/>
        <n v="2978" u="1"/>
        <n v="1965" u="1"/>
        <n v="2008" u="1"/>
        <n v="1460" u="1"/>
        <n v="968" u="1"/>
        <n v="694" u="1"/>
        <n v="466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041" u="1"/>
        <n v="2269" u="1"/>
        <n v="2312" u="1"/>
        <n v="1632" u="1"/>
        <n v="1084" u="1"/>
        <n v="780" u="1"/>
        <n v="509" u="1"/>
        <n v="372" u="1"/>
        <n v="84" u="1"/>
        <n v="2355" u="1"/>
        <n v="2398" u="1"/>
        <n v="1675" u="1"/>
        <n v="2441" u="1"/>
        <n v="2484" u="1"/>
        <n v="1170" u="1"/>
        <n v="549" u="1"/>
        <n v="2527" u="1"/>
        <n v="1213" u="1"/>
        <n v="2613" u="1"/>
        <n v="2656" u="1"/>
        <n v="1804" u="1"/>
        <n v="866" u="1"/>
        <n v="592" u="1"/>
        <n v="415" u="1"/>
        <n v="278" u="1"/>
        <n v="130" u="1"/>
        <n v="30" u="1"/>
        <n v="2742" u="1"/>
        <n v="1299" u="1"/>
        <n v="2785" u="1"/>
        <n v="1890" u="1"/>
        <n v="1342" u="1"/>
        <n v="909" u="1"/>
        <n v="635" u="1"/>
        <n v="2914" u="1"/>
        <n v="1933" u="1"/>
        <n v="1385" u="1"/>
        <n v="1976" u="1"/>
        <n v="952" u="1"/>
        <n v="678" u="1"/>
        <n v="458" u="1"/>
        <n v="321" u="1"/>
        <n v="3043" u="1"/>
        <n v="1471" u="1"/>
        <n v="2076" u="1"/>
        <n v="1514" u="1"/>
        <n v="995" u="1"/>
        <n v="721" u="1"/>
        <n v="2119" u="1"/>
        <n v="2162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095" u="1"/>
        <n v="2420" u="1"/>
        <n v="1686" u="1"/>
        <n v="1138" u="1"/>
        <n v="807" u="1"/>
        <n v="533" u="1"/>
        <n v="2463" u="1"/>
        <n v="2506" u="1"/>
        <n v="2549" u="1"/>
        <n v="2592" u="1"/>
        <n v="1772" u="1"/>
        <n v="1224" u="1"/>
        <n v="850" u="1"/>
        <n v="576" u="1"/>
        <n v="270" u="1"/>
        <n v="127" u="1"/>
        <n v="1815" u="1"/>
        <n v="2721" u="1"/>
        <n v="2764" u="1"/>
        <n v="893" u="1"/>
        <n v="619" u="1"/>
        <n v="2807" u="1"/>
        <n v="2850" u="1"/>
        <n v="1901" u="1"/>
        <n v="1353" u="1"/>
        <n v="2893" u="1"/>
        <n v="2936" u="1"/>
        <n v="1944" u="1"/>
        <n v="936" u="1"/>
        <n v="450" u="1"/>
        <n v="313" u="1"/>
        <n v="216" u="1"/>
        <n v="2979" u="1"/>
        <n v="3022" u="1"/>
        <n v="2030" u="1"/>
        <n v="1482" u="1"/>
        <n v="979" u="1"/>
        <n v="705" u="1"/>
        <n v="1525" u="1"/>
        <n v="2141" u="1"/>
        <n v="2184" u="1"/>
        <n v="1568" u="1"/>
        <n v="1022" u="1"/>
        <n v="748" u="1"/>
        <n v="493" u="1"/>
        <n v="356" u="1"/>
        <n v="169" u="1"/>
        <n v="80" u="1"/>
        <n v="2270" u="1"/>
        <n v="1611" u="1"/>
        <n v="1063" u="1"/>
        <n v="2313" u="1"/>
        <n v="2356" u="1"/>
        <n v="1654" u="1"/>
        <n v="1106" u="1"/>
        <n v="791" u="1"/>
        <n v="517" u="1"/>
        <n v="2399" u="1"/>
        <n v="2442" u="1"/>
        <n v="1149" u="1"/>
        <n v="2528" u="1"/>
        <n v="1740" u="1"/>
        <n v="834" u="1"/>
        <n v="560" u="1"/>
        <n v="399" u="1"/>
        <n v="262" u="1"/>
        <n v="125" u="1"/>
        <n v="2571" u="1"/>
        <n v="29" u="1"/>
        <n v="2614" u="1"/>
        <n v="1235" u="1"/>
        <n v="2657" u="1"/>
        <n v="1826" u="1"/>
        <n v="1278" u="1"/>
        <n v="877" u="1"/>
        <n v="603" u="1"/>
        <n v="2743" u="1"/>
        <n v="2786" u="1"/>
        <n v="1869" u="1"/>
        <n v="1321" u="1"/>
        <n v="2829" u="1"/>
        <n v="2872" u="1"/>
        <n v="1912" u="1"/>
        <n v="920" u="1"/>
        <n v="646" u="1"/>
        <n v="442" u="1"/>
        <n v="305" u="1"/>
        <n v="212" u="1"/>
        <n v="2915" u="1"/>
        <n v="11" u="1"/>
        <n v="2958" u="1"/>
        <n v="1955" u="1"/>
        <n v="1407" u="1"/>
        <n v="3001" u="1"/>
        <n v="3044" u="1"/>
        <n v="1998" u="1"/>
        <n v="963" u="1"/>
        <n v="689" u="1"/>
        <n v="2041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074" u="1"/>
        <n v="775" u="1"/>
        <n v="2335" u="1"/>
        <n v="2378" u="1"/>
        <n v="1665" u="1"/>
        <n v="1117" u="1"/>
        <n v="2421" u="1"/>
        <n v="1708" u="1"/>
        <n v="1160" u="1"/>
        <n v="818" u="1"/>
        <n v="544" u="1"/>
        <n v="391" u="1"/>
        <n v="255" u="1"/>
        <n v="123" u="1"/>
        <n v="2507" u="1"/>
        <n v="2550" u="1"/>
        <n v="2636" u="1"/>
        <n v="1794" u="1"/>
        <n v="861" u="1"/>
        <n v="587" u="1"/>
        <n v="2722" u="1"/>
        <n v="1837" u="1"/>
        <n v="1289" u="1"/>
        <n v="2765" u="1"/>
        <n v="2808" u="1"/>
        <n v="1880" u="1"/>
        <n v="1332" u="1"/>
        <n v="630" u="1"/>
        <n v="434" u="1"/>
        <n v="2851" u="1"/>
        <n v="2894" u="1"/>
        <n v="1923" u="1"/>
        <n v="1375" u="1"/>
        <n v="2937" u="1"/>
        <n v="2980" u="1"/>
        <n v="1966" u="1"/>
        <n v="947" u="1"/>
        <n v="673" u="1"/>
        <n v="3023" u="1"/>
        <n v="1461" u="1"/>
        <n v="2056" u="1"/>
        <n v="1504" u="1"/>
        <n v="990" u="1"/>
        <n v="477" u="1"/>
        <n v="340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2357" u="1"/>
        <n v="2400" u="1"/>
        <n v="1676" u="1"/>
        <n v="1128" u="1"/>
        <n v="528" u="1"/>
        <n v="383" u="1"/>
        <n v="251" u="1"/>
        <n v="121" u="1"/>
        <n v="2443" u="1"/>
        <n v="28" u="1"/>
        <n v="1171" u="1"/>
        <n v="2529" u="1"/>
        <n v="2572" u="1"/>
        <n v="845" u="1"/>
        <n v="571" u="1"/>
        <n v="2615" u="1"/>
        <n v="2658" u="1"/>
        <n v="1805" u="1"/>
        <n v="2701" u="1"/>
        <n v="2744" u="1"/>
        <n v="1848" u="1"/>
        <n v="1300" u="1"/>
        <n v="888" u="1"/>
        <n v="614" u="1"/>
        <n v="426" u="1"/>
        <n v="289" u="1"/>
        <n v="204" u="1"/>
        <n v="2787" u="1"/>
        <n v="1343" u="1"/>
        <n v="2873" u="1"/>
        <n v="2916" u="1"/>
        <n v="1934" u="1"/>
        <n v="1386" u="1"/>
        <n v="931" u="1"/>
        <n v="657" u="1"/>
        <n v="3002" u="1"/>
        <n v="1977" u="1"/>
        <n v="1472" u="1"/>
        <n v="974" u="1"/>
        <n v="700" u="1"/>
        <n v="469" u="1"/>
        <n v="332" u="1"/>
        <n v="157" u="1"/>
        <n v="2078" u="1"/>
        <n v="1515" u="1"/>
        <n v="2121" u="1"/>
        <n v="2164" u="1"/>
        <n v="1017" u="1"/>
        <n v="743" u="1"/>
        <n v="2207" u="1"/>
        <n v="2250" u="1"/>
        <n v="1601" u="1"/>
        <n v="1053" u="1"/>
        <n v="2293" u="1"/>
        <n v="1644" u="1"/>
        <n v="1096" u="1"/>
        <n v="786" u="1"/>
        <n v="375" u="1"/>
        <n v="247" u="1"/>
        <n v="2422" u="1"/>
        <n v="2465" u="1"/>
        <n v="2508" u="1"/>
        <n v="1730" u="1"/>
        <n v="555" u="1"/>
        <n v="2551" u="1"/>
        <n v="2594" u="1"/>
        <n v="1773" u="1"/>
        <n v="1225" u="1"/>
        <n v="2637" u="1"/>
        <n v="1816" u="1"/>
        <n v="872" u="1"/>
        <n v="598" u="1"/>
        <n v="418" u="1"/>
        <n v="281" u="1"/>
        <n v="200" u="1"/>
        <n v="2723" u="1"/>
        <n v="2766" u="1"/>
        <n v="2809" u="1"/>
        <n v="2852" u="1"/>
        <n v="1354" u="1"/>
        <n v="641" u="1"/>
        <n v="2895" u="1"/>
        <n v="2938" u="1"/>
        <n v="1945" u="1"/>
        <n v="1397" u="1"/>
        <n v="2981" u="1"/>
        <n v="3024" u="1"/>
        <n v="958" u="1"/>
        <n v="684" u="1"/>
        <n v="461" u="1"/>
        <n v="324" u="1"/>
        <n v="153" u="1"/>
        <n v="2031" u="1"/>
        <n v="1483" u="1"/>
        <n v="2100" u="1"/>
        <n v="1001" u="1"/>
        <n v="727" u="1"/>
        <n v="2143" u="1"/>
        <n v="2186" u="1"/>
        <n v="2272" u="1"/>
        <n v="161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2401" u="1"/>
        <n v="2444" u="1"/>
        <n v="1698" u="1"/>
        <n v="1150" u="1"/>
        <n v="813" u="1"/>
        <n v="539" u="1"/>
        <n v="2530" u="1"/>
        <n v="1741" u="1"/>
        <n v="2573" u="1"/>
        <n v="2616" u="1"/>
        <n v="410" u="1"/>
        <n v="273" u="1"/>
        <n v="2659" u="1"/>
        <n v="10" u="1"/>
        <n v="1827" u="1"/>
        <n v="1279" u="1"/>
        <n v="2745" u="1"/>
        <n v="2788" u="1"/>
        <n v="1870" u="1"/>
        <n v="1322" u="1"/>
        <n v="899" u="1"/>
        <n v="625" u="1"/>
        <n v="2831" u="1"/>
        <n v="2874" u="1"/>
        <n v="1913" u="1"/>
        <n v="1365" u="1"/>
        <n v="2917" u="1"/>
        <n v="2960" u="1"/>
        <n v="1956" u="1"/>
        <n v="1408" u="1"/>
        <n v="942" u="1"/>
        <n v="668" u="1"/>
        <n v="453" u="1"/>
        <n v="70" u="1"/>
        <n v="3046" u="1"/>
        <n v="1999" u="1"/>
        <n v="1494" u="1"/>
        <n v="985" u="1"/>
        <n v="711" u="1"/>
        <n v="2079" u="1"/>
        <n v="2122" u="1"/>
        <n v="1537" u="1"/>
        <n v="2165" u="1"/>
        <n v="2208" u="1"/>
        <n v="1580" u="1"/>
        <n v="1032" u="1"/>
        <n v="754" u="1"/>
        <n v="496" u="1"/>
        <n v="359" u="1"/>
        <n v="239" u="1"/>
        <n v="2251" u="1"/>
        <n v="2294" u="1"/>
        <n v="1623" u="1"/>
        <n v="1075" u="1"/>
        <n v="2380" u="1"/>
        <n v="1666" u="1"/>
        <n v="1118" u="1"/>
        <n v="797" u="1"/>
        <n v="2423" u="1"/>
        <n v="2466" u="1"/>
        <n v="1709" u="1"/>
        <n v="1161" u="1"/>
        <n v="2509" u="1"/>
        <n v="1752" u="1"/>
        <n v="1204" u="1"/>
        <n v="840" u="1"/>
        <n v="566" u="1"/>
        <n v="402" u="1"/>
        <n v="192" u="1"/>
        <n v="1795" u="1"/>
        <n v="2724" u="1"/>
        <n v="1838" u="1"/>
        <n v="883" u="1"/>
        <n v="609" u="1"/>
        <n v="2767" u="1"/>
        <n v="2810" u="1"/>
        <n v="1881" u="1"/>
        <n v="1333" u="1"/>
        <n v="2896" u="1"/>
        <n v="1924" u="1"/>
        <n v="1376" u="1"/>
        <n v="926" u="1"/>
        <n v="445" u="1"/>
        <n v="68" u="1"/>
        <n v="2982" u="1"/>
        <n v="1419" u="1"/>
        <n v="3025" u="1"/>
        <n v="2010" u="1"/>
        <n v="1462" u="1"/>
        <n v="969" u="1"/>
        <n v="695" u="1"/>
        <n v="2058" u="1"/>
        <n v="1505" u="1"/>
        <n v="2101" u="1"/>
        <n v="1012" u="1"/>
        <n v="738" u="1"/>
        <n v="488" u="1"/>
        <n v="351" u="1"/>
        <n v="113" u="1"/>
        <n v="2187" u="1"/>
        <n v="26" u="1"/>
        <n v="1591" u="1"/>
        <n v="1043" u="1"/>
        <n v="2316" u="1"/>
        <n v="1634" u="1"/>
        <n v="781" u="1"/>
        <n v="2402" u="1"/>
        <n v="1677" u="1"/>
        <n v="1129" u="1"/>
        <n v="2488" u="1"/>
        <n v="1720" u="1"/>
        <n v="550" u="1"/>
        <n v="394" u="1"/>
        <n v="257" u="1"/>
        <n v="2531" u="1"/>
        <n v="2574" u="1"/>
        <n v="1763" u="1"/>
        <n v="1215" u="1"/>
        <n v="2617" u="1"/>
        <n v="2660" u="1"/>
        <n v="1806" u="1"/>
        <n v="867" u="1"/>
        <n v="593" u="1"/>
        <n v="2746" u="1"/>
        <n v="1301" u="1"/>
        <n v="2789" u="1"/>
        <n v="2832" u="1"/>
        <n v="1892" u="1"/>
        <n v="910" u="1"/>
        <n v="636" u="1"/>
        <n v="437" u="1"/>
        <n v="300" u="1"/>
        <n v="1935" u="1"/>
        <n v="1387" u="1"/>
        <n v="3004" u="1"/>
        <n v="1978" u="1"/>
        <n v="1430" u="1"/>
        <n v="679" u="1"/>
        <n v="3047" u="1"/>
        <n v="2080" u="1"/>
        <n v="1516" u="1"/>
        <n v="996" u="1"/>
        <n v="722" u="1"/>
        <n v="480" u="1"/>
        <n v="343" u="1"/>
        <n v="231" u="1"/>
        <n v="111" u="1"/>
        <n v="2123" u="1"/>
        <n v="2166" u="1"/>
        <n v="2209" u="1"/>
        <n v="2252" u="1"/>
        <n v="1602" u="1"/>
        <n v="2295" u="1"/>
        <n v="2338" u="1"/>
        <n v="1645" u="1"/>
        <n v="1097" u="1"/>
        <n v="2381" u="1"/>
        <n v="2424" u="1"/>
        <n v="1688" u="1"/>
        <n v="1140" u="1"/>
        <n v="534" u="1"/>
        <n v="386" u="1"/>
        <n v="2467" u="1"/>
        <n v="2510" u="1"/>
        <n v="1731" u="1"/>
        <n v="2553" u="1"/>
        <n v="2596" u="1"/>
        <n v="1774" u="1"/>
        <n v="1226" u="1"/>
        <n v="851" u="1"/>
        <n v="577" u="1"/>
        <n v="2639" u="1"/>
        <n v="1817" u="1"/>
        <n v="1269" u="1"/>
        <n v="2725" u="1"/>
        <n v="2768" u="1"/>
        <n v="894" u="1"/>
        <n v="620" u="1"/>
        <n v="429" u="1"/>
        <n v="292" u="1"/>
        <n v="137" u="1"/>
        <n v="64" u="1"/>
        <n v="2811" u="1"/>
        <n v="2854" u="1"/>
        <n v="1903" u="1"/>
        <n v="1355" u="1"/>
        <n v="2897" u="1"/>
        <n v="2940" u="1"/>
        <n v="1946" u="1"/>
        <n v="1398" u="1"/>
        <n v="937" u="1"/>
        <n v="2983" u="1"/>
        <n v="3026" u="1"/>
        <n v="2032" u="1"/>
        <n v="1484" u="1"/>
        <n v="980" u="1"/>
        <n v="706" u="1"/>
        <n v="472" u="1"/>
        <n v="335" u="1"/>
        <n v="109" u="1"/>
        <n v="2059" u="1"/>
        <n v="25" u="1"/>
        <n v="2102" u="1"/>
        <n v="2145" u="1"/>
        <n v="2188" u="1"/>
        <n v="1570" u="1"/>
        <n v="749" u="1"/>
        <n v="2274" u="1"/>
        <n v="1613" u="1"/>
        <n v="2317" u="1"/>
        <n v="2360" u="1"/>
        <n v="1108" u="1"/>
        <n v="792" u="1"/>
        <n v="518" u="1"/>
        <n v="378" u="1"/>
        <n v="180" u="1"/>
        <n v="2403" u="1"/>
        <n v="9" u="1"/>
        <n v="2446" u="1"/>
        <n v="1699" u="1"/>
        <n v="2532" u="1"/>
        <n v="1742" u="1"/>
        <n v="835" u="1"/>
        <n v="2575" u="1"/>
        <n v="2618" u="1"/>
        <n v="1785" u="1"/>
        <n v="1237" u="1"/>
        <n v="2661" u="1"/>
        <n v="2704" u="1"/>
        <n v="1828" u="1"/>
        <n v="1280" u="1"/>
        <n v="878" u="1"/>
        <n v="604" u="1"/>
        <n v="421" u="1"/>
        <n v="284" u="1"/>
        <n v="133" u="1"/>
        <n v="63" u="1"/>
        <n v="2747" u="1"/>
        <n v="2790" u="1"/>
        <n v="2833" u="1"/>
        <n v="1914" u="1"/>
        <n v="921" u="1"/>
        <n v="647" u="1"/>
        <n v="2919" u="1"/>
        <n v="1957" u="1"/>
        <n v="1409" u="1"/>
        <n v="3005" u="1"/>
        <n v="2000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733" u="1"/>
        <n v="2210" u="1"/>
        <n v="1581" u="1"/>
        <n v="1033" u="1"/>
        <n v="2253" u="1"/>
        <n v="2296" u="1"/>
        <n v="1624" u="1"/>
        <n v="1076" u="1"/>
        <n v="776" u="1"/>
        <n v="507" u="1"/>
        <n v="370" u="1"/>
        <n v="2339" u="1"/>
        <n v="2382" u="1"/>
        <n v="1667" u="1"/>
        <n v="1710" u="1"/>
        <n v="1162" u="1"/>
        <n v="819" u="1"/>
        <n v="545" u="1"/>
        <n v="2511" u="1"/>
        <n v="2554" u="1"/>
        <n v="1753" u="1"/>
        <n v="2597" u="1"/>
        <n v="2640" u="1"/>
        <n v="1796" u="1"/>
        <n v="862" u="1"/>
        <n v="588" u="1"/>
        <n v="413" u="1"/>
        <n v="276" u="1"/>
        <n v="129" u="1"/>
        <n v="62" u="1"/>
        <n v="2726" u="1"/>
        <n v="1839" u="1"/>
        <n v="2769" u="1"/>
        <n v="2812" u="1"/>
        <n v="1882" u="1"/>
        <n v="1334" u="1"/>
        <n v="631" u="1"/>
        <n v="2855" u="1"/>
        <n v="2898" u="1"/>
        <n v="1925" u="1"/>
        <n v="1377" u="1"/>
        <n v="2941" u="1"/>
        <n v="2984" u="1"/>
        <n v="948" u="1"/>
        <n v="674" u="1"/>
        <n v="456" u="1"/>
        <n v="219" u="1"/>
        <n v="105" u="1"/>
        <n v="3027" u="1"/>
        <n v="24" u="1"/>
        <n v="2011" u="1"/>
        <n v="1463" u="1"/>
        <n v="2060" u="1"/>
        <n v="1506" u="1"/>
        <n v="2103" u="1"/>
        <n v="2146" u="1"/>
        <n v="1549" u="1"/>
        <n v="2189" u="1"/>
        <n v="1592" u="1"/>
        <n v="1044" u="1"/>
        <n v="499" u="1"/>
        <n v="362" u="1"/>
        <n v="172" u="1"/>
        <n v="2318" u="1"/>
        <n v="1635" u="1"/>
        <n v="1087" u="1"/>
        <n v="2404" u="1"/>
        <n v="1678" u="1"/>
        <n v="1130" u="1"/>
        <n v="803" u="1"/>
        <n v="529" u="1"/>
        <n v="2447" u="1"/>
        <n v="2490" u="1"/>
        <n v="1721" u="1"/>
        <n v="2533" u="1"/>
        <n v="2576" u="1"/>
        <n v="1764" u="1"/>
        <n v="1216" u="1"/>
        <n v="846" u="1"/>
        <n v="572" u="1"/>
        <n v="405" u="1"/>
        <n v="268" u="1"/>
        <n v="61" u="1"/>
        <n v="2619" u="1"/>
        <n v="2662" u="1"/>
        <n v="1807" u="1"/>
        <n v="2705" u="1"/>
        <n v="2748" u="1"/>
        <n v="1302" u="1"/>
        <n v="889" u="1"/>
        <n v="615" u="1"/>
        <n v="2791" u="1"/>
        <n v="2834" u="1"/>
        <n v="1893" u="1"/>
        <n v="1345" u="1"/>
        <n v="2877" u="1"/>
        <n v="2920" u="1"/>
        <n v="1936" u="1"/>
        <n v="1388" u="1"/>
        <n v="932" u="1"/>
        <n v="658" u="1"/>
        <n v="448" u="1"/>
        <n v="311" u="1"/>
        <n v="215" u="1"/>
        <n v="103" u="1"/>
        <n v="2963" u="1"/>
        <n v="3006" u="1"/>
        <n v="1979" u="1"/>
        <n v="1431" u="1"/>
        <n v="975" u="1"/>
        <n v="701" u="1"/>
        <n v="2082" u="1"/>
        <n v="1517" u="1"/>
        <n v="2125" u="1"/>
        <n v="2168" u="1"/>
        <n v="744" u="1"/>
        <n v="491" u="1"/>
        <n v="354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2383" u="1"/>
        <n v="1689" u="1"/>
        <n v="1141" u="1"/>
        <n v="2469" u="1"/>
        <n v="2512" u="1"/>
        <n v="1732" u="1"/>
        <n v="1184" u="1"/>
        <n v="556" u="1"/>
        <n v="260" u="1"/>
        <n v="60" u="1"/>
        <n v="2598" u="1"/>
        <n v="1227" u="1"/>
        <n v="2641" u="1"/>
        <n v="1818" u="1"/>
        <n v="873" u="1"/>
        <n v="599" u="1"/>
        <n v="2727" u="1"/>
        <n v="2770" u="1"/>
        <n v="2813" u="1"/>
        <n v="2856" u="1"/>
        <n v="1904" u="1"/>
        <n v="1356" u="1"/>
        <n v="916" u="1"/>
        <n v="642" u="1"/>
        <n v="440" u="1"/>
        <n v="303" u="1"/>
        <n v="101" u="1"/>
        <n v="2942" u="1"/>
        <n v="1947" u="1"/>
        <n v="1399" u="1"/>
        <n v="2985" u="1"/>
        <n v="3028" u="1"/>
        <n v="1990" u="1"/>
        <n v="959" u="1"/>
        <n v="685" u="1"/>
        <n v="2033" u="1"/>
        <n v="1485" u="1"/>
        <n v="2061" u="1"/>
        <n v="1528" u="1"/>
        <n v="1002" u="1"/>
        <n v="728" u="1"/>
        <n v="483" u="1"/>
        <n v="346" u="1"/>
        <n v="2147" u="1"/>
        <n v="8" u="1"/>
        <n v="2190" u="1"/>
        <n v="1571" u="1"/>
        <n v="2233" u="1"/>
        <n v="1614" u="1"/>
        <n v="1066" u="1"/>
        <n v="771" u="1"/>
        <n v="2319" u="1"/>
        <n v="1109" u="1"/>
        <n v="2405" u="1"/>
        <n v="2448" u="1"/>
        <n v="1700" u="1"/>
        <n v="1152" u="1"/>
        <n v="814" u="1"/>
        <n v="540" u="1"/>
        <n v="389" u="1"/>
        <n v="254" u="1"/>
        <n v="59" u="1"/>
        <n v="2534" u="1"/>
        <n v="1743" u="1"/>
        <n v="2577" u="1"/>
        <n v="2620" u="1"/>
        <n v="1786" u="1"/>
        <n v="857" u="1"/>
        <n v="583" u="1"/>
        <n v="2663" u="1"/>
        <n v="2706" u="1"/>
        <n v="1829" u="1"/>
        <n v="1281" u="1"/>
        <n v="2749" u="1"/>
        <n v="2792" u="1"/>
        <n v="1872" u="1"/>
        <n v="900" u="1"/>
        <n v="626" u="1"/>
        <n v="432" u="1"/>
        <n v="99" u="1"/>
        <n v="2835" u="1"/>
        <n v="1915" u="1"/>
        <n v="1367" u="1"/>
        <n v="2921" u="1"/>
        <n v="1958" u="1"/>
        <n v="943" u="1"/>
        <n v="669" u="1"/>
        <n v="3007" u="1"/>
        <n v="1453" u="1"/>
        <n v="2044" u="1"/>
        <n v="1496" u="1"/>
        <n v="986" u="1"/>
        <n v="712" u="1"/>
        <n v="475" u="1"/>
        <n v="338" u="1"/>
        <n v="160" u="1"/>
        <n v="2083" u="1"/>
        <n v="2126" u="1"/>
        <n v="1539" u="1"/>
        <n v="2212" u="1"/>
        <n v="1582" u="1"/>
        <n v="1034" u="1"/>
        <n v="755" u="1"/>
        <n v="2255" u="1"/>
        <n v="2298" u="1"/>
        <n v="1625" u="1"/>
        <n v="1077" u="1"/>
        <n v="2341" u="1"/>
        <n v="2384" u="1"/>
        <n v="1120" u="1"/>
        <n v="798" u="1"/>
        <n v="524" u="1"/>
        <n v="381" u="1"/>
        <n v="250" u="1"/>
        <n v="58" u="1"/>
        <n v="2427" u="1"/>
        <n v="2470" u="1"/>
        <n v="1711" u="1"/>
        <n v="1163" u="1"/>
        <n v="2513" u="1"/>
        <n v="2556" u="1"/>
        <n v="1754" u="1"/>
        <n v="1206" u="1"/>
        <n v="841" u="1"/>
        <n v="567" u="1"/>
        <n v="2642" u="1"/>
        <n v="1797" u="1"/>
        <n v="2728" u="1"/>
        <n v="1840" u="1"/>
        <n v="884" u="1"/>
        <n v="610" u="1"/>
        <n v="424" u="1"/>
        <n v="287" u="1"/>
        <n v="203" u="1"/>
        <n v="97" u="1"/>
        <n v="2771" u="1"/>
        <n v="2814" u="1"/>
        <n v="1883" u="1"/>
        <n v="2857" u="1"/>
        <n v="2900" u="1"/>
        <n v="1926" u="1"/>
        <n v="1378" u="1"/>
        <n v="927" u="1"/>
        <n v="653" u="1"/>
        <n v="2943" u="1"/>
        <n v="2986" u="1"/>
        <n v="1969" u="1"/>
        <n v="2012" u="1"/>
        <n v="1464" u="1"/>
        <n v="970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2277" u="1"/>
        <n v="2320" u="1"/>
        <n v="1636" u="1"/>
        <n v="782" u="1"/>
        <n v="373" u="1"/>
        <n v="246" u="1"/>
        <n v="57" u="1"/>
        <n v="2363" u="1"/>
        <n v="3" u="1"/>
        <n v="2406" u="1"/>
        <n v="1679" u="1"/>
        <n v="1131" u="1"/>
        <n v="2449" u="1"/>
        <n v="2492" u="1"/>
        <n v="1722" u="1"/>
        <n v="825" u="1"/>
        <n v="551" u="1"/>
        <n v="2578" u="1"/>
        <n v="1217" u="1"/>
        <n v="2621" u="1"/>
        <n v="2664" u="1"/>
        <n v="1808" u="1"/>
        <n v="1260" u="1"/>
        <n v="868" u="1"/>
        <n v="594" u="1"/>
        <n v="416" u="1"/>
        <n v="279" u="1"/>
        <n v="199" u="1"/>
        <n v="2707" u="1"/>
        <n v="2750" u="1"/>
        <n v="1303" u="1"/>
        <n v="2793" u="1"/>
        <n v="1894" u="1"/>
        <n v="1346" u="1"/>
        <n v="911" u="1"/>
        <n v="637" u="1"/>
        <n v="2879" u="1"/>
        <n v="2922" u="1"/>
        <n v="1937" u="1"/>
        <n v="1389" u="1"/>
        <n v="2965" u="1"/>
        <n v="3008" u="1"/>
        <n v="1980" u="1"/>
        <n v="680" u="1"/>
        <n v="459" u="1"/>
        <n v="152" u="1"/>
        <n v="2084" u="1"/>
        <n v="1518" u="1"/>
        <n v="997" u="1"/>
        <n v="723" u="1"/>
        <n v="2127" u="1"/>
        <n v="2170" u="1"/>
        <n v="2256" u="1"/>
        <n v="1604" u="1"/>
        <n v="1056" u="1"/>
        <n v="766" u="1"/>
        <n v="502" u="1"/>
        <n v="365" u="1"/>
        <n v="242" u="1"/>
        <n v="2299" u="1"/>
        <n v="1647" u="1"/>
        <n v="1099" u="1"/>
        <n v="2385" u="1"/>
        <n v="2428" u="1"/>
        <n v="1690" u="1"/>
        <n v="1142" u="1"/>
        <n v="809" u="1"/>
        <n v="535" u="1"/>
        <n v="2471" u="1"/>
        <n v="2514" u="1"/>
        <n v="1733" u="1"/>
        <n v="1185" u="1"/>
        <n v="2557" u="1"/>
        <n v="2600" u="1"/>
        <n v="1776" u="1"/>
        <n v="852" u="1"/>
        <n v="271" u="1"/>
        <n v="195" u="1"/>
        <n v="93" u="1"/>
        <n v="2643" u="1"/>
        <n v="21" u="1"/>
        <n v="1819" u="1"/>
        <n v="2729" u="1"/>
        <n v="2772" u="1"/>
        <n v="895" u="1"/>
        <n v="621" u="1"/>
        <n v="2815" u="1"/>
        <n v="2858" u="1"/>
        <n v="1905" u="1"/>
        <n v="2901" u="1"/>
        <n v="2944" u="1"/>
        <n v="1948" u="1"/>
        <n v="1400" u="1"/>
        <n v="938" u="1"/>
        <n v="451" u="1"/>
        <n v="314" u="1"/>
        <n v="148" u="1"/>
        <n v="3030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519" u="1"/>
        <n v="1701" u="1"/>
        <n v="1153" u="1"/>
        <n v="2493" u="1"/>
        <n v="2536" u="1"/>
        <n v="1744" u="1"/>
        <n v="1196" u="1"/>
        <n v="562" u="1"/>
        <n v="400" u="1"/>
        <n v="263" u="1"/>
        <n v="191" u="1"/>
        <n v="91" u="1"/>
        <n v="2579" u="1"/>
        <n v="2622" u="1"/>
        <n v="1787" u="1"/>
        <n v="2665" u="1"/>
        <n v="2708" u="1"/>
        <n v="1830" u="1"/>
        <n v="1282" u="1"/>
        <n v="879" u="1"/>
        <n v="605" u="1"/>
        <n v="2751" u="1"/>
        <n v="2794" u="1"/>
        <n v="1325" u="1"/>
        <n v="2837" u="1"/>
        <n v="1916" u="1"/>
        <n v="1368" u="1"/>
        <n v="922" u="1"/>
        <n v="648" u="1"/>
        <n v="2923" u="1"/>
        <n v="2966" u="1"/>
        <n v="1959" u="1"/>
        <n v="3009" u="1"/>
        <n v="2002" u="1"/>
        <n v="965" u="1"/>
        <n v="2045" u="1"/>
        <n v="2085" u="1"/>
        <n v="2128" u="1"/>
        <n v="1540" u="1"/>
        <n v="1008" u="1"/>
        <n v="734" u="1"/>
        <n v="486" u="1"/>
        <n v="349" u="1"/>
        <n v="54" u="1"/>
        <n v="1583" u="1"/>
        <n v="1035" u="1"/>
        <n v="2257" u="1"/>
        <n v="2300" u="1"/>
        <n v="1078" u="1"/>
        <n v="777" u="1"/>
        <n v="2343" u="1"/>
        <n v="2386" u="1"/>
        <n v="1121" u="1"/>
        <n v="2429" u="1"/>
        <n v="2472" u="1"/>
        <n v="1712" u="1"/>
        <n v="1164" u="1"/>
        <n v="54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 count="1">
        <m/>
      </sharedItems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istrador" refreshedDate="42964.646064814813" createdVersion="6" refreshedVersion="6" minRefreshableVersion="3" recordCount="10000" xr:uid="{00000000-000A-0000-FFFF-FFFF29000000}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3">
        <m/>
        <s v="00004 - Google LMS Integration" u="1"/>
        <s v=" 00003 - OpenID Connect SSO Support " u="1"/>
        <s v=" 00015 - JIRA Customizations/Automations" u="1"/>
        <s v=" 00016 - Media Center" u="1"/>
        <s v=" 00054 - Our Story" u="1"/>
        <s v=" 00142 - Ethics and compliance page" u="1"/>
        <s v=" 00139 - Global sites" u="1"/>
        <s v=" 00443 - Buyer views Customer and User Profiles" u="1"/>
        <s v=" 00002 - User Activity Tracking" u="1"/>
        <s v="00001 - Azure Base" u="1"/>
        <s v=" 01570 - Enhancement - Buyer Reports" u="1"/>
        <s v=" 00004 - Google LMS Integration" u="1"/>
        <s v="00069 - UI &amp; Theme" u="1"/>
        <s v=" 00539 - Buyer - Inventory Management" u="1"/>
        <s v="00002 - User Activity Tracking" u="1"/>
        <s v=" | 00002 - User Activity Tracking" u="1"/>
        <s v=" 00444 - CSR - Customer and User Profile" u="1"/>
        <s v="00005 - System Architecture" u="1"/>
        <s v="00003 - OpenID Connect SSO Support " u="1"/>
        <s v=" 00523 - CSR - Portal Foundations" u="1"/>
        <s v=" 00533 - Bemis CP Theme" u="1"/>
        <s v=" 00008 - Homepage" u="1"/>
        <s v=" | 00004 - Google LMS Integration" u="1"/>
        <s v=" | 00005 - System Architecture" u="1"/>
        <s v=" 00016 - Stories" u="1"/>
        <s v=" | 00001 - Enhanced Group Functionality (Site)" u="1"/>
        <s v=" 00056 - Sustainability" u="1"/>
        <s v=" 01439 - Enhanced Portal Foundation Settings" u="1"/>
        <s v=" 00006 - Theme" u="1"/>
        <s v=" 00055 - Products + Service" u="1"/>
        <s v="00004 - Define strategy around docker and Azure" u="1"/>
        <s v=" 00501 - IBB Integration" u="1"/>
        <s v=" 00531 - System Architecture" u="1"/>
        <s v="00026 - Install on Production" u="1"/>
        <s v=" 01437 - Enhancement - Buyer Shipment Management" u="1"/>
        <s v=" 01429 - Enhancement - Buyer Order Management" u="1"/>
        <s v=" 00017 - Investor Center" u="1"/>
        <s v=" 00065 - Roles Configuration" u="1"/>
        <s v=" 00001 - Objective Taskboard" u="1"/>
        <s v=" 00005 - System Architecture" u="1"/>
        <s v="00001 - Enhanced Group Functionality (Site)" u="1"/>
        <s v="00013 - Azure Cluster" u="1"/>
        <s v=" 00420 - Buyer - Shipment Management" u="1"/>
        <s v=" 00001 - Enhanced Group Functionality (Site)" u="1"/>
        <s v="00024 - Lfieray Governance" u="1"/>
        <s v=" 00519 - Buyer - Portal Foundations" u="1"/>
        <s v=" 00510 - Buyer - Release Management" u="1"/>
        <s v=" 00065 - Permissions" u="1"/>
        <s v=" 01438 - Enhancement - Buyer Inventory Management " u="1"/>
        <s v=" 00032 - Content Workflow" u="1"/>
        <s v=" 00540 - Buyer - Dashboard" u="1"/>
        <s v=" 00366 - Buyer - Order Management" u="1"/>
        <s v=" | 00003 - OpenID Connect SSO Support " u="1"/>
        <s v=" 01657 - Enhancement - Buyer Portal Foundations" u="1"/>
        <s v="00016 - Web Sermubeniel" u="1"/>
        <s v=" 00055 - Products" u="1"/>
        <s v=" 00151 - Management Team" u="1"/>
        <s v=" 00017 - Investors" u="1"/>
        <s v=" 00538 - Buyer - Reports" u="1"/>
        <s v=" | 00069 - UI &amp; Theme" u="1"/>
        <s v=" 00054 - About Us" u="1"/>
        <s v=" 00149 - Company profile page" u="1"/>
      </sharedItems>
    </cacheField>
    <cacheField name="Feature Name" numFmtId="0">
      <sharedItems containsNonDate="0" containsBlank="1" count="418">
        <m/>
        <s v="Bug |  01307 - BIT-90 Report Landing Page- Open Order Status Report- remove parameters from selection screen" u="1"/>
        <s v="Feature | 00014 - Capture user info" u="1"/>
        <s v="Task |  00905 - Add History and Start dates to a number of Fields" u="1"/>
        <s v="Task |  00266 - Create data sync process to bulk upload data from IBB" u="1"/>
        <s v="Feature |  00146 - Two Factor Authentication" u="1"/>
        <s v="Bug |  02880 - User navigates to blank portal page  " u="1"/>
        <s v="Feature |  01661 - Update default settings for locations filter" u="1"/>
        <s v="Bug |  02964 - 487 (BDT) - Issues with ship to filter" u="1"/>
        <s v="Feature |  02864 - CR45 - Shipment Deletes" u="1"/>
        <s v="Feature |  00166 - Add behaviour to Homepage links" u="1"/>
        <s v="Bug |  02959 - BDT 483- Forgot Password error message" u="1"/>
        <s v="Feature |  00033 - Content Workflow" u="1"/>
        <s v="Bug |  01256 - BOL and INVOICE Hyperlink fails to load PDF" u="1"/>
        <s v="Bug |  02962 - Pinnacle Foods Bemis Order# 40009316 Shipment Missing (BDT 486)" u="1"/>
        <s v="Feature |  00144 - Our story page without timeline section" u="1"/>
        <s v="Bug |  01451 - BIT-159 CSR- editing buyer profile" u="1"/>
        <s v="Bug |  00128 - Adjust homepage layout in different screen resolutions" u="1"/>
        <s v="Bug |  01316 - All Reports- Default Column Fields " u="1"/>
        <s v="Task |  00020 - Create Google Local Environment" u="1"/>
        <s v="Feature |  00537 - Link from Portal Logo" u="1"/>
        <s v="Bug |  01290 - Pinnacle Foods/Ethicon Inc SAP Orders missing in Orders Page" u="1"/>
        <s v="Bug |  01198 - Customer Address does not display on Customer Profile" u="1"/>
        <s v="Feature |  00230 - Products Overview" u="1"/>
        <s v="Bug |  01257 - Missing Address should be empty" u="1"/>
        <s v="Bug |  01418 - Release PO and Customer PO are wrapping on the same line" u="1"/>
        <s v="Feature |  01575 - User friendly error messaging for CSR and Buyers" u="1"/>
        <s v="Feature |  | 00007 - Add expiration date" u="1"/>
        <s v="Feature | 00006 - Add version" u="1"/>
        <s v="Feature | 00006 - Create docker image for Elasticsearch" u="1"/>
        <s v="Feature |  00018 - Create Google CI" u="1"/>
        <s v="Feature |  00513 - Release Search" u="1"/>
        <s v="Bug |  01423 - BIT-46 Cards on Page incorrect" u="1"/>
        <s v="Feature |  01861 - Remove Buyer access to edit display settings" u="1"/>
        <s v="Task |  01775 - Theme Dependency needs to be updated due to core changes" u="1"/>
        <s v="Bug |  00905 - Update On Hand Inv data fields to allow for decimals " u="1"/>
        <s v="Task |  01102 - Export to SIMPS enhancements required" u="1"/>
        <s v="Bug |  01270 - Column picks disappear in report form" u="1"/>
        <s v="Bug |  01307 - Report Landing Page- Open Order Status Report- remove parameters from selection screen" u="1"/>
        <s v="Bug |  01311 - BIT-94 All Reports from Reports Landing Page- Optional column formatting" u="1"/>
        <s v="Bug |  01139 - Padding issues with left nav menu" u="1"/>
        <s v="Feature |  00167 - Add behaviour to concrete incubator link" u="1"/>
        <s v="Ballpark - Demand |  00000 - Dummy Feature of Permissions" u="1"/>
        <s v="Feature |  00143 - Ethics and compliance page" u="1"/>
        <s v="Bug |  02935 - Documents page- title running off of screen box" u="1"/>
        <s v="Task |  00220 - Research: Error when creating a WebContent with nested WebContent" u="1"/>
        <s v="Task |  00593 - Change country menu cut off vertically" u="1"/>
        <s v="Feature |  00723 - Add content for Portal dashboard landing page" u="1"/>
        <s v="Feature |  01440 - Update search criteria on Orders Landing Pag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Bug |  00115 - Ajustments in full stories layout" u="1"/>
        <s v="Feature |  02957 - 482 BDT - Optimizing report performance to 4 sec" u="1"/>
        <s v="Bug |  01324 - BIT-134 Hide Edit options that Buyers do not have access to " u="1"/>
        <s v="Feature |  01127 - Create Page for CSRs to View Customer Locations " u="1"/>
        <s v="Feature |  | 00033 - REST service for Enhanced Groups" u="1"/>
        <s v="Feature |  00033 - REST service for Enhanced Groups" u="1"/>
        <s v="Feature | 00018 - Install theme and layouts" u="1"/>
        <s v="Feature |  00016 - Capture learning events" u="1"/>
        <s v="Feature |  00326 - Search &amp; browse - customer &amp; user profiles - Sales restricted view" u="1"/>
        <s v="Ballpark - Demand |  00000 - Dummy Feature of Our Story" u="1"/>
        <s v="Feature |  00446 - CSR View of Customer Profile" u="1"/>
        <s v="Feature |  00254 - View/Edit my User Profile" u="1"/>
        <s v="Bug |  01534 - Customer Data Sync is checking wrong address for validity" u="1"/>
        <s v="Feature |  00535 - User Profile Dropdown" u="1"/>
        <s v="Bug |  01296 - Improve data sync logging to capture invalid data" u="1"/>
        <s v="Task |  01019 - Update page What We Do" u="1"/>
        <s v="Feature |  00512 - Release expanded view" u="1"/>
        <s v="Bug |  00906 - Update Scheduled Releases data fields to allow for decimals " u="1"/>
        <s v="Feature |  00370 - Order updates from IBB" u="1"/>
        <s v="Feature |  01475 - Update default Sort Order and Add Sort Functioanlity on Orders Landing Page " u="1"/>
        <s v="Feature |  00233 - Investors - Contact Us" u="1"/>
        <s v="Bug |  00903 - Update Releases data fields to allow for decimals " u="1"/>
        <s v="Task |  00584 - Make the user Jose Alberto as a site admin" u="1"/>
        <s v="Bug |  01272 - Fix sort order column names" u="1"/>
        <s v="Feature |  00088 - Customer Org Hierarchy" u="1"/>
        <s v="Feature |  00010 - Modern tile with &quot;MORE&quot; animation" u="1"/>
        <s v="Feature |  | 00016 - Capture learning events" u="1"/>
        <s v="Feature | 00021 - Adjust styles of basic Liferay DXP components" u="1"/>
        <s v="Bug |  01292 - The 'Bemis QA Portal Data' spreadsheet shows inventory data but the sales order is not on the orders tab" u="1"/>
        <s v="Bug |  00832 - Interface between SIMPS and IPS - issues that have been identified" u="1"/>
        <s v="Bug |  00585 - Page Fix for Careers page" u="1"/>
        <s v="Bug |  01068 - Do not display Schedule Lines when confirmedQty = 0 on Orders Landing  Page" u="1"/>
        <s v="Task |  00525 - As a privileged user, I can add image (urls) to a Ministry" u="1"/>
        <s v="Bug |  00634 - Orders -  Bemis Order # (line No) should be moved below Bemis ProductID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1396 - Allow Buyers to update display settings " u="1"/>
        <s v="Bug |  01297 - Data Issue on Bemis QA Environment" u="1"/>
        <s v="Feature |  00208 - Press Releases Page" u="1"/>
        <s v="Task |  | 00034 - Setup Dev Infrasctructure" u="1"/>
        <s v="Task |  00547 - Automated tests for Sprint 3" u="1"/>
        <s v="Feature | 00002 - Create docker image for Liferay installation" u="1"/>
        <s v="Bug |  01309 - BIT-92 Report Landing Page- Inventory Detail Report" u="1"/>
        <s v="Feature | 00056 - Implement Celsus sync job to index Liferay Sites" u="1"/>
        <s v="Bug |  01267 - Cancel button on Locations filter does not cancel " u="1"/>
        <s v="Feature |  00514 - Release Report" u="1"/>
        <s v="Feature | 00019 - Create different pages to show layouts" u="1"/>
        <s v="Feature |  01669 - Refactor Inventory Sync/WS Classes for data refresh calls." u="1"/>
        <s v="Feature |  00286 - Global search" u="1"/>
        <s v="Feature |  00302 - Filter Data by Customer Location" u="1"/>
        <s v="Feature |  00017 - Workflows Customizations" u="1"/>
        <s v="Bug |  02426 - 378 (BDT) - No pagination on the Reports Download page " u="1"/>
        <s v="Feature |  00006 - Add version" u="1"/>
        <s v="Bug |  01450 - BIT-157 Wording on Dynamic Reports preview page needs to be changed to improve usability" u="1"/>
        <s v="Feature |  00023 - Add SCORM support" u="1"/>
        <s v="Bug |  00892 - LDAP bulk import cannot be disable if 2FA is enabled" u="1"/>
        <s v="Bug |  01266 - Welcome Name Banner" u="1"/>
        <s v="Bug |  01257 - BIT-60 Missing Address should be empty" u="1"/>
        <s v="Feature |  00236 - Global Solutions" u="1"/>
        <s v="Feature |  01473 - Switch to SOAP calls" u="1"/>
        <s v="Feature |  01442 - Update search criteria on Release Landing Page " u="1"/>
        <s v="Feature | 00010 - Configure Elasticsearch with Azure local instance storage" u="1"/>
        <s v="Feature |  00011 - Carousel with three images and timer" u="1"/>
        <s v="Task |  00710 - Automated Tests" u="1"/>
        <s v="Task |  01254 - Automated Tests" u="1"/>
        <s v="Feature |  00124 - View closed orders in Order Views" u="1"/>
        <s v="Feature | 00099 - Add sorting capability to Site REST API" u="1"/>
        <s v="Feature |  00249 - Shipment Search" u="1"/>
        <s v="Bug |  01420 - Time, status and report freezes" u="1"/>
        <s v="Feature |  00162 - Render iframe to show old content" u="1"/>
        <s v="Feature | 00159 - Feature without assignee GOOGLE" u="1"/>
        <s v="Feature |  00021 - Asset publisher filter" u="1"/>
        <s v="Task |  00678 - Adjust BeL to the BG Security Team recommendations" u="1"/>
        <s v="Feature |  00227 - Add ExpandAll option to Orders Summaries." u="1"/>
        <s v="Feature |  00015 - Place remaining Webcontents on Homepage" u="1"/>
        <s v="Bug |  02918 - BDT 474 Reporting errors for Customer id 0138680" u="1"/>
        <s v="Feature |  00152 - Management Team" u="1"/>
        <s v="Feature |  00022 - Webcontent - Investors to Key Statistics" u="1"/>
        <s v="Bug |  01261 - Optional fields not correctly formatted or are missing in open and closed order report" u="1"/>
        <s v="Bug |  00633 - Orders - Add &quot;cust&quot; before PO label" u="1"/>
        <s v="Feature | 00007 - Add expiration date" u="1"/>
        <s v="Bug |  00196 - Adjust company profile page" u="1"/>
        <s v="Feature |  | 00014 - Capture user info" u="1"/>
        <s v="Feature |  01211 - Wildcard search for certain fields" u="1"/>
        <s v="Feature | 00016 - Capture learning events" u="1"/>
        <s v="Feature |  00175 - Order Status Report" u="1"/>
        <s v="Bug |  02638 - BDT 428 -ID 4191- Documents should not be using File Entry LocalService" u="1"/>
        <s v="Task |  00956 - Creation of 3 Queries" u="1"/>
        <s v="Feature |  01344 - Update decimals display on Bemis Portal Landing pages" u="1"/>
        <s v="Feature |  00262 - On-Hand Inventory View for a specific item" u="1"/>
        <s v="Feature |  00024 - Questions Portlet" u="1"/>
        <s v="Feature |  00172 - Password Policy" u="1"/>
        <s v="Feature |  00308 - Customer - Org - Permissions" u="1"/>
        <s v="Bug |  00830 - Two Factor authentication configuration is in the wrong category" u="1"/>
        <s v="Task |  01065 - Have a way to restrict permissions in Receiving role" u="1"/>
        <s v="Feature |  01180 - Updates to Bemis Portal Navigation" u="1"/>
        <s v="Bug |  01491 - Customer Site Template was not updated correctly" u="1"/>
        <s v="Bug |  01426 - On Hand Inventory Details shows a Total Qty but there are no details " u="1"/>
        <s v="Bug |  00902 - BIT-42 Update orders data fields to allow for decimals " u="1"/>
        <s v="Task |  01291 - Automated Tests SP6 PQ3" u="1"/>
        <s v="Bug |  02239 - Zip code is missing from Inventory Layout" u="1"/>
        <s v="Task |  00057 - Management work" u="1"/>
        <s v="Feature |  00389 - Create a sign in page" u="1"/>
        <s v="Feature |  01526 - Update the report that is called from the Open Order Landing Page" u="1"/>
        <s v="Bug |  00822 - UI Navigation bar" u="1"/>
        <s v="Task |  00228 - Allow patches to be source-controlled and installed into bundle by workspace" u="1"/>
        <s v="Task |  00102 - OSGI Dependencies" u="1"/>
        <s v="Bug |  00808 - Arrow Font Size on Releases Page is too small" u="1"/>
        <s v="Feature |  00174 - Corporate Governance Page" u="1"/>
        <s v="Feature |  01113 - Redesign for product description display" u="1"/>
        <s v="Task |  00511 - Identify .lpkg files in default bundle which we don't need to speepup the initial Tomcat start" u="1"/>
        <s v="Bug |  01417 - The Company logo will not populate on Welcome page" u="1"/>
        <s v="Feature |  00237 - Trading" u="1"/>
        <s v="Task |  00013 - BEMISCP-11 Terms &amp; Condition docs (site)(by customer specific)" u="1"/>
        <s v="Feature |  01668 - Refactor Shipment Sync/WS Classes for data refresh calls." u="1"/>
        <s v="Bug |  01212 - Clicking on Shipped Qty or Scheduled Releases throws an error" u="1"/>
        <s v="Task |  01013 - Update home page issues" u="1"/>
        <s v="Bug |  01310 - Report Landing Page- Inventory Detail Report- remove unnecessary Parameters" u="1"/>
        <s v="Feature |  00353 - Sort Orders by Specific Fields" u="1"/>
        <s v="Bug |  01054 - Entries on the Release Page are not displaying " u="1"/>
        <s v="Feature |  00365 - Left Navigation Expand / Collapse on all pages" u="1"/>
        <s v="Task |  00218 - As a user, I can see the Cemex stock price for NYSE and BMV" u="1"/>
        <s v="Bug |  01043 - Issues within IPS PROD at this time that need to be cleared up." u="1"/>
        <s v="Task |  00003 - Setup LCS activation" u="1"/>
        <s v="Bug |  00902 - Update orders data fields to allow for decimals " u="1"/>
        <s v="Feature |  01692 - Update the Footer Content " u="1"/>
        <s v="Task |  00824 - Architectural document for Sprint 6" u="1"/>
        <s v="Bug |  00753 - Fix Gradle theme build " u="1"/>
        <s v="Feature |  00002 - Multi-criteria search" u="1"/>
        <s v="Feature | 00008 - Connect Liferay Docker with BBDD" u="1"/>
        <s v="Task |  00818 - Need to Simplify the way to add a Candidate Photo" u="1"/>
        <s v="Feature |  00239 - Hide Pricing Fields for Logistics, Co-Packer, and Quality roles" u="1"/>
        <s v="Bug |  00805 - On the Customer profile page format is incorrect" u="1"/>
        <s v="Feature | 00009 - Connect Liferay with Azure File Storage " u="1"/>
        <s v="Feature | 00020 - Creation of content structures and templates" u="1"/>
        <s v="Feature |  01687 - Create a hook so that CSR users can see which users have completed setup" u="1"/>
        <s v="Bug |  00854 - Orders Page - Quantity Fields Show 0 Value" u="1"/>
        <s v="Bug |  01262 - BIT-143 Sub-header font color on Reports Landing page are incorrect" u="1"/>
        <s v="Feature |  02692 - ID 4191/4190 Update the CSR permissions to be organization based" u="1"/>
        <s v="Task |  00034 - Setup Project Infrasctructure" u="1"/>
        <s v="Feature |  | 00022 - Add support for OpenID Connect Single Sign-on" u="1"/>
        <s v="Feature |  01250 - Update Sales Order to take in different order statuses" u="1"/>
        <s v="Bug |  01088 - Carrier Link is not working " u="1"/>
        <s v="Bug |  00168 - Redirect Not Allowed" u="1"/>
        <s v="Bug |  00194 - Make bootstrap grid match theme media widths" u="1"/>
        <s v="Feature |  00063 - Show full story on Media Center" u="1"/>
        <s v="Bug |  01218 - Landing page redirection does not work when impersonating" u="1"/>
        <s v="Feature |  00101 - Product landing page" u="1"/>
        <s v="Bug |  02633 - 387 (BDT) - Missing any Shipments for Premium Waters" u="1"/>
        <s v="Feature |  02853 - Upgrade liferay bundle to DE fix-pack 13" u="1"/>
        <s v="Feature |  00297 - Browser compatibility" u="1"/>
        <s v="Feature |  00172 - Debt Information" u="1"/>
        <s v="Feature |  00270 - Browse Customer Profiles" u="1"/>
        <s v="Feature |  00211 - Stock Information page" u="1"/>
        <s v="Bug |  01068 - BIT-112 Do not display Schedule Lines when confirmedQty = 0 on Orders Landing  Page" u="1"/>
        <s v="Task |  00297 - Install fixes for PDF preview on QA env" u="1"/>
        <s v="Feature |  00242 - Link Product Id in Orders Detail to Product Spec Page." u="1"/>
        <s v="Bug |  01177 - BIT-136 Importing Orgs from UAT generates exception" u="1"/>
        <s v="Feature |  00536 - Remove Top Bar for External User" u="1"/>
        <s v="Bug |  01151 - CSR should have access to limited control panel " u="1"/>
        <s v="Bug |  01316 - BIT-78 All Reports- Default Column Fields " u="1"/>
        <s v="Feature |  00029 - Stock ticker portlet" u="1"/>
        <s v="Ballpark - Demand |  00000 - Dummy Feature of Roles Configuration" u="1"/>
        <s v="Feature |  00071 - Full story version 2" u="1"/>
        <s v="Feature | 00023 - Add SCORM support" u="1"/>
        <s v="Bug |  00804 - User Customer Name (Employer) is incorrect" u="1"/>
        <s v="Feature |  00083 - Manage DL folder &amp; files" u="1"/>
        <s v="Feature |  00018 - Concrete Incubator webcontent" u="1"/>
        <s v="Bug |  00806 - Ship To Filter Issue with Name Format and number of items" u="1"/>
        <s v="Bug |  01414 - BIT-121 Report time range selection box sizing - Shipments and Releases Report Test" u="1"/>
        <s v="Bug |  01177 - Importing Orgs from UAT generates exception" u="1"/>
        <s v="Bug |  02904 - Premium Waters Index Issue" u="1"/>
        <s v="Feature |  00072 - Full story version 4" u="1"/>
        <s v="Bug |  01310 - BIT-93 Report Landing Page- Inventory Detail Report- remove unnecessary Parameters" u="1"/>
        <s v="Feature |  00009 - Place webcontent in the grid acording to wireframe" u="1"/>
        <s v="Bug |  00954 - Import of Organizations fails due to a NoSuchListTypeException" u="1"/>
        <s v="Bug |  01348 - BIT-107 Order Report URL too long " u="1"/>
        <s v="Bug |  00554 - Notifications Configuration does not include Country Documents yet." u="1"/>
        <s v="Feature |  00358 - Co-Packer - orders Ship to no pricing" u="1"/>
        <s v="Bug |  00632 - Orders - Move view details link below order Date" u="1"/>
        <s v="Feature |  00022 - Investors - Overview" u="1"/>
        <s v="Feature |  00235 - Building Solutions" u="1"/>
        <s v="Task |  00316 - Install Audience Targeting on QA servers" u="1"/>
        <s v="Bug |  01364 - Scheduled Releases Customer PO" u="1"/>
        <s v="Feature |  00011 - All Projects Configuration" u="1"/>
        <s v="Feature |  00406 - Adjust forms layouts" u="1"/>
        <s v="Bug |  00225 - In Cemex, fix where the theme gets placed in the bundle by workspace" u="1"/>
        <s v="Bug |  02934 - BIN Doc Service Test Invoice URL Parameters" u="1"/>
        <s v="Feature | 00011 - Configure Liferay with LCS Activation" u="1"/>
        <s v="Feature |  00080 - All external users are re-directed to the  dashboard" u="1"/>
        <s v="Feature | 00025 - Notify Google LMS of User activity" u="1"/>
        <s v="Feature |  | 00025 - Notify Google LMS of User activity" u="1"/>
        <s v="Task |  00975 - Sprint Documentation SP10" u="1"/>
        <s v="Task |  00425 - Architectural design document - Sprint 2" u="1"/>
        <s v="Task |  01504 - Automated Tests SP7 PQ3" u="1"/>
        <s v="Feature | 00070 - Create Theme" u="1"/>
        <s v="Feature |  | 00056 - Implement Celsus sync job to index Liferay Sites" u="1"/>
        <s v="Feature |  00020 - Asset publisher layout" u="1"/>
        <s v="Feature |  00136 - Choose the section of the image to show" u="1"/>
        <s v="Bug |  01448 - BIT-154 User Agreement Link " u="1"/>
        <s v="Feature |  00375 - Buyer - Reports Landing Page" u="1"/>
        <s v="Bug |  01324 - Hide Edit options that Buyers do not have access to " u="1"/>
        <s v="Feature |  02976 - Schedule Line Deletes" u="1"/>
        <s v="Bug |  02453 - 375 (BDT) - Inventory Report - URL too long error " u="1"/>
        <s v="Bug |  01309 - Report Landing Page- Inventory Detail Report" u="1"/>
        <s v="Bug |  01198 - BIT-146 Customer Address does not display on Customer Profile" u="1"/>
        <s v="Feature |  01480 - Performance Testing and Tuning" u="1"/>
        <s v="Task |  01331 - Trocar chamadas fake pelos Serviços SUC / Testar o retorno dos dados e corrigir incosistências" u="1"/>
        <s v="Feature |  00645 - Buyer - Security" u="1"/>
        <s v="Bug |  01030 - Add open condition to Search Orders" u="1"/>
        <s v="Bug |  01005 - Do not show Scheduled Releases with a Confirmed Qty =  0" u="1"/>
        <s v="Bug |  01256 - BOL Hyperlink fails to load PDF" u="1"/>
        <s v="Task |  00370 - Common and specific infrastructure to the angular-portlet" u="1"/>
        <s v="Feature |  00161 - Format text and add links to image description" u="1"/>
        <s v="Bug |  01139 - BIT-48 Padding issues with left nav menu " u="1"/>
        <s v="Feature | 00022 - Add support for OpenID Connect Single Sign-on" u="1"/>
        <s v="Feature |  00184 - Key Company Data" u="1"/>
        <s v="Feature | 00010 - Add status: draft, published, archived, invisible " u="1"/>
        <s v="Feature |  00225 - Search Orders by Indexed fields" u="1"/>
        <s v="Feature |  00007 - Design menus" u="1"/>
        <s v="Feature |  00016 - Required Fields" u="1"/>
        <s v="Bug |  01195 -  Icons do not display properly on the Global Search Results Page" u="1"/>
        <s v="Bug |  01267 - Cancel button on Locations filter does not work 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Feature |  00511 - Releases landing page" u="1"/>
        <s v="Feature |  00352 - Location selection persists between logout and login" u="1"/>
        <s v="Feature |  00138 - Carrousel for full story pages" u="1"/>
        <s v="Feature |  02407 - Change date field used for selecting invoices" u="1"/>
        <s v="Bug |  01548 - Customer logo is not displayed on parent or child location dashboards" u="1"/>
        <s v="Task |  01089 - Analyse test coverage and improve it if necessary (Controllers and Services)" u="1"/>
        <s v="Feature |  00296 - Mobile compatibility &amp; responsive design" u="1"/>
        <s v="Feature |  00077 - Import Users and Groups from AD" u="1"/>
        <s v="Feature |  00359 - Batch details in on-hand inventory" u="1"/>
        <s v="Bug |  01684 - Add dependency in Theme for freemarker contributor" u="1"/>
        <s v="Bug |  01338 - Shipment Card Item Detail Box Scrolling Bar" u="1"/>
        <s v="Bug |  01183 - Reports Landing Page - Report Header is not aligned properly" u="1"/>
        <s v="Task |  00481 - UAT/Prod Deployment" u="1"/>
        <s v="Feature |  00141 - Country micro site subpages" u="1"/>
        <s v="Task |  00834 - Automated tests for Sprint 6" u="1"/>
        <s v="Feature | 00025 - Liferay Governance" u="1"/>
        <s v="Bug |  00541 - Stock Ticker portlet has content that is not localiz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Feature |  01527 - Updates for all Report " u="1"/>
        <s v="Feature |  00014 - Language selection functionality" u="1"/>
        <s v="Feature |  00328 - Custom 404 page" u="1"/>
        <s v="Feature |  00347 - Product values in different currencies" u="1"/>
        <s v="Feature |  00144 - Our history page without timeline section" u="1"/>
        <s v="Feature |  00058 - Carrier List CRUD" u="1"/>
        <s v="Task |  00670 - Automated tests for Sprint 4" u="1"/>
        <s v="Bug |  01414 - Report time range selection box sizing - Shipments and Releases Report Test" u="1"/>
        <s v="Task |  02939 - Update LDAP configs now that FP 13 has fixed automatic loading of configs" u="1"/>
        <s v="Feature |  01622 - Menu position does not remain closed when navigating from one page to another " u="1"/>
        <s v="Bug |  00716 - When an order is deleted, the associated AssetEntries are not removed" u="1"/>
        <s v="Feature |  01643 - Update Sales Order Data Sync logic" u="1"/>
        <s v="Bug |  01020 - Checkboxes for Locations in filter do not show " u="1"/>
        <s v="Bug |  01348 - Order Report URL too long " u="1"/>
        <s v="Feature |  00023 - Events + Calendar Portlet" u="1"/>
        <s v="Bug |  00578 - Image Animations do not match mockups for Stories" u="1"/>
        <s v="Bug |  01194 - 'Show More' link missing from Report description" u="1"/>
        <s v="Bug |  01415 - Invoice Report Field" u="1"/>
        <s v="Bug |  01639 - BIT-159 Create Access Path for CSRs to Customer and User Profiles" u="1"/>
        <s v="Bug |  00175 - Sprint 2 minor fixes" u="1"/>
        <s v="Feature |  00025 - Notify Google LMS of User activity" u="1"/>
        <s v="Feature |  00074 - Related articles" u="1"/>
        <s v="Feature |  00256 - Buyer View of Customer Profile" u="1"/>
        <s v="Task |  00839 - Sprint Documentation" u="1"/>
        <s v="Feature |  00230 - Create/edit Order Note" u="1"/>
        <s v="Task |  00058 - Update SendEmail Jobs" u="1"/>
        <s v="Task |  00372 - E2.1 Login - Use SoapUI to validate WSDL/WS" u="1"/>
        <s v="Feature |  00377 - Generate Shipping Reports" u="1"/>
        <s v="Task |  00587 - Register Device adjustments" u="1"/>
        <s v="Feature |  00007 - Add expiration date" u="1"/>
        <s v="Feature |  00371 - Customer Profile updates from IBB" u="1"/>
        <s v="Feature |  00073 - Unified boiler plate text" u="1"/>
        <s v="Bug |  00784 - Modify default date range for shipment, release, and order screens" u="1"/>
        <s v="Feature |  00013 - Footer" u="1"/>
        <s v="Feature |  00361 - Footer" u="1"/>
        <s v="Feature |  01476 - Remove default e-mail suffix from login page" u="1"/>
        <s v="Bug |  01421 - Bemis Logo displayed on Bemis' QA is incorrect" u="1"/>
        <s v="Task | 00005 - Define strategy around docker and Azure" u="1"/>
        <s v="Feature |  00218 - Customer site template" u="1"/>
        <s v="Bug |  01240 - Formatting Error when Resizing" u="1"/>
        <s v="Feature |  00150 - Company profile page" u="1"/>
        <s v="Feature | 00027 - Install on Azure Production" u="1"/>
        <s v="Bug |  02885 - (BDT 467) - Releases and Shipments do not display for new customer setup " u="1"/>
        <s v="Bug |  01364 - BIT-114 Scheduled Releases Customer PO" u="1"/>
        <s v="Bug |  01056 - Location and ShipTo filter dropdowns are missing a border in FF and IE" u="1"/>
        <s v="Feature |  00223 - View Orders by PO" u="1"/>
        <s v="Bug |  00855 - Orders Page - Marshal Orders with NULL Statuses Displayed" u="1"/>
        <s v="Task |  | 00020 - Create Google Local Environment" u="1"/>
        <s v="Feature |  01007 - Requirement changes for Reports" u="1"/>
        <s v="Feature |  | 00006 - Add version" u="1"/>
        <s v="Bug |  01057 - User profile editing is accessible to users other than the profile owner." u="1"/>
        <s v="Feature |  00305 - Co-Packer - Role by Ship To" u="1"/>
        <s v="Task | 00020 - Create Google Local Environ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Feature |  01480 - Performance Testing and Tunning" u="1"/>
        <s v="Ballpark - Demand |  00000 - Dummy Feature of Products" u="1"/>
        <s v="Feature |  00211 - Style and colors" u="1"/>
        <s v="Feature |  00014 - Capture user info" u="1"/>
        <s v="Task |  01732 - Automated Tests SP9 - Functional tests" u="1"/>
        <s v="Bug |  01323 - Add documents button is inside the footer" u="1"/>
        <s v="Bug |  00836 - Logon with incorrect password doesn't fail immediately with 2FA enabled" u="1"/>
        <s v="Bug |  01297 - BIT-84 Data Issue on Bemis QA Environment" u="1"/>
        <s v="Bug |  00069 - Menu not working when on mobile mode" u="1"/>
        <s v="Task |  00025 - Configuração da infraestrutura de DevOps" u="1"/>
        <s v="Feature |  00066 - Investor center effects" u="1"/>
        <s v="Feature |  00019 - Asset publisher - Simple version" u="1"/>
        <s v="Bug |  01338 - BIT-99 Shipment Card Item Detail Box Scrolling Bar" u="1"/>
        <s v="Feature |  00010 - Add status: draft, published, archived, invisible " u="1"/>
        <s v="Bug |  01265 - Bemis Logo Compression/Crowding" u="1"/>
        <s v="Feature |  02886 - Always display BOL and Invoice links" u="1"/>
        <s v="Feature |  | 00070 - Create Theme" u="1"/>
        <s v="Feature |  | 00010 - Add status: draft, published, archived, invisible " u="1"/>
        <s v="Task |  01606 - Automated Tests SP8 PQ3" u="1"/>
        <s v="Ballpark - Demand |  00000 - Dummy Feature of Sustainability" u="1"/>
        <s v="Task |  00913 - Automated test sprint 7" u="1"/>
        <s v="Feature |  01891 - Add Google Analytics to the Customer Portal Sites" u="1"/>
        <s v="Feature | 00014 - Configure Liferay clustering " u="1"/>
        <s v="Bug |  01261 - BIT-68 Optional fields not correctly formatted or are missing in open and closed order report" u="1"/>
        <s v="Feature |  00224 - Order Detail in Orders by PO" u="1"/>
        <s v="Bug |  00371 - RDR sync failing halfway through ORG sync" u="1"/>
        <s v="Task |  00965 - Part of Phase 1.5 - A number of small changes" u="1"/>
        <s v="Feature |  00145 - Sustainability Overview" u="1"/>
        <s v="Feature |  00445 -  View/Edit User Profile" u="1"/>
        <s v="Feature |  00234 - Services Page" u="1"/>
        <s v="Task |  00971 - Automated test sprint 9" u="1"/>
        <s v="Bug |  00915 - Increase size limit for profile picture" u="1"/>
        <s v="Feature |  00110 - Buyer - Show Expanded Shipment View" u="1"/>
        <s v="Task |  00171 - Replace stock images with real images from Bank of America" u="1"/>
        <s v="Feature | 00015 - Configure Docker Swarm to auto scale Liferay" u="1"/>
        <s v="Feature |  00118 - Include videos on the full story page" u="1"/>
        <s v="Bug |  00860 - Date Format is incorrect on all Pages" u="1"/>
        <s v="Feature | 00033 - Enhanced Group REST Service" u="1"/>
        <s v="Bug |  00576 - Home page &quot;More&quot; button does not work for Internet Explorer 10 or 11" u="1"/>
        <s v="Feature | 00007 - Create repository for software images" u="1"/>
        <s v="Task |  00596 - Anchor tags not working for some pages" u="1"/>
        <s v="Feature |  00341 - User agreement - BNA" u="1"/>
        <s v="Feature |  02878 - Update Carrier list for portal " u="1"/>
        <s v="Feature |  00140 - Country micro site single page" u="1"/>
        <s v="Feature |  00107 - Shipments Landing Page" u="1"/>
        <s v="Bug |  02593 - Report Preview UI issues " u="1"/>
        <s v="Bug |  00904 - Update Shipments data fields to allow for decimals " u="1"/>
        <s v="Bug |  01088 - BIT-17 Carrier Link is not working " u="1"/>
        <s v="Feature |  01784 - Improve data display on all pages " u="1"/>
        <s v="Feature |  00232 - Reports Page" u="1"/>
        <s v="Feature |  00156 - Create and assign customer Roles" u="1"/>
        <s v="Bug |  00672 - Items per Page does not allow you to return to default setting" u="1"/>
        <s v="Feature |  00802 - List Releases of specifc Order" u="1"/>
        <s v="Feature |  | 00023 - Add SCORM support" u="1"/>
        <s v="Bug |  00829 - Order Description not wrapping correctly" u="1"/>
        <s v="Feature |  00008 - Check graphics record (to monitor order progress)" u="1"/>
        <s v="Bug |  00444 - Deleting record/site" u="1"/>
        <s v="Bug |  00120 - Story carrousel on homepage does not animate (zoom)" u="1"/>
        <s v="Bug |  00188 - Fix java script errors" u="1"/>
        <s v="Feature | 00017 - Design concepts, site creation, roles and users" u="1"/>
        <s v="Bug |  01181 - My Locations navigation on Mobile view is not working" u="1"/>
        <s v="Feature |  00012 - Country Selection content" u="1"/>
      </sharedItems>
    </cacheField>
    <cacheField name="SubtaskName" numFmtId="0">
      <sharedItems containsNonDate="0" containsBlank="1" count="1026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Frontend Development | XS | 00032 - Create content structure and template for Genérico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Frontend Development | XS | 00035 - Create content structure and template for Avisos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Tech Planning | XS | 00036 - Analize the search configura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Frontend Development | XS | 00033 - Create content structure and template for Noticia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Frontend Development | XS | 00034 - Create content structure and template for Preguntas frecuentes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Backend Development | S | 00031 - Create docker image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Tech Planning | XS | 00028 - Analysis" u="1"/>
        <s v="Tech Planning | XS | 00029 - Analysis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1.Reviewing" u="1"/>
        <s v="2.To Review" u="1"/>
        <e v="#N/A" u="1"/>
        <s v="5.Open" u="1"/>
        <s v="3.Do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Coach" u="1"/>
        <s v="Developer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9">
        <m/>
        <s v="Developer4" u="1"/>
        <s v="Developer5" u="1"/>
        <s v="Coach1" u="1"/>
        <s v="Developer1" u="1"/>
        <s v="Tech Lead1" u="1"/>
        <s v="Developer2" u="1"/>
        <s v="Tech Lead2" u="1"/>
        <s v="Developer3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0"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m/>
    <x v="0"/>
    <m/>
    <m/>
    <x v="0"/>
    <m/>
    <m/>
    <m/>
    <m/>
    <m/>
    <x v="0"/>
    <x v="0"/>
    <x v="0"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  <r>
    <x v="0"/>
    <x v="0"/>
    <x v="0"/>
    <x v="0"/>
    <m/>
    <x v="0"/>
    <x v="0"/>
    <x v="0"/>
    <x v="0"/>
    <m/>
    <m/>
    <x v="0"/>
    <x v="0"/>
    <x v="0"/>
    <x v="0"/>
    <m/>
    <m/>
    <x v="0"/>
    <m/>
    <m/>
    <m/>
    <m/>
    <x v="0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rogressByDemand" cacheId="19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8" colPageCount="1"/>
  <pivotFields count="49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Row" showAll="0">
      <items count="12">
        <item m="1" x="8"/>
        <item m="1" x="10"/>
        <item x="0"/>
        <item m="1" x="9"/>
        <item m="1" x="3"/>
        <item m="1" x="1"/>
        <item m="1" x="7"/>
        <item m="1" x="5"/>
        <item m="1" x="2"/>
        <item m="1" x="6"/>
        <item m="1" x="4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212">
        <item sd="0" m="1" x="84"/>
        <item m="1" x="81"/>
        <item sd="0" m="1" x="51"/>
        <item sd="0" m="1" x="169"/>
        <item sd="0" m="1" x="66"/>
        <item sd="0" m="1" x="71"/>
        <item m="1" x="87"/>
        <item m="1" x="82"/>
        <item m="1" x="125"/>
        <item m="1" x="6"/>
        <item m="1" x="63"/>
        <item m="1" x="90"/>
        <item m="1" x="96"/>
        <item m="1" x="140"/>
        <item m="1" x="111"/>
        <item m="1" x="186"/>
        <item m="1" x="46"/>
        <item m="1" x="191"/>
        <item m="1" x="144"/>
        <item m="1" x="76"/>
        <item m="1" x="5"/>
        <item m="1" x="172"/>
        <item m="1" x="160"/>
        <item sd="0" m="1" x="194"/>
        <item m="1" x="24"/>
        <item m="1" x="69"/>
        <item m="1" x="182"/>
        <item m="1" x="190"/>
        <item m="1" x="138"/>
        <item m="1" x="33"/>
        <item m="1" x="179"/>
        <item m="1" x="137"/>
        <item m="1" x="68"/>
        <item m="1" x="72"/>
        <item m="1" x="184"/>
        <item m="1" x="53"/>
        <item m="1" x="174"/>
        <item m="1" x="141"/>
        <item m="1" x="100"/>
        <item m="1" x="21"/>
        <item m="1" x="145"/>
        <item m="1" x="42"/>
        <item m="1" x="151"/>
        <item m="1" x="118"/>
        <item m="1" x="73"/>
        <item m="1" x="109"/>
        <item m="1" x="189"/>
        <item m="1" x="119"/>
        <item m="1" x="27"/>
        <item m="1" x="183"/>
        <item m="1" x="162"/>
        <item m="1" x="203"/>
        <item m="1" x="134"/>
        <item m="1" x="123"/>
        <item m="1" x="30"/>
        <item m="1" x="8"/>
        <item m="1" x="38"/>
        <item m="1" x="127"/>
        <item sd="0" m="1" x="93"/>
        <item sd="0" m="1" x="64"/>
        <item m="1" x="11"/>
        <item m="1" x="12"/>
        <item m="1" x="80"/>
        <item m="1" x="117"/>
        <item m="1" x="185"/>
        <item m="1" x="43"/>
        <item sd="0" m="1" x="156"/>
        <item m="1" x="198"/>
        <item sd="0" m="1" x="196"/>
        <item m="1" x="22"/>
        <item sd="0" m="1" x="15"/>
        <item m="1" x="207"/>
        <item sd="0" m="1" x="173"/>
        <item m="1" x="95"/>
        <item m="1" x="10"/>
        <item sd="0" m="1" x="85"/>
        <item m="1" x="49"/>
        <item m="1" x="28"/>
        <item m="1" x="201"/>
        <item sd="0" m="1" x="150"/>
        <item sd="0" m="1" x="121"/>
        <item m="1" x="26"/>
        <item m="1" x="25"/>
        <item m="1" x="55"/>
        <item sd="0" m="1" x="200"/>
        <item m="1" x="180"/>
        <item m="1" x="70"/>
        <item m="1" x="98"/>
        <item m="1" x="202"/>
        <item m="1" x="124"/>
        <item m="1" x="56"/>
        <item m="1" x="77"/>
        <item m="1" x="157"/>
        <item sd="0" m="1" x="167"/>
        <item sd="0" m="1" x="120"/>
        <item sd="0" m="1" x="132"/>
        <item sd="0" m="1" x="178"/>
        <item m="1" x="29"/>
        <item sd="0" m="1" x="52"/>
        <item sd="0" m="1" x="133"/>
        <item sd="0" m="1" x="102"/>
        <item sd="0" m="1" x="143"/>
        <item sd="0" m="1" x="139"/>
        <item sd="0" m="1" x="58"/>
        <item sd="0" m="1" x="103"/>
        <item sd="0" m="1" x="59"/>
        <item sd="0" m="1" x="193"/>
        <item sd="0" m="1" x="48"/>
        <item m="1" x="166"/>
        <item m="1" x="4"/>
        <item m="1" x="47"/>
        <item m="1" x="110"/>
        <item m="1" x="105"/>
        <item m="1" x="153"/>
        <item m="1" x="88"/>
        <item m="1" x="122"/>
        <item m="1" x="35"/>
        <item m="1" x="2"/>
        <item m="1" x="170"/>
        <item m="1" x="40"/>
        <item m="1" x="31"/>
        <item sd="0" m="1" x="130"/>
        <item m="1" x="108"/>
        <item sd="0" m="1" x="50"/>
        <item sd="0" m="1" x="57"/>
        <item m="1" x="97"/>
        <item sd="0" m="1" x="3"/>
        <item sd="0" m="1" x="54"/>
        <item m="1" x="86"/>
        <item m="1" x="206"/>
        <item m="1" x="131"/>
        <item m="1" x="195"/>
        <item m="1" x="114"/>
        <item m="1" x="171"/>
        <item m="1" x="204"/>
        <item m="1" x="135"/>
        <item m="1" x="104"/>
        <item m="1" x="152"/>
        <item m="1" x="79"/>
        <item m="1" x="175"/>
        <item m="1" x="75"/>
        <item m="1" x="20"/>
        <item m="1" x="39"/>
        <item m="1" x="205"/>
        <item m="1" x="17"/>
        <item m="1" x="192"/>
        <item m="1" x="78"/>
        <item m="1" x="37"/>
        <item m="1" x="158"/>
        <item m="1" x="16"/>
        <item sd="0" m="1" x="44"/>
        <item m="1" x="65"/>
        <item sd="0" m="1" x="60"/>
        <item sd="0" m="1" x="13"/>
        <item m="1" x="9"/>
        <item m="1" x="176"/>
        <item sd="0" m="1" x="61"/>
        <item sd="0" m="1" x="208"/>
        <item sd="0" m="1" x="7"/>
        <item sd="0" m="1" x="45"/>
        <item sd="0" m="1" x="147"/>
        <item m="1" x="18"/>
        <item sd="0" m="1" x="165"/>
        <item sd="0" m="1" x="89"/>
        <item sd="0" m="1" x="1"/>
        <item m="1" x="126"/>
        <item sd="0" m="1" x="36"/>
        <item sd="0" m="1" x="181"/>
        <item sd="0" m="1" x="154"/>
        <item sd="0" m="1" x="101"/>
        <item sd="0" m="1" x="67"/>
        <item sd="0" m="1" x="116"/>
        <item sd="0" m="1" x="94"/>
        <item sd="0" m="1" x="199"/>
        <item sd="0" m="1" x="128"/>
        <item sd="0" m="1" x="197"/>
        <item sd="0" m="1" x="62"/>
        <item sd="0" m="1" x="113"/>
        <item sd="0" m="1" x="149"/>
        <item sd="0" m="1" x="112"/>
        <item sd="0" m="1" x="14"/>
        <item m="1" x="161"/>
        <item m="1" x="32"/>
        <item m="1" x="148"/>
        <item m="1" x="99"/>
        <item m="1" x="41"/>
        <item m="1" x="177"/>
        <item m="1" x="159"/>
        <item m="1" x="164"/>
        <item m="1" x="92"/>
        <item m="1" x="34"/>
        <item m="1" x="107"/>
        <item m="1" x="115"/>
        <item m="1" x="129"/>
        <item m="1" x="155"/>
        <item m="1" x="210"/>
        <item m="1" x="136"/>
        <item m="1" x="74"/>
        <item m="1" x="163"/>
        <item m="1" x="106"/>
        <item m="1" x="23"/>
        <item m="1" x="142"/>
        <item m="1" x="209"/>
        <item m="1" x="83"/>
        <item m="1" x="19"/>
        <item m="1" x="91"/>
        <item m="1" x="168"/>
        <item m="1" x="188"/>
        <item m="1" x="146"/>
        <item m="1" x="187"/>
        <item x="0"/>
        <item t="default" sd="0"/>
      </items>
    </pivotField>
    <pivotField axis="axisPage" multipleItemSelectionAllowed="1" showAll="0">
      <items count="7">
        <item m="1" x="3"/>
        <item m="1" x="4"/>
        <item x="0"/>
        <item m="1" x="1"/>
        <item m="1" x="2"/>
        <item m="1" x="5"/>
        <item t="default"/>
      </items>
    </pivotField>
    <pivotField axis="axisRow" showAll="0">
      <items count="26">
        <item sd="0" m="1" x="10"/>
        <item m="1" x="11"/>
        <item m="1" x="14"/>
        <item m="1" x="4"/>
        <item sd="0" m="1" x="13"/>
        <item m="1" x="21"/>
        <item sd="0" m="1" x="22"/>
        <item m="1" x="16"/>
        <item x="0"/>
        <item m="1" x="12"/>
        <item m="1" x="17"/>
        <item m="1" x="20"/>
        <item m="1" x="15"/>
        <item m="1" x="2"/>
        <item m="1" x="9"/>
        <item m="1" x="8"/>
        <item m="1" x="18"/>
        <item m="1" x="3"/>
        <item m="1" x="7"/>
        <item m="1" x="24"/>
        <item m="1" x="19"/>
        <item m="1" x="23"/>
        <item m="1" x="6"/>
        <item m="1" x="5"/>
        <item m="1" x="1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3021">
        <item m="1" x="1346"/>
        <item m="1" x="279"/>
        <item m="1" x="2553"/>
        <item m="1" x="3008"/>
        <item m="1" x="2428"/>
        <item m="1" x="1004"/>
        <item m="1" x="1904"/>
        <item m="1" x="2831"/>
        <item m="1" x="1278"/>
        <item m="1" x="2408"/>
        <item m="1" x="1414"/>
        <item m="1" x="2923"/>
        <item m="1" x="930"/>
        <item m="1" x="990"/>
        <item m="1" x="685"/>
        <item sd="0" m="1" x="800"/>
        <item m="1" x="2588"/>
        <item m="1" x="2045"/>
        <item m="1" x="2577"/>
        <item sd="0" m="1" x="1265"/>
        <item m="1" x="1723"/>
        <item m="1" x="1679"/>
        <item m="1" x="361"/>
        <item m="1" x="1512"/>
        <item m="1" x="1689"/>
        <item m="1" x="2197"/>
        <item m="1" x="1749"/>
        <item m="1" x="1027"/>
        <item m="1" x="1138"/>
        <item m="1" x="376"/>
        <item m="1" x="1798"/>
        <item m="1" x="2461"/>
        <item m="1" x="1435"/>
        <item m="1" x="976"/>
        <item m="1" x="1303"/>
        <item m="1" x="2721"/>
        <item m="1" x="833"/>
        <item m="1" x="89"/>
        <item m="1" x="2378"/>
        <item m="1" x="365"/>
        <item m="1" x="726"/>
        <item m="1" x="1824"/>
        <item m="1" x="970"/>
        <item m="1" x="2084"/>
        <item m="1" x="1285"/>
        <item m="1" x="2272"/>
        <item m="1" x="2435"/>
        <item m="1" x="47"/>
        <item m="1" x="1209"/>
        <item sd="0" m="1" x="2141"/>
        <item m="1" x="138"/>
        <item m="1" x="2211"/>
        <item m="1" x="2423"/>
        <item m="1" x="1243"/>
        <item m="1" x="2825"/>
        <item m="1" x="1549"/>
        <item m="1" x="626"/>
        <item m="1" x="2151"/>
        <item m="1" x="2307"/>
        <item m="1" x="906"/>
        <item m="1" x="3011"/>
        <item m="1" x="1492"/>
        <item m="1" x="1595"/>
        <item m="1" x="221"/>
        <item m="1" x="2995"/>
        <item m="1" x="141"/>
        <item m="1" x="1818"/>
        <item m="1" x="2251"/>
        <item m="1" x="2777"/>
        <item m="1" x="9"/>
        <item m="1" x="2422"/>
        <item m="1" x="2110"/>
        <item m="1" x="2161"/>
        <item m="1" x="2098"/>
        <item m="1" x="959"/>
        <item m="1" x="1939"/>
        <item m="1" x="1507"/>
        <item m="1" x="2669"/>
        <item m="1" x="884"/>
        <item m="1" x="271"/>
        <item m="1" x="1727"/>
        <item m="1" x="1308"/>
        <item m="1" x="738"/>
        <item m="1" x="566"/>
        <item m="1" x="1005"/>
        <item m="1" x="2524"/>
        <item m="1" x="293"/>
        <item m="1" x="1295"/>
        <item m="1" x="632"/>
        <item m="1" x="262"/>
        <item m="1" x="1088"/>
        <item m="1" x="1335"/>
        <item m="1" x="2548"/>
        <item m="1" x="2584"/>
        <item m="1" x="1324"/>
        <item m="1" x="2592"/>
        <item m="1" x="1704"/>
        <item m="1" x="258"/>
        <item m="1" x="70"/>
        <item m="1" x="2010"/>
        <item m="1" x="1698"/>
        <item m="1" x="373"/>
        <item m="1" x="1331"/>
        <item m="1" x="2140"/>
        <item m="1" x="2611"/>
        <item m="1" x="2475"/>
        <item m="1" x="950"/>
        <item m="1" x="2046"/>
        <item m="1" x="2617"/>
        <item m="1" x="2329"/>
        <item m="1" x="2984"/>
        <item m="1" x="2169"/>
        <item m="1" x="2320"/>
        <item m="1" x="330"/>
        <item m="1" x="1034"/>
        <item m="1" x="1176"/>
        <item m="1" x="1428"/>
        <item m="1" x="1893"/>
        <item m="1" x="380"/>
        <item m="1" x="1124"/>
        <item m="1" x="1192"/>
        <item m="1" x="2132"/>
        <item m="1" x="2899"/>
        <item m="1" x="2478"/>
        <item m="1" x="2325"/>
        <item m="1" x="2029"/>
        <item m="1" x="2187"/>
        <item m="1" x="2737"/>
        <item m="1" x="2774"/>
        <item m="1" x="1228"/>
        <item m="1" x="2195"/>
        <item m="1" x="1869"/>
        <item m="1" x="1222"/>
        <item m="1" x="2102"/>
        <item m="1" x="2341"/>
        <item m="1" x="2359"/>
        <item m="1" x="252"/>
        <item m="1" x="2277"/>
        <item m="1" x="2936"/>
        <item m="1" x="2315"/>
        <item m="1" x="2416"/>
        <item m="1" x="2066"/>
        <item m="1" x="549"/>
        <item m="1" x="718"/>
        <item m="1" x="2412"/>
        <item m="1" x="2397"/>
        <item m="1" x="2340"/>
        <item m="1" x="1076"/>
        <item m="1" x="1392"/>
        <item m="1" x="213"/>
        <item m="1" x="2289"/>
        <item m="1" x="651"/>
        <item m="1" x="2352"/>
        <item m="1" x="459"/>
        <item m="1" x="648"/>
        <item m="1" x="816"/>
        <item m="1" x="1628"/>
        <item m="1" x="2480"/>
        <item m="1" x="1275"/>
        <item m="1" x="1899"/>
        <item m="1" x="2031"/>
        <item m="1" x="144"/>
        <item m="1" x="316"/>
        <item m="1" x="1545"/>
        <item m="1" x="963"/>
        <item m="1" x="2627"/>
        <item m="1" x="2706"/>
        <item m="1" x="2168"/>
        <item m="1" x="2525"/>
        <item m="1" x="1516"/>
        <item m="1" x="1102"/>
        <item m="1" x="914"/>
        <item m="1" x="1853"/>
        <item m="1" x="1828"/>
        <item m="1" x="305"/>
        <item m="1" x="762"/>
        <item m="1" x="1795"/>
        <item m="1" x="2362"/>
        <item m="1" x="73"/>
        <item m="1" x="872"/>
        <item m="1" x="1833"/>
        <item m="1" x="474"/>
        <item m="1" x="1517"/>
        <item m="1" x="2864"/>
        <item m="1" x="2285"/>
        <item m="1" x="1332"/>
        <item m="1" x="292"/>
        <item m="1" x="2569"/>
        <item m="1" x="1912"/>
        <item m="1" x="1343"/>
        <item m="1" x="1958"/>
        <item m="1" x="2546"/>
        <item m="1" x="39"/>
        <item m="1" x="2896"/>
        <item m="1" x="1037"/>
        <item m="1" x="2212"/>
        <item m="1" x="1729"/>
        <item m="1" x="1854"/>
        <item m="1" x="568"/>
        <item m="1" x="2436"/>
        <item m="1" x="1230"/>
        <item m="1" x="2394"/>
        <item m="1" x="2910"/>
        <item m="1" x="79"/>
        <item m="1" x="1476"/>
        <item m="1" x="2974"/>
        <item m="1" x="2956"/>
        <item m="1" x="203"/>
        <item m="1" x="951"/>
        <item m="1" x="2369"/>
        <item m="1" x="1378"/>
        <item m="1" x="2117"/>
        <item m="1" x="1764"/>
        <item m="1" x="2803"/>
        <item m="1" x="2271"/>
        <item m="1" x="11"/>
        <item m="1" x="2632"/>
        <item m="1" x="2189"/>
        <item m="1" x="1994"/>
        <item m="1" x="2035"/>
        <item m="1" x="628"/>
        <item m="1" x="386"/>
        <item m="1" x="920"/>
        <item m="1" x="2036"/>
        <item m="1" x="917"/>
        <item m="1" x="1982"/>
        <item m="1" x="465"/>
        <item m="1" x="2286"/>
        <item m="1" x="2600"/>
        <item m="1" x="1979"/>
        <item m="1" x="1597"/>
        <item m="1" x="2457"/>
        <item m="1" x="2471"/>
        <item m="1" x="2082"/>
        <item m="1" x="1884"/>
        <item m="1" x="2155"/>
        <item m="1" x="57"/>
        <item m="1" x="82"/>
        <item m="1" x="2238"/>
        <item m="1" x="2693"/>
        <item m="1" x="1342"/>
        <item m="1" x="1690"/>
        <item m="1" x="836"/>
        <item m="1" x="1949"/>
        <item m="1" x="469"/>
        <item m="1" x="2612"/>
        <item m="1" x="331"/>
        <item m="1" x="760"/>
        <item m="1" x="1614"/>
        <item m="1" x="1374"/>
        <item m="1" x="1843"/>
        <item m="1" x="2583"/>
        <item m="1" x="204"/>
        <item m="1" x="2778"/>
        <item m="1" x="1309"/>
        <item m="1" x="512"/>
        <item m="1" x="710"/>
        <item m="1" x="167"/>
        <item m="1" x="1911"/>
        <item m="1" x="2745"/>
        <item m="1" x="1664"/>
        <item m="1" x="2339"/>
        <item m="1" x="2055"/>
        <item m="1" x="209"/>
        <item m="1" x="2470"/>
        <item m="1" x="60"/>
        <item m="1" x="1796"/>
        <item m="1" x="2811"/>
        <item m="1" x="105"/>
        <item m="1" x="2675"/>
        <item m="1" x="137"/>
        <item m="1" x="2638"/>
        <item m="1" x="2059"/>
        <item m="1" x="728"/>
        <item m="1" x="1232"/>
        <item m="1" x="973"/>
        <item m="1" x="2616"/>
        <item m="1" x="1735"/>
        <item m="1" x="1096"/>
        <item m="1" x="2389"/>
        <item m="1" x="974"/>
        <item m="1" x="2014"/>
        <item m="1" x="761"/>
        <item m="1" x="998"/>
        <item m="1" x="1874"/>
        <item m="1" x="222"/>
        <item m="1" x="2508"/>
        <item m="1" x="1682"/>
        <item m="1" x="1642"/>
        <item m="1" x="2250"/>
        <item m="1" x="1316"/>
        <item m="1" x="202"/>
        <item m="1" x="374"/>
        <item m="1" x="308"/>
        <item m="1" x="1304"/>
        <item m="1" x="2205"/>
        <item m="1" x="1890"/>
        <item m="1" x="1568"/>
        <item m="1" x="2969"/>
        <item m="1" x="145"/>
        <item m="1" x="1888"/>
        <item m="1" x="929"/>
        <item m="1" x="1588"/>
        <item m="1" x="2565"/>
        <item m="1" x="399"/>
        <item m="1" x="2317"/>
        <item m="1" x="697"/>
        <item m="1" x="2982"/>
        <item m="1" x="2137"/>
        <item m="1" x="907"/>
        <item m="1" x="285"/>
        <item m="1" x="803"/>
        <item m="1" x="789"/>
        <item m="1" x="2092"/>
        <item m="1" x="62"/>
        <item m="1" x="1559"/>
        <item m="1" x="1985"/>
        <item m="1" x="1759"/>
        <item m="1" x="1529"/>
        <item m="1" x="2357"/>
        <item m="1" x="2939"/>
        <item m="1" x="2603"/>
        <item m="1" x="2952"/>
        <item m="1" x="238"/>
        <item m="1" x="525"/>
        <item m="1" x="1674"/>
        <item m="1" x="972"/>
        <item m="1" x="867"/>
        <item m="1" x="1751"/>
        <item m="1" x="1388"/>
        <item m="1" x="2531"/>
        <item m="1" x="1404"/>
        <item m="1" x="1311"/>
        <item m="1" x="2670"/>
        <item m="1" x="922"/>
        <item m="1" x="2024"/>
        <item m="1" x="2083"/>
        <item m="1" x="1051"/>
        <item m="1" x="1581"/>
        <item m="1" x="2806"/>
        <item m="1" x="864"/>
        <item m="1" x="1972"/>
        <item m="1" x="2319"/>
        <item m="1" x="942"/>
        <item m="1" x="1633"/>
        <item m="1" x="918"/>
        <item m="1" x="1448"/>
        <item m="1" x="615"/>
        <item m="1" x="731"/>
        <item m="1" x="278"/>
        <item m="1" x="2222"/>
        <item m="1" x="2017"/>
        <item m="1" x="598"/>
        <item m="1" x="295"/>
        <item m="1" x="1018"/>
        <item m="1" x="1131"/>
        <item m="1" x="698"/>
        <item m="1" x="1974"/>
        <item m="1" x="744"/>
        <item m="1" x="1683"/>
        <item m="1" x="2770"/>
        <item m="1" x="2157"/>
        <item m="1" x="712"/>
        <item m="1" x="2966"/>
        <item m="1" x="2210"/>
        <item m="1" x="2993"/>
        <item m="1" x="550"/>
        <item m="1" x="1181"/>
        <item m="1" x="2722"/>
        <item m="1" x="198"/>
        <item m="1" x="644"/>
        <item m="1" x="1479"/>
        <item m="1" x="102"/>
        <item m="1" x="1510"/>
        <item m="1" x="1959"/>
        <item m="1" x="2087"/>
        <item m="1" x="1830"/>
        <item m="1" x="2863"/>
        <item m="1" x="2278"/>
        <item m="1" x="771"/>
        <item m="1" x="2050"/>
        <item m="1" x="1540"/>
        <item m="1" x="536"/>
        <item m="1" x="2822"/>
        <item m="1" x="2296"/>
        <item m="1" x="3009"/>
        <item m="1" x="1130"/>
        <item m="1" x="1491"/>
        <item m="1" x="1885"/>
        <item m="1" x="587"/>
        <item m="1" x="1092"/>
        <item m="1" x="582"/>
        <item m="1" x="2366"/>
        <item m="1" x="1612"/>
        <item m="1" x="408"/>
        <item m="1" x="1955"/>
        <item m="1" x="765"/>
        <item m="1" x="2651"/>
        <item m="1" x="1030"/>
        <item m="1" x="1061"/>
        <item m="1" x="2559"/>
        <item m="1" x="1634"/>
        <item m="1" x="2131"/>
        <item m="1" x="693"/>
        <item m="1" x="542"/>
        <item m="1" x="2738"/>
        <item m="1" x="304"/>
        <item m="1" x="243"/>
        <item m="1" x="1201"/>
        <item m="1" x="406"/>
        <item m="1" x="642"/>
        <item m="1" x="1620"/>
        <item m="1" x="825"/>
        <item m="1" x="614"/>
        <item m="1" x="2685"/>
        <item m="1" x="597"/>
        <item m="1" x="27"/>
        <item m="1" x="2523"/>
        <item m="1" x="1457"/>
        <item m="1" x="2568"/>
        <item m="1" x="1761"/>
        <item m="1" x="1373"/>
        <item m="1" x="2279"/>
        <item m="1" x="2657"/>
        <item m="1" x="2799"/>
        <item m="1" x="142"/>
        <item m="1" x="328"/>
        <item m="1" x="1136"/>
        <item m="1" x="2479"/>
        <item m="1" x="1467"/>
        <item m="1" x="945"/>
        <item m="1" x="1880"/>
        <item m="1" x="2976"/>
        <item m="1" x="1553"/>
        <item m="1" x="1876"/>
        <item m="1" x="2614"/>
        <item sd="0" m="1" x="769"/>
        <item sd="0" m="1" x="161"/>
        <item m="1" x="2202"/>
        <item sd="0" m="1" x="1407"/>
        <item m="1" x="2347"/>
        <item sd="0" m="1" x="392"/>
        <item sd="0" m="1" x="436"/>
        <item sd="0" m="1" x="2209"/>
        <item m="1" x="2225"/>
        <item m="1" x="1205"/>
        <item sd="0" m="1" x="170"/>
        <item m="1" x="2609"/>
        <item m="1" x="2964"/>
        <item sd="0" m="1" x="2996"/>
        <item sd="0" m="1" x="2028"/>
        <item sd="0" m="1" x="1778"/>
        <item m="1" x="1323"/>
        <item m="1" x="946"/>
        <item m="1" x="1575"/>
        <item m="1" x="496"/>
        <item m="1" x="594"/>
        <item m="1" x="2765"/>
        <item sd="0" m="1" x="435"/>
        <item m="1" x="134"/>
        <item sd="0" m="1" x="29"/>
        <item m="1" x="2987"/>
        <item m="1" x="2450"/>
        <item m="1" x="2486"/>
        <item m="1" x="2920"/>
        <item m="1" x="2958"/>
        <item sd="0" m="1" x="1257"/>
        <item sd="0" m="1" x="1368"/>
        <item sd="0" m="1" x="928"/>
        <item sd="0" m="1" x="1078"/>
        <item sd="0" m="1" x="487"/>
        <item sd="0" m="1" x="554"/>
        <item m="1" x="432"/>
        <item sd="0" m="1" x="826"/>
        <item sd="0" m="1" x="1319"/>
        <item sd="0" m="1" x="2041"/>
        <item sd="0" m="1" x="2575"/>
        <item sd="0" m="1" x="965"/>
        <item m="1" x="1371"/>
        <item m="1" x="1806"/>
        <item sd="0" m="1" x="282"/>
        <item m="1" x="2188"/>
        <item sd="0" m="1" x="2198"/>
        <item m="1" x="801"/>
        <item m="1" x="2459"/>
        <item m="1" x="2580"/>
        <item m="1" x="2972"/>
        <item m="1" x="2292"/>
        <item m="1" x="1718"/>
        <item m="1" x="939"/>
        <item sd="0" m="1" x="2244"/>
        <item m="1" x="117"/>
        <item m="1" x="1742"/>
        <item m="1" x="2968"/>
        <item m="1" x="612"/>
        <item m="1" x="955"/>
        <item sd="0" m="1" x="180"/>
        <item m="1" x="1171"/>
        <item m="1" x="155"/>
        <item m="1" x="288"/>
        <item m="1" x="103"/>
        <item m="1" x="186"/>
        <item m="1" x="2988"/>
        <item sd="0" m="1" x="2744"/>
        <item m="1" x="609"/>
        <item m="1" x="467"/>
        <item sd="0" m="1" x="350"/>
        <item m="1" x="2797"/>
        <item m="1" x="1469"/>
        <item m="1" x="933"/>
        <item m="1" x="1286"/>
        <item m="1" x="1213"/>
        <item m="1" x="2829"/>
        <item m="1" x="1871"/>
        <item m="1" x="2438"/>
        <item m="1" x="2933"/>
        <item m="1" x="849"/>
        <item m="1" x="2881"/>
        <item m="1" x="723"/>
        <item m="1" x="808"/>
        <item m="1" x="2135"/>
        <item m="1" x="72"/>
        <item m="1" x="900"/>
        <item m="1" x="2111"/>
        <item m="1" x="1813"/>
        <item m="1" x="2694"/>
        <item m="1" x="1567"/>
        <item m="1" x="2571"/>
        <item m="1" x="251"/>
        <item m="1" x="1535"/>
        <item m="1" x="521"/>
        <item m="1" x="1082"/>
        <item m="1" x="1334"/>
        <item m="1" x="2466"/>
        <item m="1" x="2862"/>
        <item m="1" x="2348"/>
        <item m="1" x="2677"/>
        <item m="1" x="841"/>
        <item m="1" x="1025"/>
        <item m="1" x="2959"/>
        <item m="1" x="1659"/>
        <item m="1" x="1978"/>
        <item m="1" x="2998"/>
        <item m="1" x="754"/>
        <item m="1" x="1028"/>
        <item m="1" x="1464"/>
        <item m="1" x="2597"/>
        <item m="1" x="1437"/>
        <item m="1" x="2262"/>
        <item m="1" x="253"/>
        <item m="1" x="2022"/>
        <item m="1" x="2711"/>
        <item m="1" x="2886"/>
        <item m="1" x="2754"/>
        <item m="1" x="988"/>
        <item m="1" x="846"/>
        <item m="1" x="1146"/>
        <item m="1" x="1943"/>
        <item m="1" x="2663"/>
        <item m="1" x="1970"/>
        <item m="1" x="2328"/>
        <item m="1" x="508"/>
        <item m="1" x="1541"/>
        <item m="1" x="366"/>
        <item m="1" x="843"/>
        <item m="1" x="257"/>
        <item m="1" x="805"/>
        <item m="1" x="839"/>
        <item m="1" x="557"/>
        <item m="1" x="494"/>
        <item m="1" x="1147"/>
        <item m="1" x="2043"/>
        <item m="1" x="2158"/>
        <item m="1" x="396"/>
        <item m="1" x="1329"/>
        <item m="1" x="764"/>
        <item m="1" x="1508"/>
        <item m="1" x="2312"/>
        <item m="1" x="2629"/>
        <item m="1" x="852"/>
        <item m="1" x="2858"/>
        <item m="1" x="1156"/>
        <item m="1" x="2469"/>
        <item m="1" x="1847"/>
        <item m="1" x="2147"/>
        <item m="1" x="1071"/>
        <item m="1" x="1255"/>
        <item m="1" x="819"/>
        <item m="1" x="2387"/>
        <item m="1" x="426"/>
        <item m="1" x="2572"/>
        <item m="1" x="1960"/>
        <item m="1" x="231"/>
        <item m="1" x="1059"/>
        <item m="1" x="1172"/>
        <item m="1" x="345"/>
        <item m="1" x="667"/>
        <item m="1" x="6"/>
        <item m="1" x="636"/>
        <item m="1" x="1774"/>
        <item m="1" x="2012"/>
        <item m="1" x="1372"/>
        <item m="1" x="1573"/>
        <item m="1" x="1338"/>
        <item m="1" x="30"/>
        <item m="1" x="670"/>
        <item m="1" x="1416"/>
        <item m="1" x="543"/>
        <item m="1" x="518"/>
        <item m="1" x="734"/>
        <item m="1" x="511"/>
        <item m="1" x="966"/>
        <item m="1" x="1297"/>
        <item m="1" x="2950"/>
        <item m="1" x="12"/>
        <item m="1" x="1267"/>
        <item m="1" x="2810"/>
        <item m="1" x="2555"/>
        <item m="1" x="341"/>
        <item m="1" x="80"/>
        <item m="1" x="1551"/>
        <item m="1" x="2180"/>
        <item m="1" x="1590"/>
        <item m="1" x="2107"/>
        <item m="1" x="830"/>
        <item m="1" x="2127"/>
        <item m="1" x="69"/>
        <item m="1" x="127"/>
        <item m="1" x="2193"/>
        <item m="1" x="110"/>
        <item m="1" x="1635"/>
        <item m="1" x="448"/>
        <item m="1" x="1589"/>
        <item m="1" x="674"/>
        <item m="1" x="1984"/>
        <item m="1" x="781"/>
        <item m="1" x="1857"/>
        <item m="1" x="1098"/>
        <item m="1" x="704"/>
        <item m="1" x="388"/>
        <item m="1" x="815"/>
        <item m="1" x="1337"/>
        <item m="1" x="774"/>
        <item m="1" x="2"/>
        <item m="1" x="1688"/>
        <item m="1" x="1907"/>
        <item m="1" x="1434"/>
        <item m="1" x="936"/>
        <item m="1" x="116"/>
        <item m="1" x="2892"/>
        <item m="1" x="2658"/>
        <item m="1" x="2234"/>
        <item m="1" x="2581"/>
        <item m="1" x="486"/>
        <item m="1" x="1563"/>
        <item m="1" x="2843"/>
        <item m="1" x="385"/>
        <item m="1" x="2911"/>
        <item m="1" x="2052"/>
        <item m="1" x="680"/>
        <item m="1" x="2949"/>
        <item m="1" x="1615"/>
        <item m="1" x="735"/>
        <item m="1" x="1602"/>
        <item m="1" x="2578"/>
        <item m="1" x="2154"/>
        <item m="1" x="2927"/>
        <item m="1" x="633"/>
        <item m="1" x="3012"/>
        <item m="1" x="2512"/>
        <item m="1" x="233"/>
        <item m="1" x="302"/>
        <item m="1" x="1167"/>
        <item m="1" x="104"/>
        <item m="1" x="98"/>
        <item m="1" x="1538"/>
        <item m="1" x="148"/>
        <item m="1" x="1153"/>
        <item m="1" x="2162"/>
        <item m="1" x="1328"/>
        <item m="1" x="2913"/>
        <item m="1" x="2847"/>
        <item m="1" x="979"/>
        <item m="1" x="1485"/>
        <item m="1" x="1007"/>
        <item m="1" x="1245"/>
        <item m="1" x="2331"/>
        <item m="1" x="1353"/>
        <item m="1" x="722"/>
        <item m="1" x="2827"/>
        <item m="1" x="1607"/>
        <item m="1" x="1044"/>
        <item m="1" x="326"/>
        <item m="1" x="2877"/>
        <item m="1" x="2380"/>
        <item m="1" x="1966"/>
        <item m="1" x="3016"/>
        <item m="1" x="415"/>
        <item m="1" x="1395"/>
        <item m="1" x="2626"/>
        <item m="1" x="903"/>
        <item m="1" x="108"/>
        <item m="1" x="2089"/>
        <item m="1" x="2217"/>
        <item m="1" x="605"/>
        <item m="1" x="1834"/>
        <item m="1" x="1074"/>
        <item m="1" x="1089"/>
        <item m="1" x="1917"/>
        <item m="1" x="719"/>
        <item m="1" x="1657"/>
        <item m="1" x="1577"/>
        <item m="1" x="637"/>
        <item m="1" x="868"/>
        <item m="1" x="2554"/>
        <item m="1" x="783"/>
        <item m="1" x="2346"/>
        <item m="1" x="1864"/>
        <item m="1" x="1838"/>
        <item m="1" x="329"/>
        <item m="1" x="2118"/>
        <item m="1" x="2477"/>
        <item m="1" x="2237"/>
        <item m="1" x="1402"/>
        <item m="1" x="1157"/>
        <item m="1" x="1287"/>
        <item m="1" x="721"/>
        <item m="1" x="438"/>
        <item m="1" x="556"/>
        <item m="1" x="1350"/>
        <item m="1" x="1686"/>
        <item m="1" x="827"/>
        <item m="1" x="2837"/>
        <item m="1" x="1719"/>
        <item m="1" x="2521"/>
        <item m="1" x="2270"/>
        <item m="1" x="2570"/>
        <item m="1" x="1194"/>
        <item m="1" x="2363"/>
        <item m="1" x="1701"/>
        <item m="1" x="2056"/>
        <item m="1" x="322"/>
        <item m="1" x="1645"/>
        <item m="1" x="2945"/>
        <item m="1" x="2660"/>
        <item m="1" x="2716"/>
        <item m="1" x="737"/>
        <item m="1" x="2924"/>
        <item m="1" x="2954"/>
        <item m="1" x="591"/>
        <item m="1" x="10"/>
        <item m="1" x="2542"/>
        <item m="1" x="621"/>
        <item m="1" x="1794"/>
        <item m="1" x="458"/>
        <item m="1" x="2666"/>
        <item m="1" x="1410"/>
        <item m="1" x="1973"/>
        <item m="1" x="1300"/>
        <item m="1" x="576"/>
        <item m="1" x="629"/>
        <item m="1" x="1418"/>
        <item m="1" x="2628"/>
        <item m="1" x="2681"/>
        <item m="1" x="935"/>
        <item m="1" x="2113"/>
        <item m="1" x="1236"/>
        <item m="1" x="2034"/>
        <item m="1" x="2372"/>
        <item m="1" x="1019"/>
        <item m="1" x="56"/>
        <item m="1" x="1769"/>
        <item m="1" x="77"/>
        <item m="1" x="272"/>
        <item m="1" x="2454"/>
        <item m="1" x="2824"/>
        <item m="1" x="2175"/>
        <item m="1" x="68"/>
        <item m="1" x="259"/>
        <item m="1" x="1812"/>
        <item m="1" x="558"/>
        <item m="1" x="2585"/>
        <item m="1" x="1609"/>
        <item m="1" x="1604"/>
        <item m="1" x="2096"/>
        <item m="1" x="2407"/>
        <item m="1" x="1771"/>
        <item m="1" x="2268"/>
        <item m="1" x="882"/>
        <item m="1" x="395"/>
        <item m="1" x="1170"/>
        <item m="1" x="153"/>
        <item m="1" x="1075"/>
        <item m="1" x="65"/>
        <item m="1" x="130"/>
        <item m="1" x="1264"/>
        <item m="1" x="1542"/>
        <item m="1" x="1506"/>
        <item m="1" x="1500"/>
        <item m="1" x="608"/>
        <item m="1" x="344"/>
        <item m="1" x="2816"/>
        <item m="1" x="984"/>
        <item m="1" x="421"/>
        <item m="1" x="2021"/>
        <item sd="0" m="1" x="1254"/>
        <item sd="0" m="1" x="2274"/>
        <item sd="0" m="1" x="2688"/>
        <item m="1" x="1882"/>
        <item m="1" x="2316"/>
        <item m="1" x="2645"/>
        <item m="1" x="1032"/>
        <item m="1" x="2196"/>
        <item m="1" x="919"/>
        <item m="1" x="1840"/>
        <item m="1" x="2707"/>
        <item m="1" x="1762"/>
        <item m="1" x="2549"/>
        <item m="1" x="1779"/>
        <item m="1" x="1314"/>
        <item m="1" x="703"/>
        <item m="1" x="1283"/>
        <item m="1" x="2040"/>
        <item m="1" x="1574"/>
        <item m="1" x="1976"/>
        <item m="1" x="2076"/>
        <item m="1" x="2951"/>
        <item m="1" x="874"/>
        <item m="1" x="588"/>
        <item m="1" x="2229"/>
        <item m="1" x="1746"/>
        <item m="1" x="1663"/>
        <item m="1" x="477"/>
        <item m="1" x="311"/>
        <item m="1" x="1381"/>
        <item m="1" x="2258"/>
        <item m="1" x="2792"/>
        <item m="1" x="2061"/>
        <item m="1" x="1468"/>
        <item sd="0" m="1" x="1594"/>
        <item m="1" x="348"/>
        <item m="1" x="189"/>
        <item m="1" x="99"/>
        <item m="1" x="1750"/>
        <item m="1" x="1823"/>
        <item m="1" x="2545"/>
        <item m="1" x="1860"/>
        <item m="1" x="192"/>
        <item m="1" x="1394"/>
        <item m="1" x="1741"/>
        <item m="1" x="391"/>
        <item m="1" x="2834"/>
        <item m="1" x="1652"/>
        <item m="1" x="327"/>
        <item m="1" x="840"/>
        <item m="1" x="2451"/>
        <item m="1" x="256"/>
        <item m="1" x="1777"/>
        <item m="1" x="2828"/>
        <item m="1" x="1081"/>
        <item m="1" x="779"/>
        <item m="1" x="2178"/>
        <item m="1" x="2183"/>
        <item m="1" x="2687"/>
        <item m="1" x="2558"/>
        <item m="1" x="842"/>
        <item m="1" x="298"/>
        <item m="1" x="2655"/>
        <item m="1" x="1247"/>
        <item m="1" x="76"/>
        <item m="1" x="40"/>
        <item m="1" x="460"/>
        <item m="1" x="2500"/>
        <item m="1" x="1527"/>
        <item m="1" x="2955"/>
        <item m="1" x="1141"/>
        <item m="1" x="194"/>
        <item m="1" x="1258"/>
        <item m="1" x="1003"/>
        <item m="1" x="749"/>
        <item m="1" x="878"/>
        <item m="1" x="2563"/>
        <item m="1" x="1375"/>
        <item m="1" x="1534"/>
        <item m="1" x="1220"/>
        <item m="1" x="2728"/>
        <item m="1" x="1901"/>
        <item m="1" x="1161"/>
        <item m="1" x="716"/>
        <item m="1" x="87"/>
        <item m="1" x="1215"/>
        <item m="1" x="2845"/>
        <item m="1" x="309"/>
        <item m="1" x="2743"/>
        <item m="1" x="506"/>
        <item m="1" x="2630"/>
        <item m="1" x="676"/>
        <item m="1" x="2818"/>
        <item m="1" x="125"/>
        <item m="1" x="1276"/>
        <item m="1" x="999"/>
        <item m="1" x="1952"/>
        <item m="1" x="2323"/>
        <item m="1" x="2462"/>
        <item m="1" x="2985"/>
        <item m="1" x="1186"/>
        <item m="1" x="1466"/>
        <item m="1" x="2731"/>
        <item m="1" x="1148"/>
        <item m="1" x="216"/>
        <item m="1" x="736"/>
        <item m="1" x="1537"/>
        <item m="1" x="2430"/>
        <item m="1" x="106"/>
        <item m="1" x="2672"/>
        <item m="1" x="2788"/>
        <item m="1" x="1894"/>
        <item m="1" x="2750"/>
        <item m="1" x="561"/>
        <item m="1" x="643"/>
        <item m="1" x="485"/>
        <item m="1" x="925"/>
        <item m="1" x="1289"/>
        <item m="1" x="59"/>
        <item m="1" x="2652"/>
        <item m="1" x="748"/>
        <item m="1" x="1433"/>
        <item m="1" x="483"/>
        <item m="1" x="454"/>
        <item m="1" x="1178"/>
        <item m="1" x="2860"/>
        <item m="1" x="315"/>
        <item m="1" x="1256"/>
        <item m="1" x="2725"/>
        <item m="1" x="1144"/>
        <item m="1" x="601"/>
        <item m="1" x="2891"/>
        <item m="1" x="2948"/>
        <item m="1" x="2405"/>
        <item m="1" x="169"/>
        <item m="1" x="2402"/>
        <item m="1" x="1272"/>
        <item m="1" x="1406"/>
        <item m="1" x="2875"/>
        <item m="1" x="2226"/>
        <item m="1" x="2139"/>
        <item m="1" x="757"/>
        <item m="1" x="2494"/>
        <item m="1" x="351"/>
        <item m="1" x="2846"/>
        <item m="1" x="2492"/>
        <item m="1" x="179"/>
        <item m="1" x="50"/>
        <item m="1" x="2804"/>
        <item m="1" x="479"/>
        <item m="1" x="1932"/>
        <item m="1" x="2396"/>
        <item m="1" x="1763"/>
        <item m="1" x="2605"/>
        <item m="1" x="2186"/>
        <item m="1" x="1149"/>
        <item m="1" x="1015"/>
        <item m="1" x="2207"/>
        <item m="1" x="2849"/>
        <item m="1" x="1827"/>
        <item m="1" x="742"/>
        <item m="1" x="1866"/>
        <item m="1" x="424"/>
        <item m="1" x="2321"/>
        <item m="1" x="1793"/>
        <item m="1" x="2501"/>
        <item m="1" x="2240"/>
        <item m="1" x="48"/>
        <item m="1" x="2411"/>
        <item m="1" x="91"/>
        <item m="1" x="1104"/>
        <item m="1" x="2730"/>
        <item m="1" x="1010"/>
        <item m="1" x="51"/>
        <item m="1" x="603"/>
        <item m="1" x="1671"/>
        <item m="1" x="111"/>
        <item m="1" x="2287"/>
        <item m="1" x="1035"/>
        <item m="1" x="938"/>
        <item m="1" x="2977"/>
        <item m="1" x="2358"/>
        <item m="1" x="1951"/>
        <item m="1" x="2642"/>
        <item m="1" x="2589"/>
        <item m="1" x="1282"/>
        <item m="1" x="1211"/>
        <item m="1" x="2334"/>
        <item m="1" x="650"/>
        <item m="1" x="146"/>
        <item m="1" x="1293"/>
        <item m="1" x="2105"/>
        <item m="1" x="586"/>
        <item m="1" x="1412"/>
        <item m="1" x="1752"/>
        <item m="1" x="33"/>
        <item m="1" x="2219"/>
        <item m="1" x="2310"/>
        <item m="1" x="2163"/>
        <item m="1" x="1262"/>
        <item m="1" x="2697"/>
        <item m="1" x="1145"/>
        <item m="1" x="921"/>
        <item m="1" x="240"/>
        <item m="1" x="908"/>
        <item m="1" x="888"/>
        <item m="1" x="71"/>
        <item m="1" x="2870"/>
        <item m="1" x="2757"/>
        <item m="1" x="444"/>
        <item m="1" x="2557"/>
        <item m="1" x="2332"/>
        <item m="1" x="1012"/>
        <item m="1" x="671"/>
        <item m="1" x="43"/>
        <item m="1" x="1160"/>
        <item m="1" x="2306"/>
        <item m="1" x="1415"/>
        <item m="1" x="1908"/>
        <item m="1" x="112"/>
        <item m="1" x="567"/>
        <item m="1" x="708"/>
        <item m="1" x="1708"/>
        <item m="1" x="1591"/>
        <item m="1" x="2908"/>
        <item m="1" x="1039"/>
        <item m="1" x="409"/>
        <item m="1" x="1239"/>
        <item m="1" x="1127"/>
        <item m="1" x="1586"/>
        <item m="1" x="466"/>
        <item m="1" x="2160"/>
        <item m="1" x="1361"/>
        <item m="1" x="799"/>
        <item m="1" x="2944"/>
        <item m="1" x="2586"/>
        <item m="1" x="1310"/>
        <item m="1" x="2011"/>
        <item m="1" x="1934"/>
        <item m="1" x="2643"/>
        <item m="1" x="2261"/>
        <item m="1" x="237"/>
        <item m="1" x="1730"/>
        <item m="1" x="1101"/>
        <item m="1" x="2427"/>
        <item m="1" x="2128"/>
        <item m="1" x="2442"/>
        <item m="1" x="787"/>
        <item m="1" x="1638"/>
        <item m="1" x="1922"/>
        <item m="1" x="2109"/>
        <item m="1" x="2540"/>
        <item m="1" x="2879"/>
        <item m="1" x="165"/>
        <item m="1" x="2433"/>
        <item m="1" x="2762"/>
        <item m="1" x="255"/>
        <item m="1" x="491"/>
        <item m="1" x="1867"/>
        <item m="1" x="1196"/>
        <item m="1" x="225"/>
        <item m="1" x="1731"/>
        <item m="1" x="468"/>
        <item m="1" x="2734"/>
        <item m="1" x="1449"/>
        <item m="1" x="1154"/>
        <item m="1" x="2495"/>
        <item m="1" x="1187"/>
        <item m="1" x="1980"/>
        <item m="1" x="200"/>
        <item m="1" x="264"/>
        <item m="1" x="1694"/>
        <item m="1" x="2221"/>
        <item m="1" x="1886"/>
        <item m="1" x="1423"/>
        <item m="1" x="1453"/>
        <item m="1" x="1569"/>
        <item m="1" x="188"/>
        <item m="1" x="2133"/>
        <item m="1" x="2502"/>
        <item m="1" x="449"/>
        <item m="1" x="358"/>
        <item m="1" x="2453"/>
        <item m="1" x="1601"/>
        <item m="1" x="537"/>
        <item m="1" x="944"/>
        <item m="1" x="1836"/>
        <item m="1" x="863"/>
        <item m="1" x="1801"/>
        <item m="1" x="2539"/>
        <item m="1" x="1438"/>
        <item m="1" x="1400"/>
        <item m="1" x="2994"/>
        <item m="1" x="1631"/>
        <item m="1" x="296"/>
        <item m="1" x="2410"/>
        <item m="1" x="1219"/>
        <item m="1" x="2070"/>
        <item m="1" x="1242"/>
        <item m="1" x="181"/>
        <item m="1" x="2602"/>
        <item m="1" x="2093"/>
        <item m="1" x="2496"/>
        <item m="1" x="1326"/>
        <item m="1" x="743"/>
        <item m="1" x="2208"/>
        <item m="1" x="1204"/>
        <item m="1" x="2000"/>
        <item m="1" x="133"/>
        <item m="1" x="2484"/>
        <item m="1" x="1543"/>
        <item m="1" x="1946"/>
        <item m="1" x="1202"/>
        <item m="1" x="807"/>
        <item m="1" x="1611"/>
        <item m="1" x="92"/>
        <item m="1" x="1446"/>
        <item m="1" x="530"/>
        <item m="1" x="1947"/>
        <item m="1" x="13"/>
        <item m="1" x="2468"/>
        <item m="1" x="2448"/>
        <item m="1" x="1055"/>
        <item m="1" x="1474"/>
        <item m="1" x="1987"/>
        <item m="1" x="1554"/>
        <item m="1" x="1734"/>
        <item m="1" x="2115"/>
        <item m="1" x="1613"/>
        <item m="1" x="1396"/>
        <item m="1" x="2622"/>
        <item m="1" x="1931"/>
        <item m="1" x="750"/>
        <item m="1" x="1929"/>
        <item m="1" x="2298"/>
        <item m="1" x="2691"/>
        <item m="1" x="673"/>
        <item m="1" x="2305"/>
        <item m="1" x="1995"/>
        <item m="1" x="124"/>
        <item m="1" x="2481"/>
        <item m="1" x="1103"/>
        <item m="1" x="1651"/>
        <item m="1" x="2937"/>
        <item m="1" x="1668"/>
        <item m="1" x="93"/>
        <item m="1" x="2134"/>
        <item m="1" x="1391"/>
        <item m="1" x="1163"/>
        <item m="1" x="2953"/>
        <item m="1" x="747"/>
        <item m="1" x="2794"/>
        <item m="1" x="545"/>
        <item m="1" x="219"/>
        <item m="1" x="1398"/>
        <item m="1" x="1432"/>
        <item m="1" x="2176"/>
        <item m="1" x="1644"/>
        <item m="1" x="1803"/>
        <item m="1" x="570"/>
        <item m="1" x="2281"/>
        <item m="1" x="1431"/>
        <item m="1" x="463"/>
        <item m="1" x="2073"/>
        <item m="1" x="2838"/>
        <item m="1" x="493"/>
        <item m="1" x="1203"/>
        <item m="1" x="499"/>
        <item m="1" x="2452"/>
        <item m="1" x="2144"/>
        <item m="1" x="1021"/>
        <item m="1" x="2636"/>
        <item m="1" x="2068"/>
        <item m="1" x="1268"/>
        <item m="1" x="1072"/>
        <item m="1" x="2216"/>
        <item m="1" x="193"/>
        <item m="1" x="1619"/>
        <item m="1" x="32"/>
        <item m="1" x="2566"/>
        <item m="1" x="2704"/>
        <item m="1" x="2259"/>
        <item m="1" x="1017"/>
        <item m="1" x="2867"/>
        <item m="1" x="1605"/>
        <item m="1" x="101"/>
        <item m="1" x="1212"/>
        <item m="1" x="2302"/>
        <item m="1" x="1439"/>
        <item m="1" x="1648"/>
        <item m="1" x="531"/>
        <item m="1" x="1273"/>
        <item m="1" x="1266"/>
        <item m="1" x="1198"/>
        <item m="1" x="1536"/>
        <item m="1" x="2392"/>
        <item m="1" x="2191"/>
        <item m="1" x="1357"/>
        <item m="1" x="793"/>
        <item m="1" x="2595"/>
        <item m="1" x="2085"/>
        <item m="1" x="1525"/>
        <item m="1" x="1339"/>
        <item m="1" x="1556"/>
        <item m="1" x="3007"/>
        <item m="1" x="2593"/>
        <item m="1" x="1135"/>
        <item m="1" x="453"/>
        <item m="1" x="1626"/>
        <item m="1" x="362"/>
        <item m="1" x="1409"/>
        <item m="1" x="1945"/>
        <item m="1" x="2932"/>
        <item m="1" x="163"/>
        <item m="1" x="1113"/>
        <item m="1" x="1376"/>
        <item m="1" x="1879"/>
        <item m="1" x="1897"/>
        <item m="1" x="797"/>
        <item m="1" x="2990"/>
        <item m="1" x="559"/>
        <item m="1" x="1454"/>
        <item m="1" x="417"/>
        <item m="1" x="1296"/>
        <item m="1" x="2415"/>
        <item m="1" x="1975"/>
        <item m="1" x="1441"/>
        <item m="1" x="1473"/>
        <item m="1" x="2807"/>
        <item m="1" x="1695"/>
        <item m="1" x="3003"/>
        <item m="1" x="1656"/>
        <item m="1" x="1182"/>
        <item m="1" x="862"/>
        <item m="1" x="2900"/>
        <item m="1" x="2576"/>
        <item m="1" x="2030"/>
        <item m="1" x="2239"/>
        <item m="1" x="2112"/>
        <item m="1" x="627"/>
        <item m="1" x="2869"/>
        <item m="1" x="730"/>
        <item m="1" x="157"/>
        <item m="1" x="2424"/>
        <item m="1" x="553"/>
        <item m="1" x="2679"/>
        <item m="1" x="234"/>
        <item m="1" x="2001"/>
        <item m="1" x="2515"/>
        <item m="1" x="1865"/>
        <item m="1" x="78"/>
        <item m="1" x="294"/>
        <item m="1" x="49"/>
        <item m="1" x="2406"/>
        <item m="1" x="2324"/>
        <item m="1" x="985"/>
        <item m="1" x="2510"/>
        <item m="1" x="2322"/>
        <item m="1" x="692"/>
        <item sd="0" m="1" x="266"/>
        <item m="1" x="1739"/>
        <item m="1" x="1937"/>
        <item m="1" x="1422"/>
        <item m="1" x="2980"/>
        <item m="1" x="2625"/>
        <item m="1" x="1961"/>
        <item m="1" x="1189"/>
        <item sd="0" m="1" x="173"/>
        <item sd="0" m="1" x="861"/>
        <item sd="0" m="1" x="3018"/>
        <item m="1" x="855"/>
        <item sd="0" m="1" x="2767"/>
        <item sd="0" m="1" x="177"/>
        <item m="1" x="412"/>
        <item sd="0" m="1" x="2690"/>
        <item sd="0" m="1" x="1493"/>
        <item m="1" x="1653"/>
        <item m="1" x="284"/>
        <item m="1" x="502"/>
        <item sd="0" m="1" x="2350"/>
        <item m="1" x="865"/>
        <item m="1" x="1576"/>
        <item m="1" x="2215"/>
        <item m="1" x="1665"/>
        <item m="1" x="403"/>
        <item sd="0" m="1" x="2885"/>
        <item m="1" x="788"/>
        <item m="1" x="2360"/>
        <item sd="0" m="1" x="1755"/>
        <item m="1" x="2790"/>
        <item m="1" x="584"/>
        <item m="1" x="2798"/>
        <item m="1" x="201"/>
        <item m="1" x="954"/>
        <item m="1" x="2631"/>
        <item sd="0" m="1" x="150"/>
        <item m="1" x="2887"/>
        <item sd="0" m="1" x="818"/>
        <item m="1" x="430"/>
        <item m="1" x="879"/>
        <item sd="0" m="1" x="668"/>
        <item sd="0" m="1" x="986"/>
        <item m="1" x="2223"/>
        <item sd="0" m="1" x="2382"/>
        <item sd="0" m="1" x="196"/>
        <item m="1" x="1622"/>
        <item m="1" x="1133"/>
        <item m="1" x="2634"/>
        <item m="1" x="1675"/>
        <item m="1" x="1095"/>
        <item m="1" x="1360"/>
        <item m="1" x="1363"/>
        <item m="1" x="2042"/>
        <item m="1" x="2264"/>
        <item m="1" x="2248"/>
        <item m="1" x="236"/>
        <item m="1" x="1707"/>
        <item m="1" x="1685"/>
        <item m="1" x="2590"/>
        <item m="1" x="1941"/>
        <item m="1" x="2775"/>
        <item m="1" x="2832"/>
        <item m="1" x="2314"/>
        <item m="1" x="2601"/>
        <item m="1" x="1565"/>
        <item m="1" x="695"/>
        <item m="1" x="1042"/>
        <item m="1" x="24"/>
        <item m="1" x="1393"/>
        <item m="1" x="1070"/>
        <item m="1" x="1808"/>
        <item m="1" x="1313"/>
        <item m="1" x="1462"/>
        <item m="1" x="661"/>
        <item m="1" x="2644"/>
        <item m="1" x="229"/>
        <item m="1" x="2579"/>
        <item m="1" x="1802"/>
        <item m="1" x="1238"/>
        <item m="1" x="2391"/>
        <item m="1" x="1842"/>
        <item m="1" x="1505"/>
        <item m="1" x="1532"/>
        <item m="1" x="18"/>
        <item m="1" x="260"/>
        <item m="1" x="778"/>
        <item m="1" x="646"/>
        <item m="1" x="892"/>
        <item m="1" x="126"/>
        <item m="1" x="924"/>
        <item m="1" x="585"/>
        <item m="1" x="1129"/>
        <item m="1" x="780"/>
        <item m="1" x="1968"/>
        <item m="1" x="2983"/>
        <item m="1" x="2766"/>
        <item m="1" x="2025"/>
        <item m="1" x="440"/>
        <item m="1" x="2840"/>
        <item m="1" x="226"/>
        <item m="1" x="211"/>
        <item m="1" x="2063"/>
        <item m="1" x="2074"/>
        <item m="1" x="1490"/>
        <item m="1" x="482"/>
        <item m="1" x="1452"/>
        <item m="1" x="1001"/>
        <item m="1" x="312"/>
        <item m="1" x="686"/>
        <item m="1" x="1942"/>
        <item m="1" x="75"/>
        <item m="1" x="2441"/>
        <item m="1" x="1014"/>
        <item m="1" x="2662"/>
        <item m="1" x="2782"/>
        <item m="1" x="2376"/>
        <item m="1" x="1918"/>
        <item m="1" x="504"/>
        <item m="1" x="2009"/>
        <item m="1" x="776"/>
        <item m="1" x="2388"/>
        <item m="1" x="527"/>
        <item m="1" x="1164"/>
        <item m="1" x="1925"/>
        <item m="1" x="3019"/>
        <item m="1" x="923"/>
        <item m="1" x="299"/>
        <item m="1" x="1700"/>
        <item m="1" x="2401"/>
        <item m="1" x="577"/>
        <item m="1" x="1969"/>
        <item m="1" x="977"/>
        <item m="1" x="433"/>
        <item m="1" x="332"/>
        <item m="1" x="2513"/>
        <item m="1" x="656"/>
        <item m="1" x="2942"/>
        <item m="1" x="1748"/>
        <item m="1" x="1971"/>
        <item m="1" x="1041"/>
        <item m="1" x="858"/>
        <item m="1" x="2233"/>
        <item m="1" x="420"/>
        <item m="1" x="2235"/>
        <item m="1" x="220"/>
        <item m="1" x="307"/>
        <item m="1" x="1427"/>
        <item m="1" x="230"/>
        <item m="1" x="1655"/>
        <item m="1" x="1766"/>
        <item m="1" x="2039"/>
        <item m="1" x="136"/>
        <item m="1" x="2852"/>
        <item m="1" x="2556"/>
        <item m="1" x="2190"/>
        <item m="1" x="143"/>
        <item m="1" x="1344"/>
        <item m="1" x="1555"/>
        <item m="1" x="2713"/>
        <item m="1" x="1108"/>
        <item m="1" x="17"/>
        <item m="1" x="814"/>
        <item m="1" x="1905"/>
        <item m="1" x="687"/>
        <item m="1" x="416"/>
        <item m="1" x="2562"/>
        <item m="1" x="640"/>
        <item m="1" x="1641"/>
        <item m="1" x="2727"/>
        <item m="1" x="21"/>
        <item m="1" x="2747"/>
        <item m="1" x="2749"/>
        <item m="1" x="429"/>
        <item m="1" x="2719"/>
        <item m="1" x="470"/>
        <item m="1" x="2203"/>
        <item m="1" x="2343"/>
        <item m="1" x="1767"/>
        <item m="1" x="337"/>
        <item m="1" x="2044"/>
        <item m="1" x="398"/>
        <item m="1" x="2130"/>
        <item m="1" x="2991"/>
        <item m="1" x="1584"/>
        <item m="1" x="286"/>
        <item m="1" x="2872"/>
        <item m="1" x="2273"/>
        <item m="1" x="1768"/>
        <item m="1" x="1119"/>
        <item m="1" x="2574"/>
        <item m="1" x="1430"/>
        <item m="1" x="497"/>
        <item m="1" x="1669"/>
        <item m="1" x="162"/>
        <item m="1" x="2088"/>
        <item m="1" x="1077"/>
        <item m="1" x="2330"/>
        <item m="1" x="1327"/>
        <item m="1" x="2091"/>
        <item m="1" x="500"/>
        <item m="1" x="1623"/>
        <item m="1" x="1889"/>
        <item m="1" x="1370"/>
        <item m="1" x="2194"/>
        <item m="1" x="2536"/>
        <item m="1" x="2758"/>
        <item m="1" x="109"/>
        <item m="1" x="891"/>
        <item m="1" x="669"/>
        <item m="1" x="16"/>
        <item m="1" x="210"/>
        <item m="1" x="1048"/>
        <item m="1" x="953"/>
        <item m="1" x="1765"/>
        <item m="1" x="2573"/>
        <item m="1" x="1397"/>
        <item m="1" x="1351"/>
        <item m="1" x="86"/>
        <item m="1" x="539"/>
        <item m="1" x="2418"/>
        <item m="1" x="451"/>
        <item m="1" x="729"/>
        <item m="1" x="1637"/>
        <item m="1" x="171"/>
        <item m="1" x="2701"/>
        <item m="1" x="1564"/>
        <item m="1" x="1281"/>
        <item m="1" x="184"/>
        <item m="1" x="2708"/>
        <item m="1" x="1451"/>
        <item m="1" x="835"/>
        <item m="1" x="2333"/>
        <item m="1" x="1090"/>
        <item m="1" x="1440"/>
        <item m="1" x="2935"/>
        <item m="1" x="439"/>
        <item m="1" x="1578"/>
        <item m="1" x="510"/>
        <item m="1" x="1125"/>
        <item m="1" x="383"/>
        <item m="1" x="992"/>
        <item m="1" x="957"/>
        <item m="1" x="1099"/>
        <item m="1" x="2960"/>
        <item m="1" x="1528"/>
        <item m="1" x="876"/>
        <item m="1" x="1134"/>
        <item m="1" x="1382"/>
        <item m="1" x="1086"/>
        <item m="1" x="2067"/>
        <item m="1" x="368"/>
        <item m="1" x="2648"/>
        <item m="1" x="2753"/>
        <item m="1" x="34"/>
        <item m="1" x="1781"/>
        <item m="1" x="1672"/>
        <item m="1" x="600"/>
        <item m="1" x="217"/>
        <item m="1" x="2871"/>
        <item m="1" x="2200"/>
        <item m="1" x="2785"/>
        <item m="1" x="2227"/>
        <item m="1" x="3002"/>
        <item m="1" x="1819"/>
        <item m="1" x="1200"/>
        <item m="1" x="652"/>
        <item m="1" x="2236"/>
        <item m="1" x="175"/>
        <item m="1" x="2699"/>
        <item m="1" x="971"/>
        <item m="1" x="2682"/>
        <item m="1" x="2529"/>
        <item m="1" x="2800"/>
        <item m="1" x="2371"/>
        <item m="1" x="434"/>
        <item m="1" x="1116"/>
        <item m="1" x="2620"/>
        <item m="1" x="711"/>
        <item m="1" x="759"/>
        <item m="1" x="1478"/>
        <item m="1" x="2431"/>
        <item m="1" x="35"/>
        <item m="1" x="140"/>
        <item m="1" x="785"/>
        <item m="1" x="1681"/>
        <item m="1" x="890"/>
        <item m="1" x="287"/>
        <item m="1" x="2821"/>
        <item m="1" x="413"/>
        <item m="1" x="2485"/>
        <item m="1" x="382"/>
        <item m="1" x="19"/>
        <item m="1" x="1990"/>
        <item m="1" x="1583"/>
        <item m="1" x="1009"/>
        <item m="1" x="880"/>
        <item m="1" x="1348"/>
        <item m="1" x="1405"/>
        <item m="1" x="2361"/>
        <item m="1" x="2218"/>
        <item m="1" x="2400"/>
        <item sd="0" m="1" x="1006"/>
        <item sd="0" m="1" x="2740"/>
        <item m="1" x="410"/>
        <item sd="0" m="1" x="1661"/>
        <item sd="0" m="1" x="2567"/>
        <item sd="0" m="1" x="185"/>
        <item m="1" x="889"/>
        <item m="1" x="2926"/>
        <item m="1" x="2072"/>
        <item m="1" x="38"/>
        <item sd="0" m="1" x="660"/>
        <item sd="0" m="1" x="1456"/>
        <item m="1" x="2079"/>
        <item sd="0" m="1" x="1531"/>
        <item sd="0" m="1" x="1988"/>
        <item sd="0" m="1" x="223"/>
        <item sd="0" m="1" x="725"/>
        <item m="1" x="2889"/>
        <item m="1" x="2487"/>
        <item m="1" x="2252"/>
        <item sd="0" m="1" x="666"/>
        <item sd="0" m="1" x="1977"/>
        <item m="1" x="2624"/>
        <item sd="0" m="1" x="1800"/>
        <item sd="0" m="1" x="2300"/>
        <item sd="0" m="1" x="340"/>
        <item m="1" x="746"/>
        <item m="1" x="1288"/>
        <item sd="0" m="1" x="2598"/>
        <item sd="0" m="1" x="2623"/>
        <item sd="0" m="1" x="1132"/>
        <item m="1" x="1426"/>
        <item sd="0" m="1" x="2604"/>
        <item m="1" x="2114"/>
        <item sd="0" m="1" x="982"/>
        <item m="1" x="2192"/>
        <item m="1" x="349"/>
        <item sd="0" m="1" x="638"/>
        <item sd="0" m="1" x="1298"/>
        <item sd="0" m="1" x="625"/>
        <item m="1" x="1341"/>
        <item sd="0" m="1" x="2967"/>
        <item m="1" x="533"/>
        <item sd="0" m="1" x="2793"/>
        <item m="1" x="310"/>
        <item sd="0" m="1" x="1016"/>
        <item sd="0" m="1" x="706"/>
        <item sd="0" m="1" x="84"/>
        <item sd="0" m="1" x="810"/>
        <item m="1" x="370"/>
        <item sd="0" m="1" x="505"/>
        <item sd="0" m="1" x="2635"/>
        <item sd="0" m="1" x="2355"/>
        <item sd="0" m="1" x="2507"/>
        <item sd="0" m="1" x="727"/>
        <item m="1" x="1511"/>
        <item m="1" x="1523"/>
        <item sd="0" m="1" x="2550"/>
        <item sd="0" m="1" x="357"/>
        <item sd="0" m="1" x="2526"/>
        <item sd="0" m="1" x="2123"/>
        <item m="1" x="1817"/>
        <item m="1" x="122"/>
        <item sd="0" m="1" x="1330"/>
        <item sd="0" m="1" x="898"/>
        <item sd="0" m="1" x="717"/>
        <item m="1" x="121"/>
        <item sd="0" m="1" x="2304"/>
        <item m="1" x="1150"/>
        <item sd="0" m="1" x="885"/>
        <item m="1" x="599"/>
        <item m="1" x="2856"/>
        <item sd="0" m="1" x="1241"/>
        <item sd="0" m="1" x="2906"/>
        <item m="1" x="1738"/>
        <item m="1" x="2547"/>
        <item sd="0" m="1" x="857"/>
        <item sd="0" m="1" x="450"/>
        <item sd="0" m="1" x="529"/>
        <item sd="0" m="1" x="1810"/>
        <item sd="0" m="1" x="475"/>
        <item sd="0" m="1" x="1302"/>
        <item sd="0" m="1" x="1139"/>
        <item sd="0" m="1" x="405"/>
        <item sd="0" m="1" x="1458"/>
        <item sd="0" m="1" x="2674"/>
        <item sd="0" m="1" x="2752"/>
        <item sd="0" m="1" x="662"/>
        <item sd="0" m="1" x="503"/>
        <item sd="0" m="1" x="809"/>
        <item sd="0" m="1" x="2641"/>
        <item sd="0" m="1" x="2483"/>
        <item sd="0" m="1" x="1636"/>
        <item m="1" x="845"/>
        <item sd="0" m="1" x="2053"/>
        <item sd="0" m="1" x="1754"/>
        <item sd="0" m="1" x="3017"/>
        <item m="1" x="2379"/>
        <item sd="0" m="1" x="215"/>
        <item m="1" x="489"/>
        <item sd="0" m="1" x="428"/>
        <item sd="0" m="1" x="2148"/>
        <item sd="0" m="1" x="1666"/>
        <item sd="0" m="1" x="2149"/>
        <item m="1" x="870"/>
        <item m="1" x="2850"/>
        <item sd="0" m="1" x="154"/>
        <item sd="0" m="1" x="1450"/>
        <item m="1" x="2167"/>
        <item m="1" x="3006"/>
        <item m="1" x="768"/>
        <item sd="0" m="1" x="320"/>
        <item sd="0" m="1" x="37"/>
        <item sd="0" m="1" x="232"/>
        <item sd="0" m="1" x="1367"/>
        <item sd="0" m="1" x="456"/>
        <item sd="0" m="1" x="555"/>
        <item sd="0" m="1" x="2756"/>
        <item sd="0" m="1" x="817"/>
        <item m="1" x="1848"/>
        <item m="1" x="90"/>
        <item m="1" x="560"/>
        <item sd="0" m="1" x="1389"/>
        <item sd="0" m="1" x="991"/>
        <item sd="0" m="1" x="1234"/>
        <item sd="0" m="1" x="422"/>
        <item sd="0" m="1" x="548"/>
        <item sd="0" m="1" x="1936"/>
        <item sd="0" m="1" x="94"/>
        <item sd="0" m="1" x="1165"/>
        <item sd="0" m="1" x="773"/>
        <item sd="0" m="1" x="2080"/>
        <item sd="0" m="1" x="1251"/>
        <item m="1" x="940"/>
        <item sd="0" m="1" x="968"/>
        <item sd="0" m="1" x="498"/>
        <item m="1" x="1953"/>
        <item sd="0" m="1" x="822"/>
        <item sd="0" m="1" x="25"/>
        <item sd="0" m="1" x="1696"/>
        <item sd="0" m="1" x="523"/>
        <item sd="0" m="1" x="1863"/>
        <item sd="0" m="1" x="168"/>
        <item m="1" x="866"/>
        <item sd="0" m="1" x="733"/>
        <item sd="0" m="1" x="2204"/>
        <item sd="0" m="1" x="1152"/>
        <item sd="0" m="1" x="2763"/>
        <item sd="0" m="1" x="2016"/>
        <item sd="0" m="1" x="791"/>
        <item sd="0" m="1" x="1809"/>
        <item m="1" x="2019"/>
        <item sd="0" m="1" x="22"/>
        <item sd="0" m="1" x="363"/>
        <item sd="0" m="1" x="700"/>
        <item sd="0" m="1" x="452"/>
        <item sd="0" m="1" x="2696"/>
        <item m="1" x="67"/>
        <item sd="0" m="1" x="2833"/>
        <item sd="0" m="1" x="2965"/>
        <item sd="0" m="1" x="1217"/>
        <item sd="0" m="1" x="2199"/>
        <item sd="0" m="1" x="23"/>
        <item sd="0" m="1" x="1322"/>
        <item sd="0" m="1" x="2835"/>
        <item m="1" x="2027"/>
        <item sd="0" m="1" x="2463"/>
        <item m="1" x="390"/>
        <item sd="0" m="1" x="3004"/>
        <item sd="0" m="1" x="2514"/>
        <item sd="0" m="1" x="981"/>
        <item sd="0" m="1" x="913"/>
        <item sd="0" m="1" x="1166"/>
        <item m="1" x="794"/>
        <item sd="0" m="1" x="187"/>
        <item sd="0" m="1" x="1306"/>
        <item sd="0" m="1" x="224"/>
        <item sd="0" m="1" x="1544"/>
        <item sd="0" m="1" x="297"/>
        <item sd="0" m="1" x="684"/>
        <item sd="0" m="1" x="2051"/>
        <item sd="0" m="1" x="2338"/>
        <item sd="0" m="1" x="1118"/>
        <item sd="0" m="1" x="1107"/>
        <item sd="0" m="1" x="393"/>
        <item sd="0" m="1" x="2265"/>
        <item sd="0" m="1" x="1625"/>
        <item sd="0" m="1" x="2476"/>
        <item sd="0" m="1" x="1126"/>
        <item sd="0" m="1" x="28"/>
        <item sd="0" m="1" x="333"/>
        <item sd="0" m="1" x="1608"/>
        <item sd="0" m="1" x="1064"/>
        <item sd="0" m="1" x="336"/>
        <item m="1" x="1850"/>
        <item m="1" x="1105"/>
        <item m="1" x="283"/>
        <item m="1" x="2464"/>
        <item m="1" x="1024"/>
        <item m="1" x="2318"/>
        <item sd="0" m="1" x="2498"/>
        <item sd="0" m="1" x="1080"/>
        <item m="1" x="1000"/>
        <item sd="0" m="1" x="1760"/>
        <item sd="0" m="1" x="2142"/>
        <item sd="0" m="1" x="1699"/>
        <item m="1" x="2866"/>
        <item sd="0" m="1" x="2284"/>
        <item sd="0" m="1" x="1550"/>
        <item sd="0" m="1" x="1274"/>
        <item sd="0" m="1" x="1463"/>
        <item sd="0" m="1" x="1868"/>
        <item sd="0" m="1" x="2943"/>
        <item sd="0" m="1" x="2256"/>
        <item sd="0" m="1" x="1277"/>
        <item sd="0" m="1" x="2005"/>
        <item sd="0" m="1" x="1221"/>
        <item sd="0" m="1" x="377"/>
        <item m="1" x="2587"/>
        <item sd="0" m="1" x="2007"/>
        <item sd="0" m="1" x="1877"/>
        <item m="1" x="2152"/>
        <item sd="0" m="1" x="1649"/>
        <item sd="0" m="1" x="1845"/>
        <item m="1" x="1191"/>
        <item m="1" x="766"/>
        <item m="1" x="2456"/>
        <item m="1" x="2179"/>
        <item m="1" x="2255"/>
        <item m="1" x="1920"/>
        <item m="1" x="20"/>
        <item m="1" x="2718"/>
        <item m="1" x="1237"/>
        <item m="1" x="2784"/>
        <item m="1" x="2231"/>
        <item m="1" x="281"/>
        <item m="1" x="1896"/>
        <item m="1" x="1909"/>
        <item m="1" x="2327"/>
        <item m="1" x="2809"/>
        <item m="1" x="2594"/>
        <item m="1" x="1928"/>
        <item m="1" x="1185"/>
        <item m="1" x="1999"/>
        <item m="1" x="1849"/>
        <item m="1" x="2768"/>
        <item m="1" x="176"/>
        <item m="1" x="713"/>
        <item m="1" x="574"/>
        <item m="1" x="1703"/>
        <item m="1" x="2717"/>
        <item m="1" x="1483"/>
        <item m="1" x="1520"/>
        <item m="1" x="1677"/>
        <item m="1" x="683"/>
        <item m="1" x="321"/>
        <item m="1" x="1660"/>
        <item m="1" x="2929"/>
        <item m="1" x="847"/>
        <item m="1" x="301"/>
        <item m="1" x="2678"/>
        <item m="1" x="975"/>
        <item m="1" x="2868"/>
        <item m="1" x="2504"/>
        <item m="1" x="1227"/>
        <item m="1" x="630"/>
        <item m="1" x="1151"/>
        <item m="1" x="267"/>
        <item m="1" x="675"/>
        <item m="1" x="941"/>
        <item m="1" x="1940"/>
        <item m="1" x="2700"/>
        <item m="1" x="2181"/>
        <item m="1" x="1112"/>
        <item m="1" x="1008"/>
        <item m="1" x="1349"/>
        <item m="1" x="2764"/>
        <item m="1" x="573"/>
        <item m="1" x="1252"/>
        <item m="1" x="538"/>
        <item m="1" x="314"/>
        <item m="1" x="1085"/>
        <item m="1" x="1891"/>
        <item m="1" x="1712"/>
        <item m="1" x="829"/>
        <item m="1" x="1935"/>
        <item m="1" x="2032"/>
        <item m="1" x="55"/>
        <item m="1" x="607"/>
        <item m="1" x="442"/>
        <item m="1" x="2760"/>
        <item m="1" x="2303"/>
        <item m="1" x="2781"/>
        <item m="1" x="411"/>
        <item m="1" x="2367"/>
        <item m="1" x="1486"/>
        <item m="1" x="1780"/>
        <item m="1" x="166"/>
        <item m="1" x="2077"/>
        <item m="1" x="1964"/>
        <item m="1" x="2610"/>
        <item m="1" x="2097"/>
        <item m="1" x="207"/>
        <item sd="0" m="1" x="2621"/>
        <item m="1" x="1713"/>
        <item sd="0" m="1" x="2377"/>
        <item sd="0" m="1" x="522"/>
        <item m="1" x="715"/>
        <item sd="0" m="1" x="100"/>
        <item m="1" x="1120"/>
        <item m="1" x="592"/>
        <item sd="0" m="1" x="645"/>
        <item sd="0" m="1" x="2383"/>
        <item m="1" x="844"/>
        <item sd="0" m="1" x="916"/>
        <item sd="0" m="1" x="2506"/>
        <item m="1" x="118"/>
        <item m="1" x="2283"/>
        <item m="1" x="375"/>
        <item sd="0" m="1" x="156"/>
        <item m="1" x="1312"/>
        <item m="1" x="2639"/>
        <item sd="0" m="1" x="2213"/>
        <item m="1" x="1084"/>
        <item m="1" x="820"/>
        <item sd="0" m="1" x="635"/>
        <item m="1" x="617"/>
        <item m="1" x="113"/>
        <item m="1" x="2715"/>
        <item sd="0" m="1" x="427"/>
        <item m="1" x="1056"/>
        <item m="1" x="81"/>
        <item sd="0" m="1" x="2159"/>
        <item m="1" x="709"/>
        <item sd="0" m="1" x="1782"/>
        <item m="1" x="1052"/>
        <item sd="0" m="1" x="1965"/>
        <item sd="0" m="1" x="1184"/>
        <item m="1" x="1676"/>
        <item sd="0" m="1" x="1121"/>
        <item m="1" x="873"/>
        <item m="1" x="2883"/>
        <item m="1" x="1599"/>
        <item m="1" x="1678"/>
        <item m="1" x="2104"/>
        <item sd="0" m="1" x="1321"/>
        <item m="1" x="1065"/>
        <item m="1" x="381"/>
        <item m="1" x="2733"/>
        <item sd="0" m="1" x="2649"/>
        <item m="1" x="659"/>
        <item sd="0" m="1" x="66"/>
        <item sd="0" m="1" x="994"/>
        <item m="1" x="631"/>
        <item m="1" x="1906"/>
        <item m="1" x="514"/>
        <item m="1" x="129"/>
        <item m="1" x="2349"/>
        <item m="1" x="1294"/>
        <item m="1" x="871"/>
        <item m="1" x="894"/>
        <item m="1" x="1111"/>
        <item m="1" x="2534"/>
        <item m="1" x="1470"/>
        <item sd="0" m="1" x="2992"/>
        <item sd="0" m="1" x="1547"/>
        <item sd="0" m="1" x="701"/>
        <item m="1" x="63"/>
        <item m="1" x="2802"/>
        <item sd="0" m="1" x="753"/>
        <item sd="0" m="1" x="856"/>
        <item sd="0" m="1" x="1616"/>
        <item sd="0" m="1" x="2776"/>
        <item sd="0" m="1" x="1509"/>
        <item sd="0" m="1" x="1954"/>
        <item sd="0" m="1" x="961"/>
        <item sd="0" m="1" x="343"/>
        <item m="1" x="2103"/>
        <item m="1" x="1270"/>
        <item m="1" x="2884"/>
        <item m="1" x="2904"/>
        <item sd="0" m="1" x="2519"/>
        <item m="1" x="2975"/>
        <item sd="0" m="1" x="1183"/>
        <item sd="0" m="1" x="419"/>
        <item sd="0" m="1" x="1989"/>
        <item m="1" x="355"/>
        <item m="1" x="2122"/>
        <item m="1" x="2671"/>
        <item m="1" x="2801"/>
        <item m="1" x="1580"/>
        <item sd="0" m="1" x="2164"/>
        <item sd="0" m="1" x="2755"/>
        <item m="1" x="823"/>
        <item m="1" x="2518"/>
        <item sd="0" m="1" x="2564"/>
        <item sd="0" m="1" x="2263"/>
        <item m="1" x="804"/>
        <item m="1" x="1197"/>
        <item m="1" x="1425"/>
        <item m="1" x="2516"/>
        <item m="1" x="1673"/>
        <item m="1" x="2844"/>
        <item m="1" x="2399"/>
        <item m="1" x="2069"/>
        <item m="1" x="1846"/>
        <item m="1" x="2786"/>
        <item m="1" x="931"/>
        <item m="1" x="2650"/>
        <item sd="0" m="1" x="1878"/>
        <item sd="0" m="1" x="2664"/>
        <item sd="0" m="1" x="1647"/>
        <item m="1" x="1841"/>
        <item m="1" x="2520"/>
        <item m="1" x="2530"/>
        <item sd="0" m="1" x="962"/>
        <item sd="0" m="1" x="88"/>
        <item sd="0" m="1" x="2489"/>
        <item sd="0" m="1" x="1046"/>
        <item sd="0" m="1" x="854"/>
        <item m="1" x="1461"/>
        <item m="1" x="520"/>
        <item m="1" x="848"/>
        <item m="1" x="36"/>
        <item m="1" x="2795"/>
        <item m="1" x="2873"/>
        <item m="1" x="1390"/>
        <item m="1" x="806"/>
        <item sd="0" m="1" x="1915"/>
        <item sd="0" m="1" x="824"/>
        <item sd="0" m="1" x="1585"/>
        <item m="1" x="2596"/>
        <item m="1" x="2185"/>
        <item m="1" x="2710"/>
        <item m="1" x="2136"/>
        <item sd="0" m="1" x="2488"/>
        <item sd="0" m="1" x="1963"/>
        <item m="1" x="2903"/>
        <item sd="0" m="1" x="41"/>
        <item sd="0" m="1" x="795"/>
        <item sd="0" m="1" x="784"/>
        <item sd="0" m="1" x="199"/>
        <item sd="0" m="1" x="1986"/>
        <item sd="0" m="1" x="400"/>
        <item m="1" x="2656"/>
        <item sd="0" m="1" x="910"/>
        <item m="1" x="1411"/>
        <item sd="0" m="1" x="2260"/>
        <item m="1" x="85"/>
        <item m="1" x="306"/>
        <item m="1" x="2535"/>
        <item sd="0" m="1" x="2914"/>
        <item sd="0" m="1" x="875"/>
        <item m="1" x="2619"/>
        <item m="1" x="2791"/>
        <item sd="0" m="1" x="2037"/>
        <item sd="0" m="1" x="2414"/>
        <item sd="0" m="1" x="2789"/>
        <item sd="0" m="1" x="679"/>
        <item sd="0" m="1" x="755"/>
        <item sd="0" m="1" x="1315"/>
        <item m="1" x="1340"/>
        <item sd="0" m="1" x="1772"/>
        <item sd="0" m="1" x="1117"/>
        <item sd="0" m="1" x="492"/>
        <item m="1" x="1859"/>
        <item m="1" x="443"/>
        <item sd="0" m="1" x="1753"/>
        <item sd="0" m="1" x="1115"/>
        <item sd="0" m="1" x="2897"/>
        <item sd="0" m="1" x="2243"/>
        <item m="1" x="581"/>
        <item m="1" x="1513"/>
        <item m="1" x="2541"/>
        <item m="1" x="1680"/>
        <item sd="0" m="1" x="1692"/>
        <item m="1" x="2640"/>
        <item sd="0" m="1" x="114"/>
        <item sd="0" m="1" x="1079"/>
        <item m="1" x="1235"/>
        <item m="1" x="247"/>
        <item m="1" x="52"/>
        <item sd="0" m="1" x="2230"/>
        <item m="1" x="227"/>
        <item m="1" x="2474"/>
        <item sd="0" m="1" x="2049"/>
        <item sd="0" m="1" x="677"/>
        <item sd="0" m="1" x="1530"/>
        <item sd="0" m="1" x="1835"/>
        <item sd="0" m="1" x="1624"/>
        <item sd="0" m="1" x="2732"/>
        <item sd="0" m="1" x="932"/>
        <item sd="0" m="1" x="1627"/>
        <item sd="0" m="1" x="1244"/>
        <item sd="0" m="1" x="681"/>
        <item m="1" x="149"/>
        <item m="1" x="1788"/>
        <item sd="0" m="1" x="214"/>
        <item sd="0" m="1" x="1502"/>
        <item sd="0" m="1" x="1459"/>
        <item sd="0" m="1" x="1898"/>
        <item sd="0" m="1" x="2403"/>
        <item sd="0" m="1" x="1926"/>
        <item m="1" x="1504"/>
        <item sd="0" m="1" x="2293"/>
        <item sd="0" m="1" x="960"/>
        <item sd="0" m="1" x="838"/>
        <item m="1" x="2999"/>
        <item sd="0" m="1" x="1737"/>
        <item sd="0" m="1" x="1123"/>
        <item m="1" x="1956"/>
        <item m="1" x="1861"/>
        <item sd="0" m="1" x="802"/>
        <item sd="0" m="1" x="2057"/>
        <item m="1" x="1646"/>
        <item sd="0" m="1" x="624"/>
        <item sd="0" m="1" x="1029"/>
        <item sd="0" m="1" x="2276"/>
        <item m="1" x="2742"/>
        <item m="1" x="696"/>
        <item sd="0" m="1" x="2787"/>
        <item sd="0" m="1" x="1253"/>
        <item sd="0" m="1" x="2659"/>
        <item sd="0" m="1" x="2857"/>
        <item sd="0" m="1" x="1155"/>
        <item sd="0" m="1" x="1571"/>
        <item sd="0" m="1" x="2916"/>
        <item sd="0" m="1" x="289"/>
        <item m="1" x="2961"/>
        <item sd="0" m="1" x="1799"/>
        <item sd="0" m="1" x="2668"/>
        <item sd="0" m="1" x="2129"/>
        <item m="1" x="1998"/>
        <item m="1" x="1825"/>
        <item m="1" x="244"/>
        <item sd="0" m="1" x="378"/>
        <item sd="0" m="1" x="2684"/>
        <item m="1" x="2090"/>
        <item sd="0" m="1" x="2901"/>
        <item m="1" x="2538"/>
        <item m="1" x="401"/>
        <item sd="0" m="1" x="195"/>
        <item sd="0" m="1" x="1471"/>
        <item m="1" x="739"/>
        <item sd="0" m="1" x="2099"/>
        <item sd="0" m="1" x="796"/>
        <item sd="0" m="1" x="897"/>
        <item sd="0" m="1" x="1617"/>
        <item sd="0" m="1" x="775"/>
        <item sd="0" m="1" x="2741"/>
        <item sd="0" m="1" x="569"/>
        <item m="1" x="2759"/>
        <item sd="0" m="1" x="2047"/>
        <item sd="0" m="1" x="1618"/>
        <item m="1" x="353"/>
        <item m="1" x="1033"/>
        <item m="1" x="1740"/>
        <item m="1" x="2859"/>
        <item sd="0" m="1" x="2054"/>
        <item m="1" x="245"/>
        <item m="1" x="2153"/>
        <item m="1" x="139"/>
        <item m="1" x="528"/>
        <item m="1" x="967"/>
        <item m="1" x="1807"/>
        <item m="1" x="1026"/>
        <item sd="0" m="1" x="2957"/>
        <item sd="0" m="1" x="1844"/>
        <item m="1" x="1717"/>
        <item sd="0" m="1" x="2242"/>
        <item m="1" x="14"/>
        <item m="1" x="949"/>
        <item m="1" x="1385"/>
        <item sd="0" m="1" x="618"/>
        <item sd="0" m="1" x="956"/>
        <item m="1" x="1137"/>
        <item sd="0" m="1" x="359"/>
        <item sd="0" m="1" x="2434"/>
        <item sd="0" m="1" x="2143"/>
        <item sd="0" m="1" x="2853"/>
        <item sd="0" m="1" x="2963"/>
        <item sd="0" m="1" x="682"/>
        <item sd="0" m="1" x="2689"/>
        <item sd="0" m="1" x="1687"/>
        <item sd="0" m="1" x="934"/>
        <item sd="0" m="1" x="31"/>
        <item m="1" x="1784"/>
        <item sd="0" m="1" x="2426"/>
        <item sd="0" m="1" x="1791"/>
        <item m="1" x="1063"/>
        <item sd="0" m="1" x="1582"/>
        <item sd="0" m="1" x="1815"/>
        <item sd="0" m="1" x="2820"/>
        <item sd="0" m="1" x="208"/>
        <item sd="0" m="1" x="655"/>
        <item sd="0" m="1" x="1020"/>
        <item sd="0" m="1" x="2695"/>
        <item sd="0" m="1" x="589"/>
        <item sd="0" m="1" x="1408"/>
        <item m="1" x="544"/>
        <item sd="0" m="1" x="2647"/>
        <item sd="0" m="1" x="462"/>
        <item sd="0" m="1" x="1654"/>
        <item sd="0" m="1" x="1465"/>
        <item sd="0" m="1" x="691"/>
        <item sd="0" m="1" x="445"/>
        <item sd="0" m="1" x="1560"/>
        <item sd="0" m="1" x="1705"/>
        <item sd="0" m="1" x="583"/>
        <item sd="0" m="1" x="2060"/>
        <item sd="0" m="1" x="346"/>
        <item sd="0" m="1" x="2517"/>
        <item sd="0" m="1" x="1561"/>
        <item sd="0" m="1" x="2398"/>
        <item sd="0" m="1" x="821"/>
        <item sd="0" m="1" x="1068"/>
        <item sd="0" m="1" x="174"/>
        <item sd="0" m="1" x="291"/>
        <item sd="0" m="1" x="1598"/>
        <item sd="0" m="1" x="1570"/>
        <item sd="0" m="1" x="2425"/>
        <item sd="0" m="1" x="3010"/>
        <item m="1" x="2876"/>
        <item sd="0" m="1" x="8"/>
        <item sd="0" m="1" x="2665"/>
        <item sd="0" m="1" x="364"/>
        <item sd="0" m="1" x="1916"/>
        <item sd="0" m="1" x="958"/>
        <item m="1" x="2417"/>
        <item m="1" x="1983"/>
        <item m="1" x="1548"/>
        <item m="1" x="1521"/>
        <item m="1" x="2246"/>
        <item m="1" x="1380"/>
        <item sd="0" m="1" x="2551"/>
        <item sd="0" m="1" x="425"/>
        <item sd="0" m="1" x="372"/>
        <item sd="0" m="1" x="1667"/>
        <item m="1" x="246"/>
        <item sd="0" m="1" x="2712"/>
        <item sd="0" m="1" x="1109"/>
        <item sd="0" m="1" x="1903"/>
        <item sd="0" m="1" x="1837"/>
        <item sd="0" m="1" x="1756"/>
        <item sd="0" m="1" x="1333"/>
        <item sd="0" m="1" x="2938"/>
        <item sd="0" m="1" x="2941"/>
        <item m="1" x="2370"/>
        <item sd="0" m="1" x="26"/>
        <item m="1" x="2008"/>
        <item sd="0" m="1" x="197"/>
        <item sd="0" m="1" x="1066"/>
        <item m="1" x="1726"/>
        <item sd="0" m="1" x="620"/>
        <item sd="0" m="1" x="2467"/>
        <item m="1" x="2460"/>
        <item sd="0" m="1" x="881"/>
        <item sd="0" m="1" x="274"/>
        <item sd="0" m="1" x="2826"/>
        <item sd="0" m="1" x="158"/>
        <item sd="0" m="1" x="2437"/>
        <item sd="0" m="1" x="2771"/>
        <item sd="0" m="1" x="2385"/>
        <item m="1" x="2214"/>
        <item m="1" x="2814"/>
        <item m="1" x="2922"/>
        <item m="1" x="2917"/>
        <item m="1" x="1421"/>
        <item m="1" x="2921"/>
        <item m="1" x="613"/>
        <item m="1" x="379"/>
        <item m="1" x="909"/>
        <item m="1" x="2890"/>
        <item m="1" x="300"/>
        <item m="1" x="317"/>
        <item m="1" x="1924"/>
        <item m="1" x="1261"/>
        <item m="1" x="2404"/>
        <item m="1" x="2714"/>
        <item m="1" x="3015"/>
        <item m="1" x="1114"/>
        <item m="1" x="2344"/>
        <item m="1" x="1280"/>
        <item m="1" x="2615"/>
        <item m="1" x="265"/>
        <item m="1" x="74"/>
        <item m="1" x="606"/>
        <item m="1" x="2703"/>
        <item m="1" x="1049"/>
        <item m="1" x="2444"/>
        <item m="1" x="1214"/>
        <item m="1" x="517"/>
        <item m="1" x="2796"/>
        <item m="1" x="338"/>
        <item m="1" x="714"/>
        <item m="1" x="2591"/>
        <item m="1" x="2723"/>
        <item m="1" x="1757"/>
        <item m="1" x="1050"/>
        <item m="1" x="152"/>
        <item m="1" x="1670"/>
        <item m="1" x="2177"/>
        <item m="1" x="1383"/>
        <item m="1" x="1002"/>
        <item m="1" x="2934"/>
        <item m="1" x="1524"/>
        <item m="1" x="2353"/>
        <item m="1" x="752"/>
        <item m="1" x="1872"/>
        <item m="1" x="1724"/>
        <item m="1" x="1231"/>
        <item m="1" x="407"/>
        <item m="1" x="239"/>
        <item m="1" x="1162"/>
        <item m="1" x="1691"/>
        <item m="1" x="1650"/>
        <item m="1" x="1011"/>
        <item m="1" x="218"/>
        <item m="1" x="205"/>
        <item m="1" x="2373"/>
        <item m="1" x="58"/>
        <item m="1" x="97"/>
        <item m="1" x="1142"/>
        <item m="1" x="490"/>
        <item m="1" x="2245"/>
        <item m="1" x="1996"/>
        <item m="1" x="564"/>
        <item m="1" x="2673"/>
        <item m="1" x="2458"/>
        <item m="1" x="160"/>
        <item m="1" x="1831"/>
        <item m="1" x="948"/>
        <item m="1" x="1366"/>
        <item m="1" x="46"/>
        <item m="1" x="850"/>
        <item m="1" x="2299"/>
        <item m="1" x="2851"/>
        <item m="1" x="513"/>
        <item m="1" x="1579"/>
        <item m="1" x="2116"/>
        <item m="1" x="751"/>
        <item m="1" x="2683"/>
        <item m="1" x="1336"/>
        <item m="1" x="115"/>
        <item m="1" x="2661"/>
        <item m="1" x="1482"/>
        <item m="1" x="828"/>
        <item m="1" x="565"/>
        <item m="1" x="770"/>
        <item m="1" x="2351"/>
        <item m="1" x="902"/>
        <item m="1" x="248"/>
        <item m="1" x="964"/>
        <item m="1" x="42"/>
        <item m="1" x="2779"/>
        <item m="1" x="1436"/>
        <item m="1" x="2409"/>
        <item m="1" x="1981"/>
        <item m="1" x="1710"/>
        <item m="1" x="1816"/>
        <item m="1" x="2335"/>
        <item m="1" x="1447"/>
        <item m="1" x="276"/>
        <item m="1" x="516"/>
        <item m="1" x="720"/>
        <item m="1" x="1325"/>
        <item m="1" x="1444"/>
        <item m="1" x="275"/>
        <item m="1" x="441"/>
        <item m="1" x="5"/>
        <item m="1" x="672"/>
        <item m="1" x="2888"/>
        <item m="1" x="1697"/>
        <item m="1" x="2686"/>
        <item m="1" x="1318"/>
        <item m="1" x="2962"/>
        <item m="1" x="1557"/>
        <item m="1" x="1260"/>
        <item m="1" x="1596"/>
        <item m="1" x="1377"/>
        <item m="1" x="2854"/>
        <item m="1" x="772"/>
        <item m="1" x="1993"/>
        <item m="1" x="1477"/>
        <item m="1" x="1522"/>
        <item sd="0" m="1" x="837"/>
        <item m="1" x="2094"/>
        <item m="1" x="2836"/>
        <item m="1" x="786"/>
        <item m="1" x="2491"/>
        <item m="1" x="1263"/>
        <item m="1" x="1359"/>
        <item m="1" x="2842"/>
        <item m="1" x="1455"/>
        <item m="1" x="1290"/>
        <item sd="0" m="1" x="347"/>
        <item m="1" x="1790"/>
        <item m="1" x="1"/>
        <item m="1" x="2290"/>
        <item m="1" x="1603"/>
        <item m="1" x="1364"/>
        <item m="1" x="707"/>
        <item m="1" x="1747"/>
        <item m="1" x="7"/>
        <item m="1" x="1787"/>
        <item m="1" x="1789"/>
        <item m="1" x="1775"/>
        <item m="1" x="2839"/>
        <item m="1" x="853"/>
        <item m="1" x="1855"/>
        <item m="1" x="2297"/>
        <item m="1" x="1317"/>
        <item m="1" x="1962"/>
        <item m="1" x="446"/>
        <item m="1" x="2552"/>
        <item m="1" x="2503"/>
        <item m="1" x="1630"/>
        <item m="1" x="241"/>
        <item m="1" x="1919"/>
        <item m="1" x="2915"/>
        <item m="1" x="1552"/>
        <item m="1" x="261"/>
        <item m="1" x="2465"/>
        <item m="1" x="1684"/>
        <item m="1" x="481"/>
        <item m="1" x="371"/>
        <item m="1" x="911"/>
        <item m="1" x="2023"/>
        <item m="1" x="1721"/>
        <item m="1" x="1177"/>
        <item m="1" x="2449"/>
        <item m="1" x="2931"/>
        <item m="1" x="812"/>
        <item m="1" x="2146"/>
        <item m="1" x="1736"/>
        <item m="1" x="883"/>
        <item m="1" x="3"/>
        <item m="1" x="2241"/>
        <item m="1" x="313"/>
        <item m="1" x="1804"/>
        <item m="1" x="1494"/>
        <item m="1" x="663"/>
        <item m="1" x="2653"/>
        <item m="1" x="1073"/>
        <item m="1" x="2861"/>
        <item m="1" x="1921"/>
        <item m="1" x="2291"/>
        <item m="1" x="546"/>
        <item m="1" x="2280"/>
        <item m="1" x="1057"/>
        <item m="1" x="414"/>
        <item m="1" x="1093"/>
        <item m="1" x="1733"/>
        <item m="1" x="2201"/>
        <item m="1" x="455"/>
        <item m="1" x="980"/>
        <item m="1" x="1305"/>
        <item m="1" x="2543"/>
        <item m="1" x="2247"/>
        <item m="1" x="2805"/>
        <item m="1" x="1060"/>
        <item m="1" x="1379"/>
        <item m="1" x="190"/>
        <item m="1" x="1776"/>
        <item m="1" x="834"/>
        <item m="1" x="2880"/>
        <item m="1" x="1709"/>
        <item m="1" x="1158"/>
        <item m="1" x="1226"/>
        <item m="1" x="461"/>
        <item m="1" x="1358"/>
        <item m="1" x="1997"/>
        <item m="1" x="2033"/>
        <item m="1" x="335"/>
        <item m="1" x="1307"/>
        <item m="1" x="2282"/>
        <item m="1" x="1822"/>
        <item m="1" x="2120"/>
        <item m="1" x="1497"/>
        <item m="1" x="572"/>
        <item m="1" x="702"/>
        <item m="1" x="2313"/>
        <item m="1" x="2692"/>
        <item m="1" x="2582"/>
        <item m="1" x="2780"/>
        <item m="1" x="1744"/>
        <item m="1" x="1036"/>
        <item m="1" x="1829"/>
        <item m="1" x="943"/>
        <item m="1" x="484"/>
        <item m="1" x="1355"/>
        <item m="1" x="1229"/>
        <item m="1" x="135"/>
        <item m="1" x="369"/>
        <item m="1" x="1711"/>
        <item m="1" x="2841"/>
        <item m="1" x="2062"/>
        <item m="1" x="1881"/>
        <item m="1" x="1386"/>
        <item m="1" x="2004"/>
        <item m="1" x="641"/>
        <item m="1" x="792"/>
        <item m="1" x="1811"/>
        <item m="1" x="2038"/>
        <item m="1" x="15"/>
        <item m="1" x="1472"/>
        <item m="1" x="1210"/>
        <item m="1" x="2637"/>
        <item m="1" x="905"/>
        <item m="1" x="541"/>
        <item m="1" x="2308"/>
        <item m="1" x="1484"/>
        <item m="1" x="2981"/>
        <item m="1" x="1592"/>
        <item m="1" x="2170"/>
        <item m="1" x="2497"/>
        <item m="1" x="269"/>
        <item m="1" x="501"/>
        <item m="1" x="1279"/>
        <item m="1" x="2413"/>
        <item m="1" x="1128"/>
        <item m="1" x="1299"/>
        <item m="1" x="2184"/>
        <item m="1" x="2078"/>
        <item m="1" x="1140"/>
        <item m="1" x="653"/>
        <item m="1" x="1875"/>
        <item m="1" x="2773"/>
        <item m="1" x="647"/>
        <item m="1" x="120"/>
        <item m="1" x="2473"/>
        <item m="1" x="1224"/>
        <item m="1" x="2970"/>
        <item m="1" x="535"/>
        <item m="1" x="2174"/>
        <item m="1" x="45"/>
        <item m="1" x="1773"/>
        <item m="1" x="147"/>
        <item m="1" x="2493"/>
        <item m="1" x="1094"/>
        <item m="1" x="2395"/>
        <item m="1" x="2150"/>
        <item m="1" x="389"/>
        <item m="1" x="1271"/>
        <item m="1" x="132"/>
        <item m="1" x="2445"/>
        <item m="1" x="431"/>
        <item m="1" x="2490"/>
        <item m="1" x="2384"/>
        <item m="1" x="1401"/>
        <item m="1" x="1100"/>
        <item m="1" x="61"/>
        <item m="1" x="2925"/>
        <item m="1" x="1720"/>
        <item m="1" x="1566"/>
        <item m="1" x="2295"/>
        <item m="1" x="887"/>
        <item m="1" x="1399"/>
        <item m="1" x="2439"/>
        <item m="1" x="1716"/>
        <item m="1" x="578"/>
        <item m="1" x="2311"/>
        <item m="1" x="3001"/>
        <item m="1" x="1481"/>
        <item m="1" x="1175"/>
        <item m="1" x="1301"/>
        <item m="1" x="3013"/>
        <item m="1" x="1743"/>
        <item m="1" x="1173"/>
        <item m="1" x="1792"/>
        <item m="1" x="859"/>
        <item m="1" x="595"/>
        <item m="1" x="1208"/>
        <item m="1" x="2746"/>
        <item m="1" x="1693"/>
        <item m="1" x="2108"/>
        <item m="1" x="758"/>
        <item m="1" x="242"/>
        <item m="1" x="206"/>
        <item m="1" x="610"/>
        <item m="1" x="2905"/>
        <item m="1" x="1069"/>
        <item m="1" x="2989"/>
        <item m="1" x="1188"/>
        <item m="1" x="2532"/>
        <item m="1" x="488"/>
        <item m="1" x="1443"/>
        <item m="1" x="798"/>
        <item m="1" x="3005"/>
        <item m="1" x="782"/>
        <item m="1" x="2257"/>
        <item sd="0" m="1" x="2364"/>
        <item m="1" x="1179"/>
        <item m="1" x="2522"/>
        <item m="1" x="1706"/>
        <item sd="0" m="1" x="732"/>
        <item sd="0" m="1" x="83"/>
        <item sd="0" m="1" x="437"/>
        <item sd="0" m="1" x="183"/>
        <item sd="0" m="1" x="1022"/>
        <item sd="0" m="1" x="2165"/>
        <item m="1" x="996"/>
        <item sd="0" m="1" x="2878"/>
        <item sd="0" m="1" x="2919"/>
        <item m="1" x="473"/>
        <item sd="0" m="1" x="694"/>
        <item m="1" x="665"/>
        <item sd="0" m="1" x="2393"/>
        <item sd="0" m="1" x="95"/>
        <item sd="0" m="1" x="2499"/>
        <item sd="0" m="1" x="280"/>
        <item sd="0" m="1" x="2419"/>
        <item m="1" x="2443"/>
        <item sd="0" m="1" x="2813"/>
        <item sd="0" m="1" x="2618"/>
        <item sd="0" m="1" x="2561"/>
        <item sd="0" m="1" x="1526"/>
        <item sd="0" m="1" x="604"/>
        <item sd="0" m="1" x="575"/>
        <item sd="0" m="1" x="2940"/>
        <item sd="0" m="1" x="457"/>
        <item m="1" x="2138"/>
        <item sd="0" m="1" x="1887"/>
        <item sd="0" m="1" x="159"/>
        <item m="1" x="2429"/>
        <item sd="0" m="1" x="2947"/>
        <item m="1" x="2390"/>
        <item m="1" x="2440"/>
        <item sd="0" m="1" x="1715"/>
        <item sd="0" m="1" x="927"/>
        <item m="1" x="664"/>
        <item m="1" x="2912"/>
        <item sd="0" m="1" x="290"/>
        <item sd="0" m="1" x="1600"/>
        <item m="1" x="1489"/>
        <item sd="0" m="1" x="2724"/>
        <item sd="0" m="1" x="478"/>
        <item sd="0" m="1" x="2294"/>
        <item sd="0" m="1" x="367"/>
        <item sd="0" m="1" x="562"/>
        <item sd="0" m="1" x="1558"/>
        <item sd="0" m="1" x="1218"/>
        <item sd="0" m="1" x="1821"/>
        <item sd="0" m="1" x="342"/>
        <item sd="0" m="1" x="2705"/>
        <item m="1" x="623"/>
        <item sd="0" m="1" x="2726"/>
        <item sd="0" m="1" x="1442"/>
        <item sd="0" m="1" x="471"/>
        <item m="1" x="657"/>
        <item sd="0" m="1" x="507"/>
        <item m="1" x="1895"/>
        <item sd="0" m="1" x="2676"/>
        <item sd="0" m="1" x="899"/>
        <item m="1" x="893"/>
        <item sd="0" m="1" x="1944"/>
        <item sd="0" m="1" x="1159"/>
        <item m="1" x="2156"/>
        <item sd="0" m="1" x="2928"/>
        <item sd="0" m="1" x="2386"/>
        <item m="1" x="1722"/>
        <item m="1" x="1320"/>
        <item m="1" x="1539"/>
        <item m="1" x="182"/>
        <item m="1" x="2997"/>
        <item sd="0" m="1" x="579"/>
        <item m="1" x="1967"/>
        <item m="1" x="1957"/>
        <item m="1" x="1851"/>
        <item m="1" x="2815"/>
        <item m="1" x="1805"/>
        <item m="1" x="2337"/>
        <item sd="0" m="1" x="2918"/>
        <item m="1" x="2058"/>
        <item m="1" x="1216"/>
        <item m="1" x="1180"/>
        <item m="1" x="1587"/>
        <item sd="0" m="1" x="1387"/>
        <item m="1" x="2206"/>
        <item m="1" x="178"/>
        <item m="1" x="1424"/>
        <item m="1" x="2266"/>
        <item sd="0" m="1" x="2126"/>
        <item sd="0" m="1" x="1110"/>
        <item sd="0" m="1" x="1291"/>
        <item m="1" x="64"/>
        <item m="1" x="2421"/>
        <item m="1" x="2812"/>
        <item m="1" x="2930"/>
        <item m="1" x="1892"/>
        <item m="1" x="263"/>
        <item m="1" x="1938"/>
        <item m="1" x="1031"/>
        <item m="1" x="2026"/>
        <item m="1" x="2013"/>
        <item m="1" x="1053"/>
        <item m="1" x="1091"/>
        <item m="1" x="590"/>
        <item m="1" x="2224"/>
        <item m="1" x="1923"/>
        <item m="1" x="1914"/>
        <item m="1" x="2018"/>
        <item m="1" x="1419"/>
        <item m="1" x="1347"/>
        <item m="1" x="1038"/>
        <item m="1" x="1593"/>
        <item m="1" x="1475"/>
        <item m="1" x="2654"/>
        <item m="1" x="2667"/>
        <item m="1" x="547"/>
        <item m="1" x="2275"/>
        <item m="1" x="1174"/>
        <item m="1" x="978"/>
        <item m="1" x="1106"/>
        <item m="1" x="1369"/>
        <item m="1" x="1062"/>
        <item sd="0" m="1" x="164"/>
        <item m="1" x="277"/>
        <item m="1" x="254"/>
        <item m="1" x="1354"/>
        <item m="1" x="1902"/>
        <item m="1" x="741"/>
        <item m="1" x="831"/>
        <item m="1" x="1814"/>
        <item m="1" x="993"/>
        <item m="1" x="131"/>
        <item m="1" x="324"/>
        <item m="1" x="767"/>
        <item m="1" x="534"/>
        <item m="1" x="1732"/>
        <item m="1" x="1403"/>
        <item m="1" x="2309"/>
        <item m="1" x="2735"/>
        <item m="1" x="2020"/>
        <item m="1" x="813"/>
        <item m="1" x="476"/>
        <item m="1" x="2739"/>
        <item m="1" x="877"/>
        <item m="1" x="1023"/>
        <item m="1" x="2848"/>
        <item m="1" x="1487"/>
        <item m="1" x="705"/>
        <item m="1" x="2613"/>
        <item m="1" x="1662"/>
        <item m="1" x="2895"/>
        <item m="1" x="1839"/>
        <item m="1" x="740"/>
        <item m="1" x="2898"/>
        <item m="1" x="1292"/>
        <item m="1" x="1495"/>
        <item m="1" x="418"/>
        <item m="1" x="404"/>
        <item m="1" x="44"/>
        <item m="1" x="2830"/>
        <item m="1" x="228"/>
        <item m="1" x="2709"/>
        <item m="1" x="2560"/>
        <item m="1" x="2220"/>
        <item m="1" x="354"/>
        <item m="1" x="402"/>
        <item m="1" x="2064"/>
        <item m="1" x="249"/>
        <item m="1" x="1413"/>
        <item m="1" x="658"/>
        <item m="1" x="1233"/>
        <item m="1" x="1758"/>
        <item m="1" x="611"/>
        <item m="1" x="2269"/>
        <item m="1" x="1040"/>
        <item m="1" x="397"/>
        <item m="1" x="869"/>
        <item m="1" x="2288"/>
        <item m="1" x="2979"/>
        <item m="1" x="1193"/>
        <item m="1" x="1195"/>
        <item m="1" x="1207"/>
        <item m="1" x="3014"/>
        <item m="1" x="2375"/>
        <item m="1" x="1862"/>
        <item m="1" x="2783"/>
        <item m="1" x="1702"/>
        <item m="1" x="1826"/>
        <item m="1" x="1533"/>
        <item m="1" x="1249"/>
        <item sd="0" m="1" x="1786"/>
        <item m="1" x="1499"/>
        <item sd="0" m="1" x="904"/>
        <item sd="0" m="1" x="1546"/>
        <item sd="0" m="1" x="886"/>
        <item sd="0" m="1" x="1562"/>
        <item sd="0" m="1" x="593"/>
        <item sd="0" m="1" x="987"/>
        <item sd="0" m="1" x="250"/>
        <item m="1" x="2095"/>
        <item sd="0" m="1" x="1429"/>
        <item sd="0" m="1" x="323"/>
        <item m="1" x="1501"/>
        <item sd="0" m="1" x="191"/>
        <item m="1" x="2420"/>
        <item sd="0" m="1" x="1621"/>
        <item m="1" x="107"/>
        <item sd="0" m="1" x="2003"/>
        <item sd="0" m="1" x="901"/>
        <item sd="0" m="1" x="325"/>
        <item sd="0" m="1" x="1606"/>
        <item sd="0" m="1" x="532"/>
        <item sd="0" m="1" x="2882"/>
        <item sd="0" m="1" x="1913"/>
        <item sd="0" m="1" x="2751"/>
        <item m="1" x="1496"/>
        <item sd="0" m="1" x="1930"/>
        <item m="1" x="1910"/>
        <item sd="0" m="1" x="2808"/>
        <item sd="0" m="1" x="777"/>
        <item sd="0" m="1" x="1797"/>
        <item m="1" x="2472"/>
        <item sd="0" m="1" x="1640"/>
        <item sd="0" m="1" x="2819"/>
        <item sd="0" m="1" x="319"/>
        <item sd="0" m="1" x="571"/>
        <item sd="0" m="1" x="2511"/>
        <item sd="0" m="1" x="273"/>
        <item sd="0" m="1" x="1417"/>
        <item sd="0" m="1" x="745"/>
        <item sd="0" m="1" x="2907"/>
        <item sd="0" m="1" x="1045"/>
        <item m="1" x="2006"/>
        <item sd="0" m="1" x="2086"/>
        <item sd="0" m="1" x="2432"/>
        <item m="1" x="212"/>
        <item sd="0" m="1" x="895"/>
        <item m="1" x="1460"/>
        <item sd="0" m="1" x="2100"/>
        <item m="1" x="2267"/>
        <item sd="0" m="1" x="2253"/>
        <item sd="0" m="1" x="937"/>
        <item sd="0" m="1" x="1250"/>
        <item sd="0" m="1" x="1629"/>
        <item m="1" x="2002"/>
        <item m="1" x="540"/>
        <item sd="0" m="1" x="2106"/>
        <item m="1" x="384"/>
        <item m="1" x="2071"/>
        <item sd="0" m="1" x="172"/>
        <item sd="0" m="1" x="2855"/>
        <item sd="0" m="1" x="2823"/>
        <item sd="0" m="1" x="1785"/>
        <item sd="0" m="1" x="724"/>
        <item sd="0" m="1" x="689"/>
        <item sd="0" m="1" x="1269"/>
        <item sd="0" m="1" x="1725"/>
        <item sd="0" m="1" x="1013"/>
        <item sd="0" m="1" x="2772"/>
        <item sd="0" m="1" x="1714"/>
        <item sd="0" m="1" x="2528"/>
        <item sd="0" m="1" x="2455"/>
        <item sd="0" m="1" x="790"/>
        <item sd="0" m="1" x="896"/>
        <item sd="0" m="1" x="832"/>
        <item m="1" x="2249"/>
        <item sd="0" m="1" x="1420"/>
        <item sd="0" m="1" x="1345"/>
        <item sd="0" m="1" x="602"/>
        <item sd="0" m="1" x="2101"/>
        <item sd="0" m="1" x="356"/>
        <item sd="0" m="1" x="2121"/>
        <item sd="0" m="1" x="1992"/>
        <item m="1" x="96"/>
        <item sd="0" m="1" x="1488"/>
        <item m="1" x="1950"/>
        <item sd="0" m="1" x="515"/>
        <item sd="0" m="1" x="2817"/>
        <item m="1" x="1083"/>
        <item sd="0" m="1" x="851"/>
        <item m="1" x="580"/>
        <item m="1" x="2736"/>
        <item sd="0" m="1" x="2065"/>
        <item sd="0" m="1" x="1356"/>
        <item m="1" x="128"/>
        <item m="1" x="2909"/>
        <item m="1" x="2646"/>
        <item m="1" x="1259"/>
        <item m="1" x="2166"/>
        <item sd="0" m="1" x="360"/>
        <item m="1" x="2607"/>
        <item sd="0" m="1" x="1169"/>
        <item m="1" x="334"/>
        <item sd="0" m="1" x="1284"/>
        <item sd="0" m="1" x="3000"/>
        <item m="1" x="1852"/>
        <item m="1" x="1206"/>
        <item m="1" x="1927"/>
        <item m="1" x="1518"/>
        <item m="1" x="551"/>
        <item m="1" x="926"/>
        <item m="1" x="2698"/>
        <item m="1" x="1362"/>
        <item m="1" x="2599"/>
        <item m="1" x="2075"/>
        <item m="1" x="1832"/>
        <item m="1" x="2345"/>
        <item sd="0" m="1" x="2748"/>
        <item sd="0" m="1" x="2505"/>
        <item m="1" x="2342"/>
        <item m="1" x="1858"/>
        <item m="1" x="1870"/>
        <item m="1" x="2986"/>
        <item sd="0" m="1" x="763"/>
        <item sd="0" m="1" x="983"/>
        <item m="1" x="2971"/>
        <item m="1" x="524"/>
        <item m="1" x="2446"/>
        <item m="1" x="2119"/>
        <item m="1" x="2894"/>
        <item sd="0" m="1" x="2172"/>
        <item sd="0" m="1" x="2182"/>
        <item sd="0" m="1" x="1067"/>
        <item sd="0" m="1" x="1519"/>
        <item sd="0" m="1" x="2606"/>
        <item sd="0" m="1" x="1054"/>
        <item sd="0" m="1" x="1143"/>
        <item sd="0" m="1" x="526"/>
        <item sd="0" m="1" x="2171"/>
        <item sd="0" m="1" x="2680"/>
        <item sd="0" m="1" x="989"/>
        <item m="1" x="1948"/>
        <item sd="0" m="1" x="270"/>
        <item sd="0" m="1" x="688"/>
        <item m="1" x="2874"/>
        <item m="1" x="1610"/>
        <item m="1" x="1856"/>
        <item m="1" x="1783"/>
        <item m="1" x="2326"/>
        <item m="1" x="1043"/>
        <item m="1" x="119"/>
        <item m="1" x="2761"/>
        <item m="1" x="678"/>
        <item m="1" x="1728"/>
        <item m="1" x="1190"/>
        <item m="1" x="616"/>
        <item m="1" x="1900"/>
        <item m="1" x="2228"/>
        <item m="1" x="53"/>
        <item m="1" x="1225"/>
        <item m="1" x="2254"/>
        <item m="1" x="1223"/>
        <item m="1" x="2509"/>
        <item m="1" x="387"/>
        <item m="1" x="915"/>
        <item m="1" x="2301"/>
        <item m="1" x="235"/>
        <item m="1" x="2048"/>
        <item m="1" x="1639"/>
        <item m="1" x="1933"/>
        <item m="1" x="1365"/>
        <item m="1" x="2608"/>
        <item m="1" x="1240"/>
        <item m="1" x="1991"/>
        <item m="1" x="447"/>
        <item m="1" x="1632"/>
        <item m="1" x="1384"/>
        <item m="1" x="423"/>
        <item m="1" x="622"/>
        <item m="1" x="318"/>
        <item m="1" x="2356"/>
        <item m="1" x="1047"/>
        <item m="1" x="1168"/>
        <item m="1" x="2978"/>
        <item m="1" x="1246"/>
        <item m="1" x="1820"/>
        <item m="1" x="2769"/>
        <item m="1" x="1087"/>
        <item m="1" x="1058"/>
        <item m="1" x="151"/>
        <item m="1" x="1643"/>
        <item m="1" x="619"/>
        <item m="1" x="2368"/>
        <item m="1" x="495"/>
        <item m="1" x="995"/>
        <item m="1" x="4"/>
        <item m="1" x="1503"/>
        <item m="1" x="509"/>
        <item m="1" x="394"/>
        <item m="1" x="2381"/>
        <item m="1" x="123"/>
        <item m="1" x="2447"/>
        <item m="1" x="912"/>
        <item m="1" x="1745"/>
        <item m="1" x="952"/>
        <item m="1" x="1122"/>
        <item m="1" x="2633"/>
        <item m="1" x="563"/>
        <item m="1" x="1498"/>
        <item m="1" x="690"/>
        <item m="1" x="1248"/>
        <item m="1" x="699"/>
        <item m="1" x="756"/>
        <item m="1" x="1873"/>
        <item m="1" x="2702"/>
        <item m="1" x="472"/>
        <item m="1" x="2893"/>
        <item m="1" x="654"/>
        <item m="1" x="2973"/>
        <item m="1" x="552"/>
        <item m="1" x="2902"/>
        <item m="1" x="2336"/>
        <item m="1" x="464"/>
        <item m="1" x="1097"/>
        <item m="1" x="1199"/>
        <item m="1" x="649"/>
        <item m="1" x="2015"/>
        <item m="1" x="969"/>
        <item m="1" x="2232"/>
        <item m="1" x="352"/>
        <item m="1" x="639"/>
        <item m="1" x="947"/>
        <item m="1" x="1515"/>
        <item m="1" x="2354"/>
        <item m="1" x="1480"/>
        <item m="1" x="811"/>
        <item m="1" x="2544"/>
        <item m="1" x="1658"/>
        <item m="1" x="2537"/>
        <item m="1" x="2946"/>
        <item m="1" x="2125"/>
        <item m="1" x="480"/>
        <item m="1" x="303"/>
        <item m="1" x="2865"/>
        <item m="1" x="2533"/>
        <item m="1" x="2527"/>
        <item m="1" x="860"/>
        <item m="1" x="1445"/>
        <item m="1" x="2081"/>
        <item m="1" x="2173"/>
        <item m="1" x="339"/>
        <item m="1" x="54"/>
        <item m="1" x="268"/>
        <item m="1" x="997"/>
        <item m="1" x="1883"/>
        <item m="1" x="2145"/>
        <item m="1" x="519"/>
        <item m="1" x="634"/>
        <item m="1" x="2482"/>
        <item m="1" x="2365"/>
        <item m="1" x="1572"/>
        <item m="1" x="2124"/>
        <item m="1" x="596"/>
        <item m="1" x="1770"/>
        <item m="1" x="1352"/>
        <item m="1" x="2720"/>
        <item m="1" x="1514"/>
        <item m="1" x="2374"/>
        <item m="1" x="2729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8">
        <item m="1" x="10"/>
        <item m="1" x="11"/>
        <item m="1" x="13"/>
        <item m="1" x="23"/>
        <item m="1" x="4"/>
        <item x="0"/>
        <item m="1" x="21"/>
        <item m="1" x="25"/>
        <item m="1" x="2"/>
        <item m="1" x="8"/>
        <item m="1" x="9"/>
        <item m="1" x="17"/>
        <item m="1" x="3"/>
        <item m="1" x="7"/>
        <item m="1" x="18"/>
        <item m="1" x="26"/>
        <item m="1" x="22"/>
        <item m="1" x="5"/>
        <item m="1" x="19"/>
        <item m="1" x="24"/>
        <item m="1" x="1"/>
        <item m="1" x="6"/>
        <item m="1" x="12"/>
        <item m="1" x="14"/>
        <item m="1" x="20"/>
        <item m="1" x="15"/>
        <item m="1" x="16"/>
        <item t="default"/>
      </items>
    </pivotField>
    <pivotField axis="axisPage" showAll="0">
      <items count="2381">
        <item m="1" x="134"/>
        <item m="1" x="849"/>
        <item m="1" x="2013"/>
        <item m="1" x="688"/>
        <item m="1" x="1850"/>
        <item m="1" x="1797"/>
        <item m="1" x="583"/>
        <item m="1" x="1332"/>
        <item m="1" x="118"/>
        <item m="1" x="1886"/>
        <item m="1" x="1183"/>
        <item m="1" x="2297"/>
        <item m="1" x="1076"/>
        <item m="1" x="461"/>
        <item m="1" x="2246"/>
        <item m="1" x="1631"/>
        <item m="1" x="1023"/>
        <item m="1" x="413"/>
        <item m="1" x="1414"/>
        <item m="1" x="810"/>
        <item m="1" x="1990"/>
        <item m="1" x="1004"/>
        <item m="1" x="1885"/>
        <item m="1" x="670"/>
        <item m="1" x="68"/>
        <item m="1" x="340"/>
        <item m="1" x="149"/>
        <item m="1" x="650"/>
        <item m="1" x="1545"/>
        <item m="1" x="933"/>
        <item m="1" x="1812"/>
        <item m="1" x="320"/>
        <item m="1" x="1211"/>
        <item m="1" x="2096"/>
        <item m="1" x="597"/>
        <item m="1" x="1493"/>
        <item m="1" x="2"/>
        <item m="1" x="219"/>
        <item m="1" x="1109"/>
        <item m="1" x="1989"/>
        <item m="1" x="496"/>
        <item m="1" x="1057"/>
        <item m="1" x="1935"/>
        <item m="1" x="443"/>
        <item m="1" x="1330"/>
        <item m="1" x="2226"/>
        <item m="1" x="721"/>
        <item m="1" x="1612"/>
        <item m="1" x="116"/>
        <item m="1" x="1564"/>
        <item m="1" x="67"/>
        <item m="1" x="950"/>
        <item m="1" x="1829"/>
        <item m="1" x="339"/>
        <item m="1" x="1228"/>
        <item m="1" x="2115"/>
        <item m="1" x="616"/>
        <item m="1" x="1510"/>
        <item m="1" x="17"/>
        <item m="1" x="901"/>
        <item m="1" x="1781"/>
        <item m="1" x="285"/>
        <item m="1" x="1181"/>
        <item m="1" x="2061"/>
        <item m="1" x="566"/>
        <item m="1" x="1453"/>
        <item m="1" x="515"/>
        <item m="1" x="2295"/>
        <item m="1" x="792"/>
        <item m="1" x="1683"/>
        <item m="1" x="184"/>
        <item m="1" x="1075"/>
        <item m="1" x="1954"/>
        <item m="1" x="460"/>
        <item m="1" x="1347"/>
        <item m="1" x="2245"/>
        <item m="1" x="740"/>
        <item m="1" x="1629"/>
        <item m="1" x="131"/>
        <item m="1" x="1021"/>
        <item m="1" x="1901"/>
        <item m="1" x="1296"/>
        <item m="1" x="2188"/>
        <item m="1" x="687"/>
        <item m="1" x="1580"/>
        <item m="1" x="81"/>
        <item m="1" x="967"/>
        <item m="1" x="1848"/>
        <item m="1" x="355"/>
        <item m="1" x="2130"/>
        <item m="1" x="632"/>
        <item m="1" x="1525"/>
        <item m="1" x="1195"/>
        <item m="1" x="2078"/>
        <item m="1" x="580"/>
        <item m="1" x="1472"/>
        <item m="1" x="2363"/>
        <item m="1" x="198"/>
        <item m="1" x="1088"/>
        <item m="1" x="1969"/>
        <item m="1" x="478"/>
        <item m="1" x="148"/>
        <item m="1" x="2257"/>
        <item m="1" x="1918"/>
        <item m="1" x="426"/>
        <item m="1" x="984"/>
        <item m="1" x="1"/>
        <item m="1" x="649"/>
        <item m="1" x="1259"/>
        <item m="1" x="1544"/>
        <item m="1" x="1099"/>
        <item m="1" x="2148"/>
        <item m="1" x="1864"/>
        <item m="1" x="2333"/>
        <item m="1" x="211"/>
        <item m="1" x="1664"/>
        <item m="1" x="98"/>
        <item m="1" x="2046"/>
        <item m="1" x="1734"/>
        <item m="1" x="1527"/>
        <item m="1" x="1475"/>
        <item m="1" x="1582"/>
        <item m="1" x="1473"/>
        <item m="1" x="916"/>
        <item m="1" x="1037"/>
        <item m="1" x="1424"/>
        <item m="1" x="1979"/>
        <item m="1" x="49"/>
        <item m="1" x="34"/>
        <item m="1" x="201"/>
        <item m="1" x="2171"/>
        <item m="1" x="932"/>
        <item m="1" x="1262"/>
        <item m="1" x="531"/>
        <item m="1" x="1146"/>
        <item m="1" x="1747"/>
        <item m="1" x="249"/>
        <item m="1" x="1811"/>
        <item m="1" x="953"/>
        <item m="1" x="2116"/>
        <item m="1" x="904"/>
        <item m="1" x="1937"/>
        <item m="1" x="1412"/>
        <item m="1" x="2311"/>
        <item m="1" x="381"/>
        <item m="1" x="265"/>
        <item m="1" x="1554"/>
        <item m="1" x="1050"/>
        <item m="1" x="1501"/>
        <item m="1" x="832"/>
        <item m="1" x="1381"/>
        <item m="1" x="2217"/>
        <item m="1" x="2044"/>
        <item m="1" x="1934"/>
        <item m="1" x="712"/>
        <item m="1" x="434"/>
        <item m="1" x="596"/>
        <item m="1" x="1148"/>
        <item m="1" x="1643"/>
        <item m="1" x="829"/>
        <item m="1" x="2105"/>
        <item m="1" x="1492"/>
        <item m="1" x="774"/>
        <item m="1" x="2379"/>
        <item m="1" x="200"/>
        <item m="1" x="1431"/>
        <item m="1" x="83"/>
        <item m="1" x="1322"/>
        <item m="1" x="1762"/>
        <item m="1" x="1056"/>
        <item m="1" x="882"/>
        <item m="1" x="1329"/>
        <item m="1" x="2052"/>
        <item m="1" x="115"/>
        <item m="1" x="558"/>
        <item m="1" x="1611"/>
        <item m="1" x="1773"/>
        <item m="1" x="2225"/>
        <item m="1" x="277"/>
        <item m="1" x="720"/>
        <item m="1" x="1173"/>
        <item m="1" x="1002"/>
        <item m="1" x="1443"/>
        <item m="1" x="1883"/>
        <item m="1" x="2342"/>
        <item m="1" x="390"/>
        <item m="1" x="1278"/>
        <item m="1" x="1724"/>
        <item m="1" x="838"/>
        <item m="1" x="2167"/>
        <item m="1" x="225"/>
        <item m="1" x="668"/>
        <item m="1" x="1563"/>
        <item m="1" x="1120"/>
        <item m="1" x="507"/>
        <item m="1" x="1999"/>
        <item m="1" x="66"/>
        <item m="1" x="582"/>
        <item m="1" x="1196"/>
        <item m="1" x="1388"/>
        <item m="1" x="949"/>
        <item m="1" x="863"/>
        <item m="1" x="1828"/>
        <item m="1" x="338"/>
        <item m="1" x="783"/>
        <item m="1" x="2286"/>
        <item m="1" x="1227"/>
        <item m="1" x="1672"/>
        <item m="1" x="1068"/>
        <item m="1" x="1509"/>
        <item m="1" x="1945"/>
        <item m="1" x="175"/>
        <item m="1" x="615"/>
        <item m="1" x="2114"/>
        <item m="1" x="1340"/>
        <item m="1" x="1780"/>
        <item m="1" x="2236"/>
        <item m="1" x="284"/>
        <item m="1" x="1180"/>
        <item m="1" x="730"/>
        <item m="1" x="1620"/>
        <item m="1" x="565"/>
        <item m="1" x="2060"/>
        <item m="1" x="123"/>
        <item m="1" x="1452"/>
        <item m="1" x="2350"/>
        <item m="1" x="1893"/>
        <item m="1" x="2180"/>
        <item m="1" x="232"/>
        <item m="1" x="403"/>
        <item m="1" x="845"/>
        <item m="1" x="1289"/>
        <item m="1" x="1574"/>
        <item m="1" x="1128"/>
        <item m="1" x="680"/>
        <item m="1" x="2009"/>
        <item m="1" x="1682"/>
        <item m="1" x="77"/>
        <item m="1" x="514"/>
        <item m="1" x="2123"/>
        <item m="1" x="183"/>
        <item m="1" x="626"/>
        <item m="1" x="1519"/>
        <item m="1" x="295"/>
        <item m="1" x="459"/>
        <item m="1" x="1346"/>
        <item m="1" x="739"/>
        <item m="1" x="1953"/>
        <item m="1" x="2244"/>
        <item m="1" x="1188"/>
        <item m="1" x="1788"/>
        <item m="1" x="910"/>
        <item m="1" x="1628"/>
        <item m="1" x="1465"/>
        <item m="1" x="686"/>
        <item m="1" x="1139"/>
        <item m="1" x="411"/>
        <item m="1" x="2187"/>
        <item m="1" x="1958"/>
        <item m="1" x="1900"/>
        <item m="1" x="2071"/>
        <item m="1" x="1741"/>
        <item m="1" x="1006"/>
        <item m="1" x="857"/>
        <item m="1" x="1295"/>
        <item m="1" x="243"/>
        <item m="1" x="2019"/>
        <item m="1" x="2314"/>
        <item m="1" x="80"/>
        <item m="1" x="524"/>
        <item m="1" x="1579"/>
        <item m="1" x="966"/>
        <item m="1" x="31"/>
        <item m="1" x="915"/>
        <item m="1" x="1354"/>
        <item m="1" x="300"/>
        <item m="1" x="747"/>
        <item m="1" x="1194"/>
        <item m="1" x="1304"/>
        <item m="1" x="1746"/>
        <item m="1" x="1081"/>
        <item m="1" x="1242"/>
        <item m="1" x="1909"/>
        <item m="1" x="1689"/>
        <item m="1" x="2362"/>
        <item m="1" x="2077"/>
        <item m="1" x="418"/>
        <item m="1" x="1405"/>
        <item m="1" x="530"/>
        <item m="1" x="975"/>
        <item m="1" x="2129"/>
        <item m="1" x="2197"/>
        <item m="1" x="87"/>
        <item m="1" x="694"/>
        <item m="1" x="1145"/>
        <item m="1" x="248"/>
        <item m="1" x="1411"/>
        <item m="1" x="1857"/>
        <item m="1" x="1588"/>
        <item m="1" x="2024"/>
        <item m="1" x="2302"/>
        <item m="1" x="140"/>
        <item m="1" x="354"/>
        <item m="1" x="579"/>
        <item m="1" x="800"/>
        <item m="1" x="1027"/>
        <item m="1" x="192"/>
        <item m="1" x="2250"/>
        <item m="1" x="1847"/>
        <item m="1" x="1471"/>
        <item m="1" x="41"/>
        <item m="1" x="2310"/>
        <item m="1" x="477"/>
        <item m="1" x="1087"/>
        <item m="1" x="925"/>
        <item m="1" x="807"/>
        <item m="1" x="1535"/>
        <item m="1" x="1697"/>
        <item m="1" x="2139"/>
        <item m="1" x="1312"/>
        <item m="1" x="1756"/>
        <item m="1" x="425"/>
        <item m="1" x="874"/>
        <item m="1" x="1917"/>
        <item m="1" x="2371"/>
        <item m="1" x="589"/>
        <item m="1" x="1360"/>
        <item m="1" x="1202"/>
        <item m="1" x="1642"/>
        <item m="1" x="2087"/>
        <item m="1" x="147"/>
        <item m="1" x="1483"/>
        <item m="1" x="1036"/>
        <item m="1" x="2256"/>
        <item m="1" x="311"/>
        <item m="1" x="2204"/>
        <item m="1" x="754"/>
        <item m="1" x="257"/>
        <item m="1" x="1157"/>
        <item m="1" x="2035"/>
        <item m="1" x="1596"/>
        <item m="1" x="1863"/>
        <item m="1" x="983"/>
        <item m="1" x="541"/>
        <item m="1" x="1423"/>
        <item m="1" x="2321"/>
        <item m="1" x="819"/>
        <item m="1" x="1258"/>
        <item m="1" x="1708"/>
        <item m="1" x="2147"/>
        <item m="1" x="210"/>
        <item m="1" x="1978"/>
        <item m="1" x="1372"/>
        <item m="1" x="1049"/>
        <item m="1" x="595"/>
        <item m="1" x="2267"/>
        <item m="1" x="318"/>
        <item m="1" x="767"/>
        <item m="1" x="159"/>
        <item m="1" x="1655"/>
        <item m="1" x="1209"/>
        <item m="1" x="2094"/>
        <item m="1" x="1491"/>
        <item m="1" x="1925"/>
        <item m="1" x="1873"/>
        <item m="1" x="218"/>
        <item m="1" x="57"/>
        <item m="1" x="546"/>
        <item m="1" x="1162"/>
        <item m="1" x="661"/>
        <item m="1" x="711"/>
        <item m="1" x="1107"/>
        <item m="1" x="1270"/>
        <item m="1" x="1987"/>
        <item m="1" x="993"/>
        <item m="1" x="1430"/>
        <item m="1" x="264"/>
        <item m="1" x="1553"/>
        <item m="1" x="828"/>
        <item m="1" x="106"/>
        <item m="1" x="380"/>
        <item m="1" x="2160"/>
        <item m="1" x="1716"/>
        <item m="1" x="494"/>
        <item m="1" x="942"/>
        <item m="1" x="1380"/>
        <item m="1" x="2276"/>
        <item m="1" x="1820"/>
        <item m="1" x="607"/>
        <item m="1" x="330"/>
        <item m="1" x="2104"/>
        <item m="1" x="1500"/>
        <item m="1" x="1933"/>
        <item m="1" x="2224"/>
        <item m="1" x="1772"/>
        <item m="1" x="1328"/>
        <item m="1" x="891"/>
        <item m="1" x="12"/>
        <item m="1" x="442"/>
        <item m="1" x="276"/>
        <item m="1" x="1172"/>
        <item m="1" x="1001"/>
        <item m="1" x="114"/>
        <item m="1" x="719"/>
        <item m="1" x="1610"/>
        <item m="1" x="557"/>
        <item m="1" x="2051"/>
        <item m="1" x="667"/>
        <item m="1" x="1998"/>
        <item m="1" x="1119"/>
        <item m="1" x="174"/>
        <item m="1" x="1562"/>
        <item m="1" x="1723"/>
        <item m="1" x="2166"/>
        <item m="1" x="1882"/>
        <item m="1" x="224"/>
        <item m="1" x="1277"/>
        <item m="1" x="65"/>
        <item m="1" x="900"/>
        <item m="1" x="1442"/>
        <item m="1" x="837"/>
        <item m="1" x="2285"/>
        <item m="1" x="337"/>
        <item m="1" x="782"/>
        <item m="1" x="1226"/>
        <item m="1" x="1671"/>
        <item m="1" x="2113"/>
        <item m="1" x="389"/>
        <item m="1" x="506"/>
        <item m="1" x="1387"/>
        <item m="1" x="1827"/>
        <item m="1" x="2341"/>
        <item m="1" x="1013"/>
        <item m="1" x="122"/>
        <item m="1" x="564"/>
        <item m="1" x="1451"/>
        <item m="1" x="729"/>
        <item m="1" x="2059"/>
        <item m="1" x="283"/>
        <item m="1" x="1339"/>
        <item m="1" x="1779"/>
        <item m="1" x="2235"/>
        <item m="1" x="1179"/>
        <item m="1" x="1892"/>
        <item m="1" x="679"/>
        <item m="1" x="1288"/>
        <item m="1" x="1573"/>
        <item m="1" x="76"/>
        <item m="1" x="349"/>
        <item m="1" x="2008"/>
        <item m="1" x="182"/>
        <item m="1" x="2294"/>
        <item m="1" x="231"/>
        <item m="1" x="2349"/>
        <item m="1" x="2179"/>
        <item m="1" x="791"/>
        <item m="1" x="1236"/>
        <item m="1" x="625"/>
        <item m="1" x="1074"/>
        <item m="1" x="1841"/>
        <item m="1" x="1127"/>
        <item m="1" x="1681"/>
        <item m="1" x="2122"/>
        <item m="1" x="402"/>
        <item m="1" x="1396"/>
        <item m="1" x="1732"/>
        <item m="1" x="513"/>
        <item m="1" x="844"/>
        <item m="1" x="962"/>
        <item m="1" x="1366"/>
        <item m="1" x="955"/>
        <item m="1" x="2081"/>
        <item m="1" x="1868"/>
        <item m="1" x="918"/>
        <item m="1" x="866"/>
        <item m="1" x="812"/>
        <item m="1" x="703"/>
        <item m="1" x="653"/>
        <item m="1" x="600"/>
        <item m="1" x="551"/>
        <item m="1" x="447"/>
        <item m="1" x="395"/>
        <item m="1" x="343"/>
        <item m="1" x="287"/>
        <item m="1" x="2151"/>
        <item m="1" x="2098"/>
        <item m="1" x="1991"/>
        <item m="1" x="1938"/>
        <item m="1" x="1111"/>
        <item m="1" x="462"/>
        <item m="1" x="795"/>
        <item m="1" x="1956"/>
        <item m="1" x="743"/>
        <item m="1" x="722"/>
        <item m="1" x="1547"/>
        <item m="1" x="322"/>
        <item m="1" x="268"/>
        <item m="1" x="220"/>
        <item m="1" x="517"/>
        <item m="1" x="1280"/>
        <item m="1" x="2169"/>
        <item m="1" x="1971"/>
        <item m="1" x="1363"/>
        <item m="1" x="757"/>
        <item m="1" x="1866"/>
        <item m="1" x="1261"/>
        <item m="1" x="651"/>
        <item m="1" x="51"/>
        <item m="1" x="581"/>
        <item m="1" x="392"/>
        <item m="1" x="2011"/>
        <item m="1" x="2364"/>
        <item m="1" x="864"/>
        <item m="1" x="267"/>
        <item m="1" x="516"/>
        <item m="1" x="1748"/>
        <item m="1" x="250"/>
        <item m="1" x="1165"/>
        <item m="1" x="445"/>
        <item m="1" x="2228"/>
        <item m="1" x="1614"/>
        <item m="1" x="2278"/>
        <item m="1" x="1005"/>
        <item m="1" x="393"/>
        <item m="1" x="2170"/>
        <item m="1" x="1059"/>
        <item m="1" x="2296"/>
        <item m="1" x="1244"/>
        <item m="1" x="2131"/>
        <item m="1" x="1241"/>
        <item m="1" x="1688"/>
        <item m="1" x="2128"/>
        <item m="1" x="1955"/>
        <item m="1" x="742"/>
        <item m="1" x="1297"/>
        <item m="1" x="1645"/>
        <item m="1" x="1039"/>
        <item m="1" x="428"/>
        <item m="1" x="2331"/>
        <item m="1" x="1182"/>
        <item m="1" x="2062"/>
        <item m="1" x="567"/>
        <item m="1" x="133"/>
        <item m="1" x="1108"/>
        <item m="1" x="2045"/>
        <item m="1" x="902"/>
        <item m="1" x="1849"/>
        <item m="1" x="356"/>
        <item m="1" x="1454"/>
        <item m="1" x="185"/>
        <item m="1" x="847"/>
        <item m="1" x="82"/>
        <item m="1" x="2149"/>
        <item m="1" x="1763"/>
        <item m="1" x="266"/>
        <item m="1" x="808"/>
        <item m="1" x="1698"/>
        <item m="1" x="2025"/>
        <item m="1" x="2036"/>
        <item m="1" x="892"/>
        <item m="1" x="1271"/>
        <item m="1" x="1717"/>
        <item m="1" x="2161"/>
        <item m="1" x="1988"/>
        <item m="1" x="58"/>
        <item m="1" x="495"/>
        <item m="1" x="1821"/>
        <item m="1" x="331"/>
        <item m="1" x="1219"/>
        <item m="1" x="1020"/>
        <item m="1" x="1650"/>
        <item m="1" x="1098"/>
        <item m="1" x="656"/>
        <item m="1" x="881"/>
        <item m="1" x="469"/>
        <item m="1" x="1793"/>
        <item m="1" x="1636"/>
        <item m="1" x="2076"/>
        <item m="1" x="766"/>
        <item m="1" x="1321"/>
        <item m="1" x="1550"/>
        <item m="1" x="419"/>
        <item m="1" x="191"/>
        <item m="1" x="1094"/>
        <item m="1" x="163"/>
        <item m="1" x="1607"/>
        <item m="1" x="2216"/>
        <item m="1" x="1740"/>
        <item m="1" x="353"/>
        <item m="1" x="1031"/>
        <item m="1" x="424"/>
        <item m="1" x="1269"/>
        <item m="1" x="2109"/>
        <item m="1" x="1392"/>
        <item m="1" x="818"/>
        <item m="1" x="1044"/>
        <item m="1" x="1257"/>
        <item m="1" x="1017"/>
        <item m="1" x="1235"/>
        <item m="1" x="130"/>
        <item m="1" x="573"/>
        <item m="1" x="1019"/>
        <item m="1" x="856"/>
        <item m="1" x="2255"/>
        <item m="1" x="79"/>
        <item m="1" x="523"/>
        <item m="1" x="247"/>
        <item m="1" x="693"/>
        <item m="1" x="529"/>
        <item m="1" x="974"/>
        <item m="1" x="1792"/>
        <item m="1" x="869"/>
        <item m="1" x="1418"/>
        <item m="1" x="815"/>
        <item m="1" x="2318"/>
        <item m="1" x="1482"/>
        <item m="1" x="484"/>
        <item m="1" x="700"/>
        <item m="1" x="929"/>
        <item m="1" x="1156"/>
        <item m="1" x="1368"/>
        <item m="1" x="1595"/>
        <item m="1" x="1806"/>
        <item m="1" x="2034"/>
        <item m="1" x="2262"/>
        <item m="1" x="94"/>
        <item m="1" x="762"/>
        <item m="1" x="982"/>
        <item m="1" x="1422"/>
        <item m="1" x="1158"/>
        <item m="1" x="1263"/>
        <item m="1" x="1369"/>
        <item m="1" x="2159"/>
        <item m="1" x="2248"/>
        <item m="1" x="1557"/>
        <item m="1" x="1771"/>
        <item m="1" x="998"/>
        <item m="1" x="611"/>
        <item m="1" x="1997"/>
        <item m="1" x="2231"/>
        <item m="1" x="2153"/>
        <item m="1" x="2101"/>
        <item m="1" x="2335"/>
        <item m="1" x="59"/>
        <item m="1" x="1324"/>
        <item m="1" x="1986"/>
        <item m="1" x="1000"/>
        <item m="1" x="1223"/>
        <item m="1" x="614"/>
        <item m="1" x="841"/>
        <item m="1" x="1067"/>
        <item m="1" x="1406"/>
        <item m="1" x="2317"/>
        <item m="1" x="371"/>
        <item m="1" x="1440"/>
        <item m="1" x="344"/>
        <item m="1" x="113"/>
        <item m="1" x="556"/>
        <item m="1" x="2340"/>
        <item m="1" x="1293"/>
        <item m="1" x="138"/>
        <item m="1" x="1615"/>
        <item m="1" x="342"/>
        <item m="1" x="450"/>
        <item m="1" x="1777"/>
        <item m="1" x="1504"/>
        <item m="1" x="1192"/>
        <item m="1" x="361"/>
        <item m="1" x="577"/>
        <item m="1" x="970"/>
        <item m="1" x="814"/>
        <item m="1" x="1034"/>
        <item m="1" x="1252"/>
        <item m="1" x="1739"/>
        <item m="1" x="1137"/>
        <item m="1" x="2073"/>
        <item m="1" x="2300"/>
        <item m="1" x="522"/>
        <item m="1" x="1403"/>
        <item m="1" x="798"/>
        <item m="1" x="194"/>
        <item m="1" x="416"/>
        <item m="1" x="457"/>
        <item m="1" x="2185"/>
        <item m="1" x="1240"/>
        <item m="1" x="859"/>
        <item m="1" x="1079"/>
        <item m="1" x="298"/>
        <item m="1" x="2085"/>
        <item m="1" x="2165"/>
        <item m="1" x="1824"/>
        <item m="1" x="388"/>
        <item m="1" x="1118"/>
        <item m="1" x="2240"/>
        <item m="1" x="75"/>
        <item m="1" x="1350"/>
        <item m="1" x="539"/>
        <item m="1" x="761"/>
        <item m="1" x="1276"/>
        <item m="1" x="64"/>
        <item m="1" x="621"/>
        <item m="1" x="843"/>
        <item m="1" x="246"/>
        <item m="1" x="230"/>
        <item m="1" x="2305"/>
        <item m="1" x="1178"/>
        <item m="1" x="683"/>
        <item m="1" x="414"/>
        <item m="1" x="630"/>
        <item m="1" x="2058"/>
        <item m="1" x="1343"/>
        <item m="1" x="1572"/>
        <item m="1" x="1836"/>
        <item m="1" x="1784"/>
        <item m="1" x="2007"/>
        <item m="1" x="1538"/>
        <item m="1" x="1755"/>
        <item m="1" x="1973"/>
        <item m="1" x="345"/>
        <item m="1" x="2178"/>
        <item m="1" x="21"/>
        <item m="1" x="1619"/>
        <item m="1" x="178"/>
        <item m="1" x="401"/>
        <item m="1" x="786"/>
        <item m="1" x="1514"/>
        <item m="1" x="2066"/>
        <item m="1" x="2293"/>
        <item m="1" x="2345"/>
        <item m="1" x="1123"/>
        <item m="1" x="512"/>
        <item m="1" x="734"/>
        <item m="1" x="173"/>
        <item m="1" x="1338"/>
        <item m="1" x="290"/>
        <item m="1" x="190"/>
        <item m="1" x="572"/>
        <item m="1" x="1568"/>
        <item m="1" x="957"/>
        <item m="1" x="2119"/>
        <item m="1" x="2348"/>
        <item m="1" x="1478"/>
        <item m="1" x="90"/>
        <item m="1" x="1577"/>
        <item m="1" x="872"/>
        <item m="1" x="1093"/>
        <item m="1" x="1736"/>
        <item m="1" x="1787"/>
        <item m="1" x="2017"/>
        <item m="1" x="1460"/>
        <item m="1" x="1680"/>
        <item m="1" x="1896"/>
        <item m="1" x="2083"/>
        <item m="1" x="1533"/>
        <item m="1" x="536"/>
        <item m="1" x="855"/>
        <item m="1" x="465"/>
        <item m="1" x="637"/>
        <item m="1" x="861"/>
        <item m="1" x="467"/>
        <item m="1" x="205"/>
        <item m="1" x="423"/>
        <item m="1" x="644"/>
        <item m="1" x="472"/>
        <item m="1" x="692"/>
        <item m="1" x="309"/>
        <item m="1" x="2203"/>
        <item m="1" x="241"/>
        <item m="1" x="1083"/>
        <item m="1" x="1302"/>
        <item m="1" x="1521"/>
        <item m="1" x="1960"/>
        <item m="1" x="1692"/>
        <item m="1" x="1908"/>
        <item m="1" x="25"/>
        <item m="1" x="629"/>
        <item m="1" x="1299"/>
        <item m="1" x="1523"/>
        <item m="1" x="2195"/>
        <item m="1" x="1143"/>
        <item m="1" x="1409"/>
        <item m="1" x="1205"/>
        <item m="1" x="325"/>
        <item m="1" x="351"/>
        <item m="1" x="684"/>
        <item m="1" x="802"/>
        <item m="1" x="2135"/>
        <item m="1" x="696"/>
        <item m="1" x="1040"/>
        <item m="1" x="1154"/>
        <item m="1" x="1254"/>
        <item m="1" x="606"/>
        <item m="1" x="11"/>
        <item m="1" x="2050"/>
        <item m="1" x="2282"/>
        <item m="1" x="920"/>
        <item m="1" x="1640"/>
        <item m="1" x="256"/>
        <item m="1" x="624"/>
        <item m="1" x="852"/>
        <item m="1" x="1791"/>
        <item m="1" x="2021"/>
        <item m="1" x="526"/>
        <item m="1" x="146"/>
        <item m="1" x="367"/>
        <item m="1" x="588"/>
        <item m="1" x="2075"/>
        <item m="1" x="923"/>
        <item m="1" x="1591"/>
        <item m="1" x="314"/>
        <item m="1" x="432"/>
        <item m="1" x="991"/>
        <item m="1" x="868"/>
        <item m="1" x="698"/>
        <item m="1" x="813"/>
        <item m="1" x="926"/>
        <item m="1" x="1687"/>
        <item m="1" x="2100"/>
        <item m="1" x="1720"/>
        <item m="1" x="61"/>
        <item m="1" x="1856"/>
        <item m="1" x="690"/>
        <item m="1" x="1469"/>
        <item m="1" x="1752"/>
        <item m="1" x="1880"/>
        <item m="1" x="2108"/>
        <item m="1" x="1530"/>
        <item m="1" x="752"/>
        <item m="1" x="978"/>
        <item m="1" x="1200"/>
        <item m="1" x="1965"/>
        <item m="1" x="2029"/>
        <item m="1" x="2142"/>
        <item m="1" x="1102"/>
        <item m="1" x="1429"/>
        <item m="1" x="86"/>
        <item m="1" x="2200"/>
        <item m="1" x="39"/>
        <item m="1" x="475"/>
        <item m="1" x="528"/>
        <item m="1" x="1703"/>
        <item m="1" x="1915"/>
        <item m="1" x="1649"/>
        <item m="1" x="610"/>
        <item m="1" x="835"/>
        <item m="1" x="928"/>
        <item m="1" x="1155"/>
        <item m="1" x="153"/>
        <item m="1" x="1982"/>
        <item m="1" x="104"/>
        <item m="1" x="429"/>
        <item m="1" x="1761"/>
        <item m="1" x="647"/>
        <item m="1" x="602"/>
        <item m="1" x="826"/>
        <item m="1" x="1809"/>
        <item m="1" x="2038"/>
        <item m="1" x="823"/>
        <item m="1" x="1264"/>
        <item m="1" x="1063"/>
        <item m="1" x="948"/>
        <item m="1" x="956"/>
        <item m="1" x="1177"/>
        <item m="1" x="2271"/>
        <item m="1" x="1658"/>
        <item m="1" x="1872"/>
        <item m="1" x="2158"/>
        <item m="1" x="509"/>
        <item m="1" x="727"/>
        <item m="1" x="1268"/>
        <item m="1" x="437"/>
        <item m="1" x="2163"/>
        <item m="1" x="501"/>
        <item m="1" x="1767"/>
        <item m="1" x="1985"/>
        <item m="1" x="1818"/>
        <item m="1" x="664"/>
        <item m="1" x="945"/>
        <item m="1" x="714"/>
        <item m="1" x="941"/>
        <item m="1" x="2336"/>
        <item m="1" x="2222"/>
        <item m="1" x="1171"/>
        <item m="1" x="1384"/>
        <item m="1" x="1169"/>
        <item m="1" x="1378"/>
        <item m="1" x="997"/>
        <item m="1" x="1609"/>
        <item m="1" x="1503"/>
        <item m="1" x="1722"/>
        <item m="1" x="2275"/>
        <item m="1" x="1994"/>
        <item m="1" x="772"/>
        <item m="1" x="1272"/>
        <item m="1" x="2289"/>
        <item m="1" x="121"/>
        <item m="1" x="833"/>
        <item m="1" x="1055"/>
        <item m="1" x="1932"/>
        <item m="1" x="448"/>
        <item m="1" x="990"/>
        <item m="1" x="1104"/>
        <item m="1" x="1327"/>
        <item m="1" x="999"/>
        <item m="1" x="781"/>
        <item m="1" x="674"/>
        <item m="1" x="72"/>
        <item m="1" x="282"/>
        <item m="1" x="1391"/>
        <item m="1" x="1835"/>
        <item m="1" x="2057"/>
        <item m="1" x="927"/>
        <item m="1" x="895"/>
        <item m="1" x="1117"/>
        <item m="1" x="1507"/>
        <item m="1" x="2174"/>
        <item m="1" x="16"/>
        <item m="1" x="1560"/>
        <item m="1" x="1693"/>
        <item m="1" x="359"/>
        <item m="1" x="1727"/>
        <item m="1" x="451"/>
        <item m="1" x="737"/>
        <item m="1" x="2372"/>
        <item m="1" x="92"/>
        <item m="1" x="207"/>
        <item m="1" x="1807"/>
        <item m="1" x="1921"/>
        <item m="1" x="652"/>
        <item m="1" x="1927"/>
        <item m="1" x="2041"/>
        <item m="1" x="15"/>
        <item m="1" x="1390"/>
        <item m="1" x="1511"/>
        <item m="1" x="24"/>
        <item m="1" x="1463"/>
        <item m="1" x="2194"/>
        <item m="1" x="2306"/>
        <item m="1" x="639"/>
        <item m="1" x="867"/>
        <item m="1" x="976"/>
        <item m="1" x="898"/>
        <item m="1" x="1122"/>
        <item m="1" x="785"/>
        <item m="1" x="227"/>
        <item m="1" x="562"/>
        <item m="1" x="2183"/>
        <item m="1" x="352"/>
        <item m="1" x="1744"/>
        <item m="1" x="1907"/>
        <item m="1" x="1529"/>
        <item m="1" x="2112"/>
        <item m="1" x="1778"/>
        <item m="1" x="2002"/>
        <item m="1" x="2233"/>
        <item m="1" x="511"/>
        <item m="1" x="1344"/>
        <item m="1" x="189"/>
        <item m="1" x="2134"/>
        <item m="1" x="1637"/>
        <item m="1" x="1126"/>
        <item m="1" x="456"/>
        <item m="1" x="188"/>
        <item m="1" x="464"/>
        <item m="1" x="2126"/>
        <item m="1" x="575"/>
        <item m="1" x="1855"/>
        <item m="1" x="678"/>
        <item m="1" x="238"/>
        <item m="1" x="1466"/>
        <item m="1" x="466"/>
        <item m="1" x="2069"/>
        <item m="1" x="1686"/>
        <item m="1" x="1898"/>
        <item m="1" x="1632"/>
        <item m="1" x="2299"/>
        <item m="1" x="689"/>
        <item m="1" x="1623"/>
        <item m="1" x="2243"/>
        <item m="1" x="2184"/>
        <item m="1" x="29"/>
        <item m="1" x="1517"/>
        <item m="1" x="293"/>
        <item m="1" x="2080"/>
        <item m="1" x="36"/>
        <item m="1" x="733"/>
        <item m="1" x="1576"/>
        <item m="1" x="240"/>
        <item m="1" x="137"/>
        <item m="1" x="960"/>
        <item m="1" x="1786"/>
        <item m="1" x="1959"/>
        <item m="1" x="2303"/>
        <item m="1" x="921"/>
        <item m="1" x="2199"/>
        <item m="1" x="1150"/>
        <item m="1" x="2016"/>
        <item m="1" x="1905"/>
        <item m="1" x="858"/>
        <item m="1" x="2020"/>
        <item m="1" x="1134"/>
        <item m="1" x="129"/>
        <item m="1" x="1239"/>
        <item m="1" x="244"/>
        <item m="1" x="574"/>
        <item m="1" x="2193"/>
        <item m="1" x="1142"/>
        <item m="1" x="1247"/>
        <item m="1" x="1910"/>
        <item m="1" x="2027"/>
        <item m="1" x="2133"/>
        <item m="1" x="1586"/>
        <item m="1" x="1808"/>
        <item m="1" x="1208"/>
        <item m="1" x="797"/>
        <item m="1" x="1140"/>
        <item m="1" x="1245"/>
        <item m="1" x="854"/>
        <item m="1" x="1853"/>
        <item m="1" x="1691"/>
        <item m="1" x="141"/>
        <item m="1" x="38"/>
        <item m="1" x="2140"/>
        <item m="1" x="491"/>
        <item m="1" x="383"/>
        <item m="1" x="2221"/>
        <item m="1" x="255"/>
        <item m="1" x="369"/>
        <item m="1" x="483"/>
        <item m="1" x="1292"/>
        <item m="1" x="1191"/>
        <item m="1" x="1583"/>
        <item m="1" x="1690"/>
        <item m="1" x="1738"/>
        <item m="1" x="1522"/>
        <item m="1" x="1351"/>
        <item m="1" x="1467"/>
        <item m="1" x="1766"/>
        <item m="1" x="27"/>
        <item m="1" x="297"/>
        <item m="1" x="2359"/>
        <item m="1" x="2090"/>
        <item m="1" x="2210"/>
        <item m="1" x="2355"/>
        <item m="1" x="527"/>
        <item m="1" x="638"/>
        <item m="1" x="749"/>
        <item m="1" x="875"/>
        <item m="1" x="981"/>
        <item m="1" x="1095"/>
        <item m="1" x="1061"/>
        <item m="1" x="1170"/>
        <item m="1" x="1273"/>
        <item m="1" x="1298"/>
        <item m="1" x="913"/>
        <item m="1" x="1026"/>
        <item m="1" x="1189"/>
        <item m="1" x="2358"/>
        <item m="1" x="576"/>
        <item m="1" x="1197"/>
        <item m="1" x="1402"/>
        <item m="1" x="85"/>
        <item m="1" x="1798"/>
        <item m="1" x="1407"/>
        <item m="1" x="1844"/>
        <item m="1" x="525"/>
        <item m="1" x="1585"/>
        <item m="1" x="245"/>
        <item m="1" x="2253"/>
        <item m="1" x="1972"/>
        <item m="1" x="2088"/>
        <item m="1" x="986"/>
        <item m="1" x="585"/>
        <item m="1" x="695"/>
        <item m="1" x="804"/>
        <item m="1" x="1025"/>
        <item m="1" x="1790"/>
        <item m="1" x="1356"/>
        <item m="1" x="1476"/>
        <item m="1" x="135"/>
        <item m="1" x="308"/>
        <item m="1" x="1537"/>
        <item m="1" x="1647"/>
        <item m="1" x="2072"/>
        <item m="1" x="1528"/>
        <item m="1" x="305"/>
        <item m="1" x="1301"/>
        <item m="1" x="1531"/>
        <item m="1" x="1251"/>
        <item m="1" x="1365"/>
        <item m="1" x="1481"/>
        <item m="1" x="1961"/>
        <item m="1" x="2074"/>
        <item m="1" x="2304"/>
        <item m="1" x="2022"/>
        <item m="1" x="1854"/>
        <item m="1" x="1963"/>
        <item m="1" x="362"/>
        <item m="1" x="471"/>
        <item m="1" x="1416"/>
        <item m="1" x="2202"/>
        <item m="1" x="2319"/>
        <item m="1" x="1742"/>
        <item m="1" x="35"/>
        <item m="1" x="2251"/>
        <item m="1" x="1964"/>
        <item m="1" x="193"/>
        <item m="1" x="1300"/>
        <item m="1" x="803"/>
        <item m="1" x="919"/>
        <item m="1" x="1028"/>
        <item m="1" x="2273"/>
        <item m="1" x="822"/>
        <item m="1" x="768"/>
        <item m="1" x="1161"/>
        <item m="1" x="97"/>
        <item m="1" x="1319"/>
        <item m="1" x="1426"/>
        <item m="1" x="2376"/>
        <item m="1" x="1214"/>
        <item m="1" x="1323"/>
        <item m="1" x="1428"/>
        <item m="1" x="1198"/>
        <item m="1" x="2316"/>
        <item m="1" x="2145"/>
        <item m="1" x="1548"/>
        <item m="1" x="1652"/>
        <item m="1" x="1634"/>
        <item m="1" x="421"/>
        <item m="1" x="204"/>
        <item m="1" x="312"/>
        <item m="1" x="1305"/>
        <item m="1" x="1694"/>
        <item m="1" x="1800"/>
        <item m="1" x="2028"/>
        <item m="1" x="1408"/>
        <item m="1" x="1980"/>
        <item m="1" x="707"/>
        <item m="1" x="1266"/>
        <item m="1" x="1375"/>
        <item m="1" x="2373"/>
        <item m="1" x="375"/>
        <item m="1" x="485"/>
        <item m="1" x="221"/>
        <item m="1" x="1326"/>
        <item m="1" x="1439"/>
        <item m="1" x="636"/>
        <item m="1" x="860"/>
        <item m="1" x="584"/>
        <item m="1" x="691"/>
        <item m="1" x="1981"/>
        <item m="1" x="662"/>
        <item m="1" x="771"/>
        <item m="1" x="1274"/>
        <item m="1" x="415"/>
        <item m="1" x="307"/>
        <item m="1" x="142"/>
        <item m="1" x="1250"/>
        <item m="1" x="1914"/>
        <item m="1" x="43"/>
        <item m="1" x="151"/>
        <item m="1" x="1710"/>
        <item m="1" x="654"/>
        <item m="1" x="164"/>
        <item m="1" x="165"/>
        <item m="1" x="1355"/>
        <item m="1" x="1468"/>
        <item m="1" x="2136"/>
        <item m="1" x="102"/>
        <item m="1" x="212"/>
        <item m="1" x="323"/>
        <item m="1" x="1589"/>
        <item m="1" x="1639"/>
        <item m="1" x="1092"/>
        <item m="1" x="1203"/>
        <item m="1" x="1085"/>
        <item m="1" x="922"/>
        <item m="1" x="1032"/>
        <item m="1" x="748"/>
        <item m="1" x="972"/>
        <item m="1" x="37"/>
        <item m="1" x="2369"/>
        <item m="1" x="2023"/>
        <item m="1" x="2252"/>
        <item m="1" x="1477"/>
        <item m="1" x="2031"/>
        <item m="1" x="2141"/>
        <item m="1" x="2260"/>
        <item m="1" x="1638"/>
        <item m="1" x="1357"/>
        <item m="1" x="1480"/>
        <item m="1" x="1590"/>
        <item m="1" x="2198"/>
        <item m="1" x="1701"/>
        <item m="1" x="1801"/>
        <item m="1" x="1913"/>
        <item m="1" x="2082"/>
        <item m="1" x="642"/>
        <item m="1" x="1754"/>
        <item m="1" x="1860"/>
        <item m="1" x="870"/>
        <item m="1" x="1593"/>
        <item m="1" x="1702"/>
        <item m="1" x="1803"/>
        <item m="1" x="590"/>
        <item m="1" x="699"/>
        <item m="1" x="816"/>
        <item m="1" x="2152"/>
        <item m="1" x="2264"/>
        <item m="1" x="2375"/>
        <item m="1" x="208"/>
        <item m="1" x="1488"/>
        <item m="1" x="1599"/>
        <item m="1" x="1709"/>
        <item m="1" x="88"/>
        <item m="1" x="1536"/>
        <item m="1" x="1309"/>
        <item m="1" x="1419"/>
        <item m="1" x="2084"/>
        <item m="1" x="2368"/>
        <item m="1" x="422"/>
        <item m="1" x="538"/>
        <item m="1" x="751"/>
        <item m="1" x="977"/>
        <item m="1" x="1308"/>
        <item m="1" x="91"/>
        <item m="1" x="2032"/>
        <item m="1" x="1267"/>
        <item m="1" x="1660"/>
        <item m="1" x="1769"/>
        <item m="1" x="109"/>
        <item m="1" x="1114"/>
        <item m="1" x="1220"/>
        <item m="1" x="1306"/>
        <item m="1" x="1091"/>
        <item m="1" x="1199"/>
        <item m="1" x="2201"/>
        <item m="1" x="1532"/>
        <item m="1" x="45"/>
        <item m="1" x="152"/>
        <item m="1" x="258"/>
        <item m="1" x="1204"/>
        <item m="1" x="9"/>
        <item m="1" x="554"/>
        <item m="1" x="1663"/>
        <item m="1" x="379"/>
        <item m="1" x="1167"/>
        <item m="1" x="940"/>
        <item m="1" x="1053"/>
        <item m="1" x="2315"/>
        <item m="1" x="535"/>
        <item m="1" x="1033"/>
        <item m="1" x="1153"/>
        <item m="1" x="252"/>
        <item m="1" x="89"/>
        <item m="1" x="643"/>
        <item m="1" x="758"/>
        <item m="1" x="474"/>
        <item m="1" x="202"/>
        <item m="1" x="871"/>
        <item m="1" x="980"/>
        <item m="1" x="1858"/>
        <item m="1" x="760"/>
        <item m="1" x="646"/>
        <item m="1" x="1541"/>
        <item m="1" x="817"/>
        <item m="1" x="2040"/>
        <item m="1" x="1496"/>
        <item m="1" x="1814"/>
        <item m="1" x="1750"/>
        <item m="1" x="1804"/>
        <item m="1" x="1920"/>
        <item m="1" x="2144"/>
        <item m="1" x="370"/>
        <item m="1" x="269"/>
        <item m="1" x="2106"/>
        <item m="1" x="2283"/>
        <item m="1" x="13"/>
        <item m="1" x="1316"/>
        <item m="1" x="1420"/>
        <item m="1" x="1540"/>
        <item m="1" x="2054"/>
        <item m="1" x="2172"/>
        <item m="1" x="2284"/>
        <item m="1" x="552"/>
        <item m="1" x="1770"/>
        <item m="1" x="1878"/>
        <item m="1" x="1993"/>
        <item m="1" x="1861"/>
        <item m="1" x="2208"/>
        <item m="1" x="1867"/>
        <item m="1" x="1975"/>
        <item m="1" x="2269"/>
        <item m="1" x="663"/>
        <item m="1" x="777"/>
        <item m="1" x="889"/>
        <item m="1" x="657"/>
        <item m="1" x="2326"/>
        <item m="1" x="1168"/>
        <item m="1" x="1556"/>
        <item m="1" x="591"/>
        <item m="1" x="702"/>
        <item m="1" x="1651"/>
        <item m="1" x="1757"/>
        <item m="1" x="1042"/>
        <item m="1" x="879"/>
        <item m="1" x="5"/>
        <item m="1" x="103"/>
        <item m="1" x="1255"/>
        <item m="1" x="2263"/>
        <item m="1" x="316"/>
        <item m="1" x="542"/>
        <item m="1" x="431"/>
        <item m="1" x="936"/>
        <item m="1" x="1051"/>
        <item m="1" x="1485"/>
        <item m="1" x="2037"/>
        <item m="1" x="1317"/>
        <item m="1" x="1425"/>
        <item m="1" x="1705"/>
        <item m="1" x="1207"/>
        <item m="1" x="155"/>
        <item m="1" x="259"/>
        <item m="1" x="763"/>
        <item m="1" x="876"/>
        <item m="1" x="704"/>
        <item m="1" x="821"/>
        <item m="1" x="1096"/>
        <item m="1" x="592"/>
        <item m="1" x="1601"/>
        <item m="1" x="1713"/>
        <item m="1" x="46"/>
        <item m="1" x="989"/>
        <item m="1" x="2325"/>
        <item m="1" x="53"/>
        <item m="1" x="764"/>
        <item m="1" x="593"/>
        <item m="1" x="599"/>
        <item m="1" x="2156"/>
        <item m="1" x="2213"/>
        <item m="1" x="1498"/>
        <item m="1" x="1608"/>
        <item m="1" x="10"/>
        <item m="1" x="2337"/>
        <item m="1" x="1320"/>
        <item m="1" x="215"/>
        <item m="1" x="1105"/>
        <item m="1" x="1216"/>
        <item m="1" x="1813"/>
        <item m="1" x="1760"/>
        <item m="1" x="769"/>
        <item m="1" x="1435"/>
        <item m="1" x="1552"/>
        <item m="1" x="1869"/>
        <item m="1" x="935"/>
        <item m="1" x="880"/>
        <item m="1" x="378"/>
        <item m="1" x="489"/>
        <item m="1" x="52"/>
        <item m="1" x="156"/>
        <item m="1" x="160"/>
        <item m="1" x="262"/>
        <item m="1" x="1657"/>
        <item m="1" x="1616"/>
        <item m="1" x="896"/>
        <item m="1" x="1008"/>
        <item m="1" x="120"/>
        <item m="1" x="561"/>
        <item m="1" x="1101"/>
        <item m="1" x="545"/>
        <item m="1" x="658"/>
        <item m="1" x="770"/>
        <item m="1" x="1046"/>
        <item m="1" x="1213"/>
        <item m="1" x="708"/>
        <item m="1" x="2270"/>
        <item m="1" x="1374"/>
        <item m="1" x="1325"/>
        <item m="1" x="1437"/>
        <item m="1" x="1555"/>
        <item m="1" x="1600"/>
        <item m="1" x="1983"/>
        <item m="1" x="326"/>
        <item m="1" x="436"/>
        <item m="1" x="1817"/>
        <item m="1" x="2280"/>
        <item m="1" x="222"/>
        <item m="1" x="885"/>
        <item m="1" x="1551"/>
        <item m="1" x="161"/>
        <item m="1" x="111"/>
        <item m="1" x="1659"/>
        <item m="1" x="2334"/>
        <item m="1" x="56"/>
        <item m="1" x="713"/>
        <item m="1" x="825"/>
        <item m="1" x="939"/>
        <item m="1" x="324"/>
        <item m="1" x="1928"/>
        <item m="1" x="1984"/>
        <item m="1" x="270"/>
        <item m="1" x="944"/>
        <item m="1" x="2214"/>
        <item m="1" x="824"/>
        <item m="1" x="435"/>
        <item m="1" x="2053"/>
        <item m="1" x="2164"/>
        <item m="1" x="601"/>
        <item m="1" x="382"/>
        <item m="1" x="1875"/>
        <item m="1" x="1992"/>
        <item m="1" x="1376"/>
        <item m="1" x="2157"/>
        <item m="1" x="888"/>
        <item m="1" x="996"/>
        <item m="1" x="1113"/>
        <item m="1" x="1497"/>
        <item m="1" x="1604"/>
        <item m="1" x="604"/>
        <item m="1" x="831"/>
        <item m="1" x="2102"/>
        <item m="1" x="834"/>
        <item m="1" x="386"/>
        <item m="1" x="1502"/>
        <item m="1" x="1816"/>
        <item m="1" x="1874"/>
        <item m="1" x="2218"/>
        <item m="1" x="2220"/>
        <item m="1" x="385"/>
        <item m="1" x="502"/>
        <item m="1" x="1725"/>
        <item m="1" x="1826"/>
        <item m="1" x="1941"/>
        <item m="1" x="2047"/>
        <item m="1" x="119"/>
        <item m="1" x="1389"/>
        <item m="1" x="1617"/>
        <item m="1" x="1726"/>
        <item m="1" x="1942"/>
        <item m="1" x="613"/>
        <item m="1" x="1283"/>
        <item m="1" x="2055"/>
        <item m="1" x="2173"/>
        <item m="1" x="559"/>
        <item m="1" x="396"/>
        <item m="1" x="618"/>
        <item m="1" x="1124"/>
        <item m="1" x="1377"/>
        <item m="1" x="500"/>
        <item m="1" x="608"/>
        <item m="1" x="717"/>
        <item m="1" x="1605"/>
        <item m="1" x="1930"/>
        <item m="1" x="273"/>
        <item m="1" x="274"/>
        <item m="1" x="2274"/>
        <item m="1" x="498"/>
        <item m="1" x="605"/>
        <item m="1" x="716"/>
        <item m="1" x="943"/>
        <item m="1" x="1054"/>
        <item m="1" x="332"/>
        <item m="1" x="440"/>
        <item m="1" x="1931"/>
        <item m="1" x="2049"/>
        <item m="1" x="2162"/>
        <item m="1" x="1007"/>
        <item m="1" x="1116"/>
        <item m="1" x="1889"/>
        <item m="1" x="2344"/>
        <item m="1" x="1822"/>
        <item m="1" x="1221"/>
        <item m="1" x="1825"/>
        <item m="1" x="1939"/>
        <item m="1" x="176"/>
        <item m="1" x="2288"/>
        <item m="1" x="1449"/>
        <item m="1" x="665"/>
        <item m="1" x="14"/>
        <item m="1" x="2232"/>
        <item m="1" x="508"/>
        <item m="1" x="1833"/>
        <item m="1" x="897"/>
        <item m="1" x="333"/>
        <item m="1" x="446"/>
        <item m="1" x="666"/>
        <item m="1" x="2000"/>
        <item m="1" x="172"/>
        <item m="1" x="449"/>
        <item m="1" x="725"/>
        <item m="1" x="398"/>
        <item m="1" x="1834"/>
        <item m="1" x="784"/>
        <item m="1" x="893"/>
        <item m="1" x="2107"/>
        <item m="1" x="839"/>
        <item m="1" x="1668"/>
        <item m="1" x="280"/>
        <item m="1" x="1062"/>
        <item m="1" x="1996"/>
        <item m="1" x="2110"/>
        <item m="1" x="2230"/>
        <item m="1" x="1558"/>
        <item m="1" x="1774"/>
        <item m="1" x="63"/>
        <item m="1" x="1776"/>
        <item m="1" x="1010"/>
        <item m="1" x="1879"/>
        <item m="1" x="1995"/>
        <item m="1" x="2229"/>
        <item m="1" x="723"/>
        <item m="1" x="1721"/>
        <item m="1" x="672"/>
        <item m="1" x="780"/>
        <item m="1" x="1121"/>
        <item m="1" x="2056"/>
        <item m="1" x="1184"/>
        <item m="1" x="1286"/>
        <item m="1" x="1393"/>
        <item m="1" x="947"/>
        <item m="1" x="1282"/>
        <item m="1" x="1386"/>
        <item m="1" x="1505"/>
        <item m="1" x="1065"/>
        <item m="1" x="1174"/>
        <item m="1" x="1336"/>
        <item m="1" x="1506"/>
        <item m="1" x="2287"/>
        <item m="1" x="946"/>
        <item m="1" x="673"/>
        <item m="1" x="281"/>
        <item m="1" x="1946"/>
        <item m="1" x="1011"/>
        <item m="1" x="1224"/>
        <item m="1" x="1334"/>
        <item m="1" x="1444"/>
        <item m="1" x="503"/>
        <item m="1" x="612"/>
        <item m="1" x="724"/>
        <item m="1" x="894"/>
        <item m="1" x="1667"/>
        <item m="1" x="1559"/>
        <item m="1" x="1445"/>
        <item m="1" x="1567"/>
        <item m="1" x="1888"/>
        <item m="1" x="2343"/>
        <item m="1" x="2111"/>
        <item m="1" x="70"/>
        <item m="1" x="171"/>
        <item m="1" x="278"/>
        <item m="1" x="394"/>
        <item m="1" x="840"/>
        <item m="1" x="1175"/>
        <item m="1" x="2346"/>
        <item m="1" x="1176"/>
        <item m="1" x="1569"/>
        <item m="1" x="2001"/>
        <item m="1" x="2117"/>
        <item m="1" x="71"/>
        <item m="1" x="726"/>
        <item m="1" x="905"/>
        <item m="1" x="1673"/>
        <item m="1" x="1069"/>
        <item m="1" x="1285"/>
        <item m="1" x="1618"/>
        <item m="1" x="399"/>
        <item m="1" x="228"/>
        <item m="1" x="452"/>
        <item m="1" x="958"/>
        <item m="1" x="1512"/>
        <item m="1" x="1621"/>
        <item m="1" x="676"/>
        <item m="1" x="731"/>
        <item m="1" x="842"/>
        <item m="1" x="2290"/>
        <item m="1" x="677"/>
        <item m="1" x="787"/>
        <item m="1" x="1729"/>
        <item m="1" x="2176"/>
        <item m="1" x="124"/>
        <item m="1" x="1125"/>
        <item m="1" x="1837"/>
        <item m="1" x="1014"/>
        <item m="1" x="19"/>
        <item m="1" x="906"/>
        <item m="1" x="453"/>
        <item m="1" x="1131"/>
        <item m="1" x="235"/>
        <item m="1" x="2012"/>
        <item m="1" x="634"/>
        <item m="1" x="1164"/>
        <item m="1" x="1795"/>
        <item m="1" x="302"/>
        <item m="1" x="1474"/>
        <item m="1" x="598"/>
        <item m="1" x="1455"/>
        <item m="1" x="848"/>
        <item m="1" x="1566"/>
        <item m="1" x="952"/>
        <item m="1" x="341"/>
        <item m="1" x="903"/>
        <item m="1" x="2313"/>
        <item m="1" x="1700"/>
        <item m="1" x="1090"/>
        <item m="1" x="1229"/>
        <item m="1" x="617"/>
        <item m="1" x="1089"/>
        <item m="1" x="1970"/>
        <item m="1" x="1865"/>
        <item m="1" x="2367"/>
        <item m="1" x="2030"/>
        <item m="1" x="1048"/>
        <item m="1" x="1265"/>
        <item m="1" x="1490"/>
        <item m="1" x="310"/>
        <item m="1" x="537"/>
        <item m="1" x="753"/>
        <item m="1" x="979"/>
        <item m="1" x="1201"/>
        <item m="1" x="1641"/>
        <item m="1" x="366"/>
        <item m="1" x="482"/>
        <item m="1" x="587"/>
        <item m="1" x="1086"/>
        <item m="1" x="1487"/>
        <item m="1" x="648"/>
        <item m="1" x="878"/>
        <item m="1" x="1924"/>
        <item m="1" x="55"/>
        <item m="1" x="555"/>
        <item m="1" x="299"/>
        <item m="1" x="317"/>
        <item m="1" x="1899"/>
        <item m="1" x="2249"/>
        <item m="1" x="2186"/>
        <item m="1" x="1427"/>
        <item m="1" x="28"/>
        <item m="1" x="1845"/>
        <item m="1" x="1802"/>
        <item m="1" x="1342"/>
        <item m="1" x="476"/>
        <item m="1" x="126"/>
        <item m="1" x="347"/>
        <item m="1" x="377"/>
        <item m="1" x="397"/>
        <item m="1" x="409"/>
        <item m="1" x="1743"/>
        <item m="1" x="1962"/>
        <item m="1" x="368"/>
        <item m="1" x="505"/>
        <item m="1" x="971"/>
        <item m="1" x="1082"/>
        <item m="1" x="8"/>
        <item m="1" x="438"/>
        <item m="1" x="170"/>
        <item m="1" x="217"/>
        <item m="1" x="660"/>
        <item m="1" x="773"/>
        <item m="1" x="1218"/>
        <item m="1" x="1715"/>
        <item m="1" x="1877"/>
        <item m="1" x="1666"/>
        <item m="1" x="1881"/>
        <item m="1" x="745"/>
        <item m="1" x="2265"/>
        <item m="1" x="1152"/>
        <item m="1" x="2234"/>
        <item m="1" x="1222"/>
        <item m="1" x="1665"/>
        <item m="1" x="789"/>
        <item m="1" x="1704"/>
        <item m="1" x="571"/>
        <item m="1" x="909"/>
        <item m="1" x="1035"/>
        <item m="1" x="261"/>
        <item m="1" x="862"/>
        <item m="1" x="2374"/>
        <item m="1" x="1135"/>
        <item m="1" x="47"/>
        <item m="1" x="655"/>
        <item m="1" x="2272"/>
        <item m="1" x="105"/>
        <item m="1" x="2196"/>
        <item m="1" x="144"/>
        <item m="1" x="143"/>
        <item m="1" x="1138"/>
        <item m="1" x="685"/>
        <item m="1" x="1846"/>
        <item m="1" x="914"/>
        <item m="1" x="746"/>
        <item m="1" x="206"/>
        <item m="1" x="2323"/>
        <item m="1" x="2301"/>
        <item m="1" x="30"/>
        <item m="1" x="468"/>
        <item m="1" x="1193"/>
        <item m="1" x="2143"/>
        <item m="1" x="410"/>
        <item m="1" x="1952"/>
        <item m="1" x="139"/>
        <item m="1" x="578"/>
        <item m="1" x="2370"/>
        <item m="1" x="1819"/>
        <item m="1" x="458"/>
        <item m="1" x="487"/>
        <item m="1" x="1479"/>
        <item m="1" x="645"/>
        <item m="1" x="1160"/>
        <item m="1" x="1768"/>
        <item m="1" x="675"/>
        <item m="1" x="961"/>
        <item m="1" x="1186"/>
        <item m="1" x="2018"/>
        <item m="1" x="540"/>
        <item m="1" x="420"/>
        <item m="1" x="641"/>
        <item m="1" x="924"/>
        <item m="1" x="1539"/>
        <item m="1" x="544"/>
        <item m="1" x="988"/>
        <item m="1" x="1815"/>
        <item m="1" x="1215"/>
        <item m="1" x="328"/>
        <item m="1" x="1185"/>
        <item m="1" x="1395"/>
        <item m="1" x="1696"/>
        <item m="1" x="1753"/>
        <item m="1" x="907"/>
        <item m="1" x="1810"/>
        <item m="1" x="2155"/>
        <item m="1" x="603"/>
        <item m="1" x="1410"/>
        <item m="1" x="253"/>
        <item m="1" x="2089"/>
        <item m="1" x="372"/>
        <item m="1" x="209"/>
        <item m="1" x="2039"/>
        <item m="1" x="1712"/>
        <item m="1" x="263"/>
        <item m="1" x="710"/>
        <item m="1" x="938"/>
        <item m="1" x="1052"/>
        <item m="1" x="42"/>
        <item m="1" x="145"/>
        <item m="1" x="254"/>
        <item m="1" x="1404"/>
        <item m="1" x="631"/>
        <item m="1" x="1578"/>
        <item m="1" x="430"/>
        <item m="1" x="1358"/>
        <item m="1" x="387"/>
        <item m="1" x="1294"/>
        <item m="1" x="2324"/>
        <item m="1" x="1624"/>
        <item m="1" x="1840"/>
        <item m="1" x="2320"/>
        <item m="1" x="154"/>
        <item m="1" x="931"/>
        <item m="1" x="335"/>
        <item m="1" x="1284"/>
        <item m="1" x="1508"/>
        <item m="1" x="1728"/>
        <item m="1" x="493"/>
        <item m="1" x="110"/>
        <item m="1" x="329"/>
        <item m="1" x="553"/>
        <item m="1" x="715"/>
        <item m="1" x="569"/>
        <item m="1" x="1232"/>
        <item m="1" x="1303"/>
        <item m="1" x="1627"/>
        <item m="1" x="2070"/>
        <item m="1" x="242"/>
        <item m="1" x="1518"/>
        <item m="1" x="1144"/>
        <item m="1" x="2212"/>
        <item m="1" x="1470"/>
        <item m="1" x="1253"/>
        <item m="1" x="706"/>
        <item m="1" x="1707"/>
        <item m="1" x="1759"/>
        <item m="1" x="2328"/>
        <item m="1" x="2048"/>
        <item m="1" x="738"/>
        <item m="1" x="1464"/>
        <item m="1" x="1080"/>
        <item m="1" x="1524"/>
        <item m="1" x="806"/>
        <item m="1" x="2138"/>
        <item m="1" x="2361"/>
        <item m="1" x="417"/>
        <item m="1" x="2223"/>
        <item m="1" x="490"/>
        <item m="1" x="709"/>
        <item m="1" x="937"/>
        <item m="1" x="272"/>
        <item m="1" x="1676"/>
        <item m="1" x="1071"/>
        <item m="1" x="1287"/>
        <item m="1" x="836"/>
        <item m="1" x="1335"/>
        <item m="1" x="1561"/>
        <item m="1" x="1064"/>
        <item m="1" x="1775"/>
        <item m="1" x="790"/>
        <item m="1" x="2086"/>
        <item m="1" x="1916"/>
        <item m="1" x="2043"/>
        <item m="1" x="1745"/>
        <item m="1" x="1345"/>
        <item m="1" x="363"/>
        <item m="1" x="2092"/>
        <item m="1" x="1799"/>
        <item m="1" x="226"/>
        <item m="1" x="26"/>
        <item m="1" x="48"/>
        <item m="1" x="2309"/>
        <item m="1" x="697"/>
        <item m="1" x="127"/>
        <item m="1" x="348"/>
        <item m="1" x="158"/>
        <item m="1" x="2378"/>
        <item m="1" x="214"/>
        <item m="1" x="433"/>
        <item m="1" x="1587"/>
        <item m="1" x="1675"/>
        <item m="1" x="1891"/>
        <item m="1" x="2356"/>
        <item m="1" x="965"/>
        <item m="1" x="1359"/>
        <item m="1" x="1592"/>
        <item m="1" x="873"/>
        <item m="1" x="1862"/>
        <item m="1" x="1371"/>
        <item m="1" x="1968"/>
        <item m="1" x="1974"/>
        <item m="1" x="2146"/>
        <item m="1" x="2266"/>
        <item m="1" x="260"/>
        <item m="1" x="890"/>
        <item m="1" x="799"/>
        <item m="1" x="1543"/>
        <item m="1" x="1977"/>
        <item m="1" x="101"/>
        <item m="1" x="2360"/>
        <item m="1" x="1417"/>
        <item m="1" x="1859"/>
        <item m="1" x="1106"/>
        <item m="1" x="1654"/>
        <item m="1" x="594"/>
        <item m="1" x="1438"/>
        <item m="1" x="912"/>
        <item m="1" x="2254"/>
        <item m="1" x="1043"/>
        <item m="1" x="705"/>
        <item m="1" x="1653"/>
        <item m="1" x="1870"/>
        <item m="1" x="1943"/>
        <item m="1" x="1448"/>
        <item m="1" x="1674"/>
        <item m="1" x="728"/>
        <item m="1" x="1141"/>
        <item m="1" x="1352"/>
        <item m="1" x="1584"/>
        <item m="1" x="2125"/>
        <item m="1" x="1633"/>
        <item m="1" x="1151"/>
        <item m="1" x="2339"/>
        <item m="1" x="1635"/>
        <item m="1" x="1206"/>
        <item m="1" x="1571"/>
        <item m="1" x="1187"/>
        <item m="1" x="2093"/>
        <item m="1" x="992"/>
        <item m="1" x="1115"/>
        <item m="1" x="779"/>
        <item m="1" x="1441"/>
        <item m="1" x="1379"/>
        <item m="1" x="1225"/>
        <item m="1" x="1447"/>
        <item m="1" x="1670"/>
        <item m="1" x="296"/>
        <item m="1" x="744"/>
        <item m="1" x="136"/>
        <item m="1" x="275"/>
        <item m="1" x="1714"/>
        <item m="1" x="1929"/>
        <item m="1" x="659"/>
        <item m="1" x="441"/>
        <item m="1" x="718"/>
        <item m="1" x="1457"/>
        <item m="1" x="1041"/>
        <item m="1" x="1906"/>
        <item m="1" x="2127"/>
        <item m="1" x="2192"/>
        <item m="1" x="44"/>
        <item m="1" x="805"/>
        <item m="1" x="1249"/>
        <item m="1" x="2357"/>
        <item m="1" x="1765"/>
        <item m="1" x="1871"/>
        <item m="1" x="279"/>
        <item m="1" x="504"/>
        <item m="1" x="1016"/>
        <item m="1" x="1234"/>
        <item m="1" x="1459"/>
        <item m="1" x="473"/>
        <item m="1" x="1100"/>
        <item m="1" x="2099"/>
        <item m="1" x="7"/>
        <item m="1" x="108"/>
        <item m="1" x="877"/>
        <item m="1" x="1097"/>
        <item m="1" x="376"/>
        <item m="1" x="1012"/>
        <item m="1" x="1231"/>
        <item m="1" x="1450"/>
        <item m="1" x="294"/>
        <item m="1" x="521"/>
        <item m="1" x="1337"/>
        <item m="1" x="2347"/>
        <item m="1" x="750"/>
        <item m="1" x="1421"/>
        <item m="1" x="1513"/>
        <item m="1" x="1730"/>
        <item m="1" x="1948"/>
        <item m="1" x="1159"/>
        <item m="1" x="384"/>
        <item m="1" x="2353"/>
        <item m="1" x="181"/>
        <item m="1" x="406"/>
        <item m="1" x="973"/>
        <item m="1" x="1318"/>
        <item m="1" x="1542"/>
        <item m="1" x="1758"/>
        <item m="1" x="1976"/>
        <item m="1" x="2118"/>
        <item m="1" x="74"/>
        <item m="1" x="289"/>
        <item m="1" x="1594"/>
        <item m="1" x="1805"/>
        <item m="1" x="2033"/>
        <item m="1" x="2261"/>
        <item m="1" x="93"/>
        <item m="1" x="1940"/>
        <item m="1" x="400"/>
        <item m="1" x="620"/>
        <item m="1" x="1070"/>
        <item m="1" x="1711"/>
        <item m="1" x="1923"/>
        <item m="1" x="1606"/>
        <item m="1" x="1073"/>
        <item m="1" x="865"/>
        <item m="1" x="1367"/>
        <item m="1" x="1484"/>
        <item m="1" x="520"/>
        <item m="1" x="628"/>
        <item m="1" x="1851"/>
        <item m="1" x="801"/>
        <item m="1" x="313"/>
        <item m="1" x="886"/>
        <item m="1" x="995"/>
        <item m="1" x="1353"/>
        <item m="1" x="1103"/>
        <item m="1" x="2154"/>
        <item m="1" x="2377"/>
        <item m="1" x="213"/>
        <item m="1" x="887"/>
        <item m="1" x="1084"/>
        <item m="1" x="811"/>
        <item m="1" x="1486"/>
        <item m="1" x="1706"/>
        <item m="1" x="1922"/>
        <item m="1" x="1783"/>
        <item m="1" x="2006"/>
        <item m="1" x="2239"/>
        <item m="1" x="543"/>
        <item m="1" x="765"/>
        <item m="1" x="987"/>
        <item m="1" x="1047"/>
        <item m="1" x="54"/>
        <item m="1" x="492"/>
        <item m="1" x="2327"/>
        <item m="1" x="162"/>
        <item m="1" x="216"/>
        <item m="1" x="1823"/>
        <item m="1" x="334"/>
        <item m="1" x="169"/>
        <item m="1" x="1839"/>
        <item m="1" x="1679"/>
        <item m="1" x="1895"/>
        <item m="1" x="2121"/>
        <item m="1" x="1876"/>
        <item m="1" x="2103"/>
        <item m="1" x="1275"/>
        <item m="1" x="327"/>
        <item m="1" x="439"/>
        <item m="1" x="1217"/>
        <item m="1" x="60"/>
        <item m="1" x="168"/>
        <item m="1" x="563"/>
        <item m="1" x="1731"/>
        <item m="1" x="1949"/>
        <item m="1" x="1256"/>
        <item m="1" x="1370"/>
        <item m="1" x="2215"/>
        <item m="1" x="271"/>
        <item m="1" x="778"/>
        <item m="1" x="1030"/>
        <item m="1" x="1911"/>
        <item m="1" x="2137"/>
        <item m="1" x="2366"/>
        <item m="1" x="195"/>
        <item m="1" x="1602"/>
        <item m="1" x="2042"/>
        <item m="1" x="223"/>
        <item m="1" x="112"/>
        <item m="1" x="2065"/>
        <item m="1" x="2292"/>
        <item m="1" x="2211"/>
        <item m="1" x="100"/>
        <item m="1" x="157"/>
        <item m="1" x="1489"/>
        <item m="1" x="1029"/>
        <item m="1" x="1149"/>
        <item m="1" x="1248"/>
        <item m="1" x="2177"/>
        <item m="1" x="408"/>
        <item m="1" x="930"/>
        <item m="1" x="1045"/>
        <item m="1" x="360"/>
        <item m="1" x="954"/>
        <item m="1" x="1066"/>
        <item m="1" x="1947"/>
        <item m="1" x="1499"/>
        <item m="1" x="1009"/>
        <item m="1" x="20"/>
        <item m="1" x="229"/>
        <item m="1" x="454"/>
        <item m="1" x="1751"/>
        <item m="1" x="969"/>
        <item m="1" x="1315"/>
        <item m="1" x="96"/>
        <item m="1" x="759"/>
        <item m="1" x="568"/>
        <item m="1" x="1212"/>
        <item m="1" x="4"/>
        <item m="1" x="1112"/>
        <item m="1" x="2279"/>
        <item m="1" x="1060"/>
        <item m="1" x="251"/>
        <item m="1" x="1166"/>
        <item m="1" x="1348"/>
        <item m="1" x="132"/>
        <item m="1" x="1022"/>
        <item m="1" x="550"/>
        <item m="1" x="2332"/>
        <item m="1" x="1719"/>
        <item m="1" x="303"/>
        <item m="1" x="1399"/>
        <item m="1" x="794"/>
        <item m="1" x="374"/>
        <item m="1" x="951"/>
        <item m="1" x="2079"/>
        <item m="1" x="197"/>
        <item m="1" x="364"/>
        <item m="1" x="586"/>
        <item m="1" x="827"/>
        <item m="1" x="2219"/>
        <item m="1" x="2308"/>
        <item m="1" x="2307"/>
        <item m="1" x="2338"/>
        <item m="1" x="1912"/>
        <item m="1" x="177"/>
        <item m="1" x="315"/>
        <item m="1" x="899"/>
        <item m="1" x="1549"/>
        <item m="1" x="187"/>
        <item m="1" x="635"/>
        <item m="1" x="84"/>
        <item m="1" x="1749"/>
        <item m="1" x="533"/>
        <item m="1" x="2206"/>
        <item m="1" x="1058"/>
        <item m="1" x="1936"/>
        <item m="1" x="444"/>
        <item m="1" x="1598"/>
        <item m="1" x="830"/>
        <item m="1" x="1662"/>
        <item m="1" x="167"/>
        <item m="1" x="1494"/>
        <item m="1" x="1398"/>
        <item m="1" x="1147"/>
        <item m="1" x="2026"/>
        <item m="1" x="985"/>
        <item m="1" x="549"/>
        <item m="1" x="2277"/>
        <item m="1" x="776"/>
        <item m="1" x="1597"/>
        <item m="1" x="95"/>
        <item m="1" x="50"/>
        <item m="1" x="203"/>
        <item m="1" x="6"/>
        <item m="1" x="1230"/>
        <item m="1" x="1133"/>
        <item m="1" x="1078"/>
        <item m="1" x="1024"/>
        <item m="1" x="2209"/>
        <item m="1" x="534"/>
        <item m="1" x="1246"/>
        <item m="1" x="2237"/>
        <item m="1" x="1796"/>
        <item m="1" x="1433"/>
        <item m="1" x="497"/>
        <item m="1" x="1382"/>
        <item m="1" x="884"/>
        <item m="1" x="1331"/>
        <item m="1" x="1919"/>
        <item m="1" x="427"/>
        <item m="1" x="1764"/>
        <item m="1" x="532"/>
        <item m="1" x="1413"/>
        <item m="1" x="883"/>
        <item m="1" x="1782"/>
        <item m="1" x="286"/>
        <item m="1" x="741"/>
        <item m="1" x="1630"/>
        <item m="1" x="1260"/>
        <item m="1" x="1794"/>
        <item m="1" x="1648"/>
        <item m="1" x="237"/>
        <item m="1" x="2190"/>
        <item m="1" x="1832"/>
        <item m="1" x="304"/>
        <item m="1" x="2063"/>
        <item m="1" x="358"/>
        <item m="1" x="1415"/>
        <item m="1" x="1904"/>
        <item m="1" x="481"/>
        <item m="1" x="1434"/>
        <item m="1" x="1383"/>
        <item m="1" x="2150"/>
        <item m="1" x="1546"/>
        <item m="1" x="1646"/>
        <item m="1" x="1281"/>
        <item m="1" x="1565"/>
        <item m="1" x="934"/>
        <item m="1" x="1130"/>
        <item m="1" x="1644"/>
        <item m="1" x="1831"/>
        <item m="1" x="1830"/>
        <item m="1" x="18"/>
        <item m="1" x="1526"/>
        <item m="1" x="1038"/>
        <item m="1" x="321"/>
        <item m="1" x="793"/>
        <item m="1" x="33"/>
        <item m="1" x="917"/>
        <item m="1" x="775"/>
        <item m="1" x="1661"/>
        <item m="1" x="166"/>
        <item m="1" x="2097"/>
        <item m="1" x="1110"/>
        <item m="1" x="2227"/>
        <item m="1" x="2312"/>
        <item m="1" x="809"/>
        <item m="1" x="2189"/>
        <item m="1" x="633"/>
        <item m="1" x="2258"/>
        <item m="1" x="756"/>
        <item m="1" x="2205"/>
        <item m="1" x="701"/>
        <item m="1" x="1581"/>
        <item m="1" x="1314"/>
        <item m="1" x="3"/>
        <item m="1" x="1903"/>
        <item m="1" x="480"/>
        <item m="1" x="2259"/>
        <item m="1" x="2281"/>
        <item m="1" x="40"/>
        <item m="1" x="2003"/>
        <item m="1" x="1310"/>
        <item m="1" x="560"/>
        <item m="1" x="2191"/>
        <item m="1" x="2247"/>
        <item m="1" x="609"/>
        <item m="1" x="1534"/>
        <item m="1" x="196"/>
        <item m="1" x="1307"/>
        <item m="1" x="1695"/>
        <item m="1" x="1446"/>
        <item m="1" x="1669"/>
        <item m="1" x="365"/>
        <item m="1" x="1944"/>
        <item m="1" x="486"/>
        <item m="1" x="470"/>
        <item m="1" x="1311"/>
        <item m="1" x="1190"/>
        <item m="1" x="640"/>
        <item m="1" x="1967"/>
        <item m="1" x="1291"/>
        <item m="1" x="1966"/>
        <item m="1" x="99"/>
        <item m="1" x="2091"/>
        <item m="1" x="62"/>
        <item m="1" x="1385"/>
        <item m="1" x="336"/>
        <item m="1" x="1890"/>
        <item m="1" x="2175"/>
        <item m="1" x="2004"/>
        <item m="1" x="1852"/>
        <item m="1" x="1364"/>
        <item m="1" x="150"/>
        <item m="1" x="499"/>
        <item m="1" x="301"/>
        <item m="1" x="1495"/>
        <item m="1" x="671"/>
        <item m="1" x="1684"/>
        <item m="1" x="968"/>
        <item m="1" x="357"/>
        <item m="1" x="2132"/>
        <item m="1" x="1613"/>
        <item m="1" x="117"/>
        <item m="1" x="1699"/>
        <item m="1" x="199"/>
        <item m="1" x="234"/>
        <item m="1" x="1902"/>
        <item m="1" x="479"/>
        <item m="1" x="1362"/>
        <item m="1" x="547"/>
        <item m="1" x="994"/>
        <item m="1" x="1432"/>
        <item m="1" x="2330"/>
        <item m="1" x="548"/>
        <item m="1" x="1397"/>
        <item m="1" x="1718"/>
        <item m="1" x="846"/>
        <item m="1" x="1129"/>
        <item m="1" x="2010"/>
        <item m="1" x="1733"/>
        <item m="1" x="233"/>
        <item m="1" x="1361"/>
        <item m="1" x="755"/>
        <item m="1" x="1003"/>
        <item m="1" x="1884"/>
        <item m="1" x="391"/>
        <item m="1" x="1279"/>
        <item m="1" x="2168"/>
        <item m="1" x="669"/>
        <item m="1" x="412"/>
        <item m="1" x="1243"/>
        <item m="1" x="32"/>
        <item m="1" x="1313"/>
        <item m="1" x="2322"/>
        <item m="1" x="373"/>
        <item m="1" x="820"/>
        <item m="1" x="488"/>
        <item m="1" x="1373"/>
        <item m="1" x="2268"/>
        <item m="1" x="319"/>
        <item m="1" x="1210"/>
        <item m="1" x="1656"/>
        <item m="1" x="2095"/>
        <item m="1" x="1926"/>
        <item m="1" x="1163"/>
        <item m="1" x="1603"/>
        <item m="1" x="107"/>
        <item m="1" x="2329"/>
        <item m="1" x="619"/>
        <item m="1" x="1436"/>
        <item m="1" x="306"/>
        <item m="1" x="1341"/>
        <item m="1" x="850"/>
        <item m="1" x="2181"/>
        <item m="1" x="2291"/>
        <item m="1" x="1132"/>
        <item m="1" x="1456"/>
        <item m="1" x="2064"/>
        <item m="1" x="1678"/>
        <item m="1" x="2182"/>
        <item m="1" x="22"/>
        <item m="1" x="125"/>
        <item m="1" x="681"/>
        <item m="1" x="1677"/>
        <item m="1" x="2238"/>
        <item m="1" x="73"/>
        <item m="1" x="1570"/>
        <item m="1" x="1072"/>
        <item m="1" x="2351"/>
        <item m="1" x="179"/>
        <item m="1" x="1894"/>
        <item m="1" x="2005"/>
        <item m="1" x="2120"/>
        <item m="1" x="622"/>
        <item m="1" x="788"/>
        <item m="1" x="908"/>
        <item m="1" x="510"/>
        <item m="1" x="959"/>
        <item m="1" x="1394"/>
        <item m="1" x="1515"/>
        <item m="1" x="1458"/>
        <item m="1" x="180"/>
        <item m="1" x="1516"/>
        <item m="1" x="2067"/>
        <item m="1" x="1950"/>
        <item m="1" x="1233"/>
        <item m="1" x="623"/>
        <item m="1" x="1290"/>
        <item m="1" x="1838"/>
        <item m="1" x="1015"/>
        <item m="1" x="78"/>
        <item m="1" x="291"/>
        <item m="1" x="518"/>
        <item m="1" x="2014"/>
        <item m="1" x="2352"/>
        <item m="1" x="735"/>
        <item m="1" x="1400"/>
        <item m="1" x="2241"/>
        <item m="1" x="405"/>
        <item m="1" x="1625"/>
        <item m="1" x="1951"/>
        <item m="1" x="288"/>
        <item m="1" x="1735"/>
        <item m="1" x="1842"/>
        <item m="1" x="404"/>
        <item m="1" x="1622"/>
        <item m="1" x="570"/>
        <item m="1" x="1333"/>
        <item m="1" x="732"/>
        <item m="1" x="851"/>
        <item m="1" x="963"/>
        <item m="1" x="236"/>
        <item m="1" x="346"/>
        <item m="1" x="455"/>
        <item m="1" x="1237"/>
        <item m="1" x="1461"/>
        <item m="1" x="1575"/>
        <item m="1" x="682"/>
        <item m="1" x="23"/>
        <item m="1" x="128"/>
        <item m="1" x="350"/>
        <item m="1" x="69"/>
        <item m="1" x="463"/>
        <item m="1" x="292"/>
        <item m="1" x="853"/>
        <item m="1" x="964"/>
        <item m="1" x="407"/>
        <item m="1" x="1077"/>
        <item m="1" x="1897"/>
        <item m="1" x="2015"/>
        <item m="1" x="2354"/>
        <item m="1" x="627"/>
        <item m="1" x="736"/>
        <item m="1" x="519"/>
        <item m="1" x="186"/>
        <item m="1" x="1401"/>
        <item m="1" x="2298"/>
        <item m="1" x="239"/>
        <item m="1" x="796"/>
        <item m="1" x="2365"/>
        <item m="1" x="2207"/>
        <item m="1" x="1887"/>
        <item m="1" x="1957"/>
        <item m="1" x="2068"/>
        <item m="1" x="1785"/>
        <item m="1" x="1520"/>
        <item m="1" x="1626"/>
        <item m="1" x="2124"/>
        <item m="1" x="2242"/>
        <item m="1" x="1737"/>
        <item m="1" x="1843"/>
        <item m="1" x="1685"/>
        <item m="1" x="911"/>
        <item m="1" x="1018"/>
        <item m="1" x="1136"/>
        <item m="1" x="1789"/>
        <item m="1" x="1238"/>
        <item m="1" x="1349"/>
        <item m="1" x="1462"/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2"/>
    <field x="5"/>
    <field x="7"/>
    <field x="11"/>
    <field x="17"/>
  </rowFields>
  <rowItems count="6">
    <i>
      <x v="28"/>
    </i>
    <i r="1">
      <x v="2"/>
    </i>
    <i r="2">
      <x v="210"/>
    </i>
    <i r="3">
      <x v="8"/>
    </i>
    <i r="4">
      <x v="3019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8">
    <pageField fld="0" hier="-1"/>
    <pageField fld="3" hier="-1"/>
    <pageField fld="1" hier="-1"/>
    <pageField fld="6" hier="-1"/>
    <pageField fld="8" hier="-1"/>
    <pageField fld="13" hier="-1"/>
    <pageField fld="12" hier="-1"/>
    <pageField fld="14" hier="-1"/>
  </pageFields>
  <dataFields count="18">
    <dataField name="Progress" fld="45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48" baseField="5" baseItem="37" numFmtId="9"/>
    <dataField name="Planned" fld="34" baseField="0" baseItem="0" numFmtId="167"/>
    <dataField name="Planned%" fld="47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46" baseField="0" baseItem="0" numFmtId="169"/>
    <dataField name="_Wrong Worklog" fld="24" subtotal="max" baseField="5" baseItem="8" numFmtId="167"/>
    <dataField name="Bug Estimate" fld="43" baseField="5" baseItem="8" numFmtId="167"/>
    <dataField name="Bug Worklog" fld="44" baseField="5" baseItem="8" numFmtId="167"/>
  </dataFields>
  <formats count="23">
    <format dxfId="181">
      <pivotArea field="22" type="button" dataOnly="0" labelOnly="1" outline="0" axis="axisRow" fieldPosition="0"/>
    </format>
    <format dxfId="18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7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77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76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75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72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71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68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67">
      <pivotArea outline="0" fieldPosition="0">
        <references count="1">
          <reference field="4294967294" count="1">
            <x v="14"/>
          </reference>
        </references>
      </pivotArea>
    </format>
    <format dxfId="16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65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6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63">
      <pivotArea outline="0" fieldPosition="0">
        <references count="1">
          <reference field="4294967294" count="1">
            <x v="12"/>
          </reference>
        </references>
      </pivotArea>
    </format>
    <format dxfId="162">
      <pivotArea outline="0" fieldPosition="0">
        <references count="1">
          <reference field="4294967294" count="1">
            <x v="12"/>
          </reference>
        </references>
      </pivotArea>
    </format>
    <format dxfId="16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60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59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emandsByStatus" cacheId="2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5:C8" firstHeaderRow="1" firstDataRow="2" firstDataCol="1" rowPageCount="2" colPageCount="1"/>
  <pivotFields count="46">
    <pivotField axis="axisPage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/>
    </i>
    <i t="grand">
      <x/>
    </i>
  </rowItems>
  <colFields count="1">
    <field x="13"/>
  </colFields>
  <colItems count="2">
    <i>
      <x/>
    </i>
    <i t="grand">
      <x/>
    </i>
  </colItems>
  <pageFields count="2">
    <pageField fld="0" hier="-1"/>
    <pageField fld="2" hier="-1"/>
  </pageFields>
  <dataFields count="1">
    <dataField name="Contagem de SUBTASK_FULL_DESCRIPTION" fld="17" subtotal="count" baseField="0" baseItem="0"/>
  </dataFields>
  <formats count="4">
    <format dxfId="158">
      <pivotArea outline="0" collapsedLevelsAreSubtotals="1" fieldPosition="0"/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type="topRight" dataOnly="0" labelOnly="1" outline="0" fieldPosition="0"/>
    </format>
    <format dxfId="155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Gantt" cacheId="30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3">
        <item m="1" x="29"/>
        <item sd="0" m="1" x="22"/>
        <item sd="0" m="1" x="4"/>
        <item m="1" x="37"/>
        <item m="1" x="50"/>
        <item x="0"/>
        <item m="1" x="5"/>
        <item m="1" x="56"/>
        <item m="1" x="27"/>
        <item m="1" x="48"/>
        <item m="1" x="38"/>
        <item m="1" x="6"/>
        <item m="1" x="7"/>
        <item m="1" x="52"/>
        <item m="1" x="43"/>
        <item m="1" x="8"/>
        <item m="1" x="47"/>
        <item m="1" x="46"/>
        <item m="1" x="14"/>
        <item m="1" x="17"/>
        <item m="1" x="59"/>
        <item m="1" x="51"/>
        <item m="1" x="21"/>
        <item m="1" x="32"/>
        <item m="1" x="33"/>
        <item m="1" x="20"/>
        <item m="1" x="36"/>
        <item m="1" x="62"/>
        <item m="1" x="57"/>
        <item m="1" x="30"/>
        <item m="1" x="25"/>
        <item m="1" x="58"/>
        <item m="1" x="11"/>
        <item m="1" x="49"/>
        <item m="1" x="61"/>
        <item m="1" x="35"/>
        <item m="1" x="28"/>
        <item m="1" x="54"/>
        <item m="1" x="44"/>
        <item m="1" x="2"/>
        <item m="1" x="12"/>
        <item m="1" x="39"/>
        <item m="1" x="9"/>
        <item m="1" x="40"/>
        <item m="1" x="3"/>
        <item m="1" x="26"/>
        <item m="1" x="53"/>
        <item m="1" x="23"/>
        <item m="1" x="24"/>
        <item m="1" x="16"/>
        <item m="1" x="60"/>
        <item sd="0" m="1" x="41"/>
        <item sd="0" m="1" x="1"/>
        <item sd="0" m="1" x="19"/>
        <item m="1" x="15"/>
        <item sd="0" m="1" x="13"/>
        <item sd="0" m="1" x="18"/>
        <item sd="0" m="1" x="10"/>
        <item sd="0" m="1" x="55"/>
        <item sd="0" m="1" x="45"/>
        <item m="1" x="34"/>
        <item sd="0" m="1" x="42"/>
        <item sd="0" m="1" x="31"/>
      </items>
    </pivotField>
    <pivotField axis="axisRow" showAll="0" sortType="ascending" defaultSubtotal="0">
      <items count="418">
        <item m="1" x="61"/>
        <item m="1" x="42"/>
        <item m="1" x="357"/>
        <item m="1" x="215"/>
        <item m="1" x="375"/>
        <item m="1" x="364"/>
        <item m="1" x="52"/>
        <item m="1" x="413"/>
        <item m="1" x="17"/>
        <item m="1" x="196"/>
        <item m="1" x="319"/>
        <item m="1" x="414"/>
        <item m="1" x="197"/>
        <item m="1" x="134"/>
        <item m="1" x="239"/>
        <item m="1" x="381"/>
        <item m="1" x="412"/>
        <item m="1" x="296"/>
        <item m="1" x="230"/>
        <item m="1" x="394"/>
        <item m="1" x="315"/>
        <item m="1" x="82"/>
        <item m="1" x="232"/>
        <item m="1" x="132"/>
        <item m="1" x="85"/>
        <item m="1" x="407"/>
        <item m="1" x="310"/>
        <item m="1" x="180"/>
        <item m="1" x="332"/>
        <item m="1" x="218"/>
        <item m="1" x="185"/>
        <item m="1" x="221"/>
        <item m="1" x="160"/>
        <item m="1" x="157"/>
        <item m="1" x="410"/>
        <item m="1" x="146"/>
        <item m="1" x="81"/>
        <item m="1" x="362"/>
        <item m="1" x="189"/>
        <item m="1" x="346"/>
        <item m="1" x="392"/>
        <item m="1" x="108"/>
        <item m="1" x="151"/>
        <item m="1" x="177"/>
        <item m="1" x="73"/>
        <item m="1" x="402"/>
        <item m="1" x="35"/>
        <item m="1" x="69"/>
        <item m="1" x="387"/>
        <item m="1" x="228"/>
        <item m="1" x="263"/>
        <item m="1" x="312"/>
        <item m="1" x="262"/>
        <item m="1" x="175"/>
        <item m="1" x="172"/>
        <item m="1" x="344"/>
        <item m="1" x="350"/>
        <item m="1" x="207"/>
        <item m="1" x="83"/>
        <item m="1" x="403"/>
        <item m="1" x="195"/>
        <item m="1" x="267"/>
        <item m="1" x="40"/>
        <item m="1" x="212"/>
        <item m="1" x="210"/>
        <item m="1" x="223"/>
        <item m="1" x="416"/>
        <item m="1" x="291"/>
        <item m="1" x="297"/>
        <item m="1" x="316"/>
        <item m="1" x="274"/>
        <item m="1" x="258"/>
        <item m="1" x="22"/>
        <item m="1" x="86"/>
        <item m="1" x="168"/>
        <item m="1" x="199"/>
        <item m="1" x="339"/>
        <item m="1" x="13"/>
        <item m="1" x="264"/>
        <item m="1" x="110"/>
        <item m="1" x="24"/>
        <item m="1" x="379"/>
        <item m="1" x="131"/>
        <item m="1" x="190"/>
        <item m="1" x="370"/>
        <item m="1" x="109"/>
        <item m="1" x="97"/>
        <item m="1" x="275"/>
        <item m="1" x="37"/>
        <item m="1" x="75"/>
        <item m="1" x="21"/>
        <item m="1" x="80"/>
        <item m="1" x="66"/>
        <item m="1" x="363"/>
        <item m="1" x="90"/>
        <item m="1" x="1"/>
        <item m="1" x="38"/>
        <item m="1" x="95"/>
        <item m="1" x="257"/>
        <item m="1" x="226"/>
        <item m="1" x="170"/>
        <item m="1" x="299"/>
        <item m="1" x="39"/>
        <item m="1" x="18"/>
        <item m="1" x="213"/>
        <item m="1" x="361"/>
        <item m="1" x="54"/>
        <item m="1" x="254"/>
        <item m="1" x="368"/>
        <item m="1" x="290"/>
        <item m="1" x="229"/>
        <item m="1" x="313"/>
        <item m="1" x="343"/>
        <item m="1" x="236"/>
        <item m="1" x="222"/>
        <item m="1" x="307"/>
        <item m="1" x="317"/>
        <item m="1" x="164"/>
        <item m="1" x="25"/>
        <item m="1" x="121"/>
        <item m="1" x="336"/>
        <item m="1" x="32"/>
        <item m="1" x="150"/>
        <item m="1" x="252"/>
        <item m="1" x="106"/>
        <item m="1" x="16"/>
        <item m="1" x="149"/>
        <item m="1" x="64"/>
        <item m="1" x="50"/>
        <item m="1" x="284"/>
        <item m="1" x="354"/>
        <item m="1" x="318"/>
        <item m="1" x="289"/>
        <item m="1" x="153"/>
        <item m="1" x="104"/>
        <item m="1" x="256"/>
        <item m="1" x="401"/>
        <item m="1" x="201"/>
        <item m="1" x="139"/>
        <item m="1" x="279"/>
        <item m="1" x="6"/>
        <item m="1" x="342"/>
        <item m="1" x="224"/>
        <item m="1" x="128"/>
        <item m="1" x="240"/>
        <item m="1" x="44"/>
        <item m="1" x="11"/>
        <item m="1" x="14"/>
        <item m="1" x="8"/>
        <item sd="0" m="1" x="349"/>
        <item sd="0" m="1" x="27"/>
        <item sd="0" m="1" x="373"/>
        <item sd="0" m="1" x="135"/>
        <item sd="0" m="1" x="78"/>
        <item sd="0" m="1" x="193"/>
        <item sd="0" m="1" x="409"/>
        <item sd="0" m="1" x="244"/>
        <item sd="0" m="1" x="56"/>
        <item sd="0" m="1" x="249"/>
        <item m="1" x="372"/>
        <item m="1" x="181"/>
        <item sd="0" m="1" x="105"/>
        <item sd="0" m="1" x="329"/>
        <item m="1" x="272"/>
        <item m="1" x="411"/>
        <item m="1" x="227"/>
        <item sd="0" m="1" x="369"/>
        <item m="1" x="77"/>
        <item m="1" x="237"/>
        <item m="1" x="115"/>
        <item m="1" x="417"/>
        <item m="1" x="333"/>
        <item sd="0" m="1" x="359"/>
        <item m="1" x="301"/>
        <item m="1" x="127"/>
        <item sd="0" m="1" x="59"/>
        <item m="1" x="273"/>
        <item m="1" x="103"/>
        <item m="1" x="220"/>
        <item sd="0" m="1" x="30"/>
        <item m="1" x="367"/>
        <item m="1" x="250"/>
        <item m="1" x="124"/>
        <item sd="0" m="1" x="49"/>
        <item m="1" x="233"/>
        <item m="1" x="130"/>
        <item sd="0" m="1" x="107"/>
        <item m="1" x="314"/>
        <item m="1" x="143"/>
        <item sd="0" m="1" x="320"/>
        <item m="1" x="214"/>
        <item m="1" x="12"/>
        <item sd="0" m="1" x="57"/>
        <item m="1" x="305"/>
        <item m="1" x="198"/>
        <item m="1" x="366"/>
        <item m="1" x="216"/>
        <item m="1" x="225"/>
        <item m="1" x="331"/>
        <item m="1" x="321"/>
        <item m="1" x="287"/>
        <item m="1" x="242"/>
        <item m="1" x="219"/>
        <item m="1" x="76"/>
        <item m="1" x="200"/>
        <item m="1" x="400"/>
        <item m="1" x="388"/>
        <item m="1" x="391"/>
        <item m="1" x="118"/>
        <item m="1" x="251"/>
        <item m="1" x="282"/>
        <item m="1" x="399"/>
        <item m="1" x="293"/>
        <item m="1" x="43"/>
        <item m="1" x="304"/>
        <item m="1" x="15"/>
        <item m="1" x="383"/>
        <item m="1" x="5"/>
        <item m="1" x="340"/>
        <item m="1" x="129"/>
        <item m="1" x="406"/>
        <item m="1" x="266"/>
        <item m="1" x="122"/>
        <item m="1" x="10"/>
        <item m="1" x="41"/>
        <item m="1" x="204"/>
        <item m="1" x="144"/>
        <item m="1" x="161"/>
        <item m="1" x="138"/>
        <item m="1" x="269"/>
        <item m="1" x="91"/>
        <item m="1" x="206"/>
        <item m="1" x="358"/>
        <item m="1" x="51"/>
        <item m="1" x="338"/>
        <item m="1" x="87"/>
        <item m="1" x="345"/>
        <item m="1" x="380"/>
        <item m="1" x="271"/>
        <item m="1" x="126"/>
        <item m="1" x="278"/>
        <item m="1" x="324"/>
        <item m="1" x="23"/>
        <item m="1" x="405"/>
        <item m="1" x="72"/>
        <item m="1" x="385"/>
        <item m="1" x="234"/>
        <item m="1" x="111"/>
        <item m="1" x="165"/>
        <item m="1" x="184"/>
        <item m="1" x="209"/>
        <item m="1" x="120"/>
        <item m="1" x="63"/>
        <item m="1" x="322"/>
        <item m="1" x="142"/>
        <item m="1" x="205"/>
        <item m="1" x="101"/>
        <item m="1" x="286"/>
        <item m="1" x="203"/>
        <item m="1" x="102"/>
        <item m="1" x="351"/>
        <item m="1" x="145"/>
        <item m="1" x="60"/>
        <item m="1" x="302"/>
        <item m="1" x="397"/>
        <item m="1" x="303"/>
        <item m="1" x="281"/>
        <item m="1" x="171"/>
        <item m="1" x="231"/>
        <item m="1" x="288"/>
        <item m="1" x="334"/>
        <item m="1" x="173"/>
        <item m="1" x="70"/>
        <item m="1" x="330"/>
        <item m="1" x="253"/>
        <item m="1" x="327"/>
        <item m="1" x="155"/>
        <item m="1" x="238"/>
        <item m="1" x="384"/>
        <item m="1" x="62"/>
        <item m="1" x="353"/>
        <item m="1" x="280"/>
        <item m="1" x="68"/>
        <item m="1" x="31"/>
        <item m="1" x="98"/>
        <item m="1" x="65"/>
        <item m="1" x="211"/>
        <item m="1" x="20"/>
        <item m="1" x="261"/>
        <item m="1" x="47"/>
        <item m="1" x="355"/>
        <item m="1" x="408"/>
        <item m="1" x="348"/>
        <item m="1" x="88"/>
        <item m="1" x="162"/>
        <item m="1" x="55"/>
        <item m="1" x="148"/>
        <item m="1" x="136"/>
        <item m="1" x="194"/>
        <item m="1" x="141"/>
        <item m="1" x="89"/>
        <item m="1" x="48"/>
        <item m="1" x="113"/>
        <item m="1" x="112"/>
        <item m="1" x="71"/>
        <item m="1" x="335"/>
        <item m="1" x="259"/>
        <item m="1" x="356"/>
        <item m="1" x="156"/>
        <item m="1" x="300"/>
        <item m="1" x="26"/>
        <item m="1" x="309"/>
        <item m="1" x="311"/>
        <item m="1" x="7"/>
        <item m="1" x="167"/>
        <item m="1" x="100"/>
        <item m="1" x="188"/>
        <item m="1" x="178"/>
        <item m="1" x="404"/>
        <item m="1" x="33"/>
        <item m="1" x="377"/>
        <item m="1" x="283"/>
        <item m="1" x="191"/>
        <item m="1" x="202"/>
        <item m="1" x="9"/>
        <item m="1" x="398"/>
        <item m="1" x="371"/>
        <item m="1" x="276"/>
        <item m="1" x="53"/>
        <item m="1" x="255"/>
        <item m="1" x="94"/>
        <item sd="0" m="1" x="28"/>
        <item m="1" x="29"/>
        <item sd="0" m="1" x="133"/>
        <item m="1" x="395"/>
        <item m="1" x="182"/>
        <item m="1" x="186"/>
        <item sd="0" m="1" x="270"/>
        <item m="1" x="114"/>
        <item m="1" x="241"/>
        <item sd="0" m="1" x="2"/>
        <item m="1" x="378"/>
        <item m="1" x="390"/>
        <item sd="0" m="1" x="137"/>
        <item m="1" x="415"/>
        <item m="1" x="58"/>
        <item m="1" x="99"/>
        <item m="1" x="187"/>
        <item m="1" x="79"/>
        <item sd="0" m="1" x="268"/>
        <item sd="0" m="1" x="217"/>
        <item m="1" x="295"/>
        <item sd="0" m="1" x="243"/>
        <item m="1" x="341"/>
        <item sd="0" m="1" x="393"/>
        <item sd="0" m="1" x="96"/>
        <item sd="0" m="1" x="248"/>
        <item sd="0" m="1" x="119"/>
        <item m="1" x="123"/>
        <item sd="0" m="1" x="347"/>
        <item sd="0" m="1" x="92"/>
        <item m="1" x="176"/>
        <item m="1" x="166"/>
        <item sd="0" m="1" x="19"/>
        <item m="1" x="365"/>
        <item sd="0" m="1" x="192"/>
        <item m="1" x="154"/>
        <item m="1" x="325"/>
        <item m="1" x="159"/>
        <item m="1" x="389"/>
        <item m="1" x="174"/>
        <item m="1" x="45"/>
        <item m="1" x="158"/>
        <item m="1" x="4"/>
        <item m="1" x="208"/>
        <item m="1" x="235"/>
        <item m="1" x="265"/>
        <item m="1" x="326"/>
        <item m="1" x="246"/>
        <item m="1" x="292"/>
        <item m="1" x="163"/>
        <item m="1" x="277"/>
        <item m="1" x="84"/>
        <item m="1" x="93"/>
        <item m="1" x="74"/>
        <item m="1" x="328"/>
        <item m="1" x="46"/>
        <item m="1" x="396"/>
        <item m="1" x="306"/>
        <item m="1" x="125"/>
        <item m="1" x="298"/>
        <item m="1" x="116"/>
        <item m="1" x="183"/>
        <item m="1" x="179"/>
        <item m="1" x="294"/>
        <item m="1" x="323"/>
        <item m="1" x="3"/>
        <item m="1" x="376"/>
        <item m="1" x="140"/>
        <item m="1" x="382"/>
        <item m="1" x="386"/>
        <item m="1" x="245"/>
        <item m="1" x="169"/>
        <item m="1" x="67"/>
        <item m="1" x="147"/>
        <item m="1" x="285"/>
        <item m="1" x="36"/>
        <item m="1" x="117"/>
        <item m="1" x="152"/>
        <item m="1" x="260"/>
        <item m="1" x="247"/>
        <item m="1" x="374"/>
        <item m="1" x="360"/>
        <item m="1" x="34"/>
        <item m="1" x="308"/>
        <item m="1" x="337"/>
        <item m="1" x="352"/>
        <item x="0"/>
      </items>
    </pivotField>
    <pivotField axis="axisRow" showAll="0" defaultSubtotal="0">
      <items count="1026">
        <item m="1" x="141"/>
        <item m="1" x="96"/>
        <item m="1" x="550"/>
        <item m="1" x="234"/>
        <item sd="0" m="1" x="597"/>
        <item m="1" x="175"/>
        <item m="1" x="400"/>
        <item m="1" x="406"/>
        <item m="1" x="656"/>
        <item m="1" x="76"/>
        <item m="1" x="39"/>
        <item m="1" x="327"/>
        <item m="1" x="834"/>
        <item m="1" x="518"/>
        <item m="1" x="929"/>
        <item m="1" x="328"/>
        <item m="1" x="505"/>
        <item m="1" x="329"/>
        <item sd="0" m="1" x="57"/>
        <item m="1" x="408"/>
        <item m="1" x="80"/>
        <item m="1" x="64"/>
        <item m="1" x="786"/>
        <item m="1" x="593"/>
        <item m="1" x="67"/>
        <item m="1" x="75"/>
        <item m="1" x="587"/>
        <item m="1" x="605"/>
        <item m="1" x="208"/>
        <item m="1" x="145"/>
        <item m="1" x="723"/>
        <item m="1" x="506"/>
        <item x="0"/>
        <item m="1" x="242"/>
        <item m="1" x="925"/>
        <item m="1" x="77"/>
        <item m="1" x="45"/>
        <item m="1" x="219"/>
        <item m="1" x="143"/>
        <item m="1" x="9"/>
        <item m="1" x="147"/>
        <item m="1" x="452"/>
        <item m="1" x="13"/>
        <item m="1" x="716"/>
        <item m="1" x="680"/>
        <item m="1" x="239"/>
        <item m="1" x="1"/>
        <item m="1" x="360"/>
        <item m="1" x="18"/>
        <item m="1" x="430"/>
        <item m="1" x="131"/>
        <item m="1" x="918"/>
        <item m="1" x="976"/>
        <item m="1" x="367"/>
        <item m="1" x="258"/>
        <item m="1" x="228"/>
        <item m="1" x="347"/>
        <item m="1" x="940"/>
        <item m="1" x="1014"/>
        <item m="1" x="498"/>
        <item m="1" x="324"/>
        <item m="1" x="429"/>
        <item m="1" x="139"/>
        <item m="1" x="802"/>
        <item m="1" x="941"/>
        <item m="1" x="794"/>
        <item m="1" x="525"/>
        <item m="1" x="415"/>
        <item m="1" x="568"/>
        <item m="1" x="704"/>
        <item m="1" x="833"/>
        <item m="1" x="924"/>
        <item m="1" x="904"/>
        <item m="1" x="356"/>
        <item m="1" x="543"/>
        <item m="1" x="819"/>
        <item m="1" x="591"/>
        <item m="1" x="220"/>
        <item m="1" x="204"/>
        <item m="1" x="751"/>
        <item m="1" x="272"/>
        <item m="1" x="681"/>
        <item m="1" x="321"/>
        <item m="1" x="632"/>
        <item m="1" x="182"/>
        <item m="1" x="201"/>
        <item m="1" x="424"/>
        <item m="1" x="930"/>
        <item m="1" x="164"/>
        <item m="1" x="721"/>
        <item m="1" x="333"/>
        <item m="1" x="687"/>
        <item m="1" x="793"/>
        <item m="1" x="881"/>
        <item m="1" x="510"/>
        <item m="1" x="582"/>
        <item m="1" x="5"/>
        <item m="1" x="247"/>
        <item m="1" x="135"/>
        <item m="1" x="567"/>
        <item m="1" x="703"/>
        <item m="1" x="972"/>
        <item m="1" x="281"/>
        <item m="1" x="898"/>
        <item m="1" x="743"/>
        <item m="1" x="269"/>
        <item m="1" x="750"/>
        <item m="1" x="372"/>
        <item m="1" x="381"/>
        <item m="1" x="22"/>
        <item m="1" x="134"/>
        <item m="1" x="171"/>
        <item m="1" x="245"/>
        <item m="1" x="106"/>
        <item m="1" x="320"/>
        <item m="1" x="611"/>
        <item m="1" x="374"/>
        <item m="1" x="565"/>
        <item m="1" x="999"/>
        <item m="1" x="172"/>
        <item m="1" x="401"/>
        <item m="1" x="939"/>
        <item m="1" x="492"/>
        <item m="1" x="963"/>
        <item m="1" x="450"/>
        <item m="1" x="451"/>
        <item m="1" x="535"/>
        <item m="1" x="967"/>
        <item m="1" x="903"/>
        <item m="1" x="863"/>
        <item m="1" x="660"/>
        <item m="1" x="74"/>
        <item m="1" x="647"/>
        <item m="1" x="818"/>
        <item m="1" x="590"/>
        <item m="1" x="996"/>
        <item m="1" x="635"/>
        <item m="1" x="437"/>
        <item m="1" x="203"/>
        <item m="1" x="761"/>
        <item m="1" x="546"/>
        <item m="1" x="6"/>
        <item m="1" x="737"/>
        <item m="1" x="33"/>
        <item m="1" x="562"/>
        <item m="1" x="526"/>
        <item m="1" x="238"/>
        <item m="1" x="428"/>
        <item m="1" x="938"/>
        <item m="1" x="194"/>
        <item m="1" x="734"/>
        <item m="1" x="861"/>
        <item m="1" x="733"/>
        <item m="1" x="184"/>
        <item m="1" x="932"/>
        <item m="1" x="115"/>
        <item m="1" x="757"/>
        <item m="1" x="470"/>
        <item m="1" x="851"/>
        <item m="1" x="299"/>
        <item m="1" x="668"/>
        <item m="1" x="10"/>
        <item m="1" x="724"/>
        <item m="1" x="725"/>
        <item m="1" x="662"/>
        <item m="1" x="686"/>
        <item m="1" x="330"/>
        <item m="1" x="788"/>
        <item m="1" x="289"/>
        <item m="1" x="789"/>
        <item m="1" x="25"/>
        <item m="1" x="375"/>
        <item m="1" x="1015"/>
        <item m="1" x="612"/>
        <item m="1" x="694"/>
        <item m="1" x="832"/>
        <item m="1" x="997"/>
        <item m="1" x="68"/>
        <item m="1" x="103"/>
        <item m="1" x="824"/>
        <item m="1" x="101"/>
        <item m="1" x="376"/>
        <item m="1" x="66"/>
        <item m="1" x="840"/>
        <item m="1" x="934"/>
        <item m="1" x="527"/>
        <item m="1" x="627"/>
        <item m="1" x="371"/>
        <item m="1" x="537"/>
        <item m="1" x="685"/>
        <item m="1" x="459"/>
        <item m="1" x="684"/>
        <item m="1" x="85"/>
        <item m="1" x="166"/>
        <item m="1" x="446"/>
        <item m="1" x="7"/>
        <item m="1" x="693"/>
        <item m="1" x="62"/>
        <item m="1" x="162"/>
        <item m="1" x="366"/>
        <item m="1" x="416"/>
        <item m="1" x="319"/>
        <item m="1" x="507"/>
        <item m="1" x="283"/>
        <item m="1" x="51"/>
        <item m="1" x="422"/>
        <item m="1" x="434"/>
        <item m="1" x="534"/>
        <item m="1" x="154"/>
        <item m="1" x="756"/>
        <item m="1" x="609"/>
        <item m="1" x="291"/>
        <item m="1" x="100"/>
        <item m="1" x="566"/>
        <item m="1" x="28"/>
        <item m="1" x="61"/>
        <item m="1" x="836"/>
        <item m="1" x="803"/>
        <item m="1" x="948"/>
        <item m="1" x="962"/>
        <item m="1" x="15"/>
        <item m="1" x="708"/>
        <item m="1" x="191"/>
        <item m="1" x="463"/>
        <item m="1" x="965"/>
        <item m="1" x="129"/>
        <item m="1" x="297"/>
        <item m="1" x="489"/>
        <item m="1" x="200"/>
        <item m="1" x="875"/>
        <item m="1" x="479"/>
        <item m="1" x="785"/>
        <item m="1" x="570"/>
        <item m="1" x="34"/>
        <item m="1" x="438"/>
        <item m="1" x="1002"/>
        <item m="1" x="119"/>
        <item m="1" x="774"/>
        <item m="1" x="968"/>
        <item m="1" x="359"/>
        <item m="1" x="811"/>
        <item m="1" x="351"/>
        <item m="1" x="659"/>
        <item m="1" x="44"/>
        <item m="1" x="795"/>
        <item m="1" x="830"/>
        <item m="1" x="643"/>
        <item m="1" x="230"/>
        <item m="1" x="79"/>
        <item m="1" x="205"/>
        <item m="1" x="1011"/>
        <item m="1" x="63"/>
        <item m="1" x="914"/>
        <item m="1" x="645"/>
        <item m="1" x="380"/>
        <item m="1" x="14"/>
        <item m="1" x="56"/>
        <item m="1" x="157"/>
        <item m="1" x="701"/>
        <item m="1" x="32"/>
        <item m="1" x="173"/>
        <item m="1" x="980"/>
        <item m="1" x="781"/>
        <item m="1" x="663"/>
        <item m="1" x="513"/>
        <item m="1" x="116"/>
        <item m="1" x="388"/>
        <item m="1" x="293"/>
        <item m="1" x="107"/>
        <item m="1" x="23"/>
        <item m="1" x="86"/>
        <item m="1" x="50"/>
        <item m="1" x="1019"/>
        <item m="1" x="288"/>
        <item m="1" x="387"/>
        <item m="1" x="986"/>
        <item m="1" x="769"/>
        <item m="1" x="40"/>
        <item m="1" x="102"/>
        <item m="1" x="65"/>
        <item m="1" x="447"/>
        <item m="1" x="296"/>
        <item m="1" x="626"/>
        <item m="1" x="210"/>
        <item m="1" x="99"/>
        <item m="1" x="78"/>
        <item m="1" x="338"/>
        <item m="1" x="683"/>
        <item m="1" x="749"/>
        <item m="1" x="70"/>
        <item m="1" x="213"/>
        <item m="1" x="343"/>
        <item m="1" x="84"/>
        <item m="1" x="515"/>
        <item m="1" x="639"/>
        <item m="1" x="646"/>
        <item m="1" x="24"/>
        <item m="1" x="365"/>
        <item m="1" x="19"/>
        <item m="1" x="384"/>
        <item m="1" x="458"/>
        <item m="1" x="985"/>
        <item m="1" x="909"/>
        <item m="1" x="443"/>
        <item m="1" x="418"/>
        <item m="1" x="835"/>
        <item m="1" x="361"/>
        <item m="1" x="657"/>
        <item m="1" x="140"/>
        <item m="1" x="314"/>
        <item m="1" x="838"/>
        <item m="1" x="902"/>
        <item m="1" x="156"/>
        <item m="1" x="825"/>
        <item m="1" x="912"/>
        <item m="1" x="741"/>
        <item m="1" x="265"/>
        <item m="1" x="509"/>
        <item m="1" x="179"/>
        <item m="1" x="679"/>
        <item m="1" x="804"/>
        <item m="1" x="731"/>
        <item m="1" x="637"/>
        <item m="1" x="202"/>
        <item m="1" x="717"/>
        <item m="1" x="38"/>
        <item m="1" x="168"/>
        <item m="1" x="558"/>
        <item m="1" x="584"/>
        <item m="1" x="89"/>
        <item m="1" x="155"/>
        <item m="1" x="690"/>
        <item m="1" x="806"/>
        <item m="1" x="655"/>
        <item m="1" x="992"/>
        <item m="1" x="246"/>
        <item m="1" x="842"/>
        <item m="1" x="805"/>
        <item m="1" x="72"/>
        <item m="1" x="549"/>
        <item m="1" x="260"/>
        <item m="1" x="207"/>
        <item m="1" x="801"/>
        <item m="1" x="666"/>
        <item m="1" x="453"/>
        <item m="1" x="601"/>
        <item m="1" x="307"/>
        <item m="1" x="797"/>
        <item m="1" x="559"/>
        <item m="1" x="471"/>
        <item m="1" x="876"/>
        <item m="1" x="813"/>
        <item m="1" x="334"/>
        <item m="1" x="118"/>
        <item m="1" x="603"/>
        <item m="1" x="504"/>
        <item m="1" x="270"/>
        <item m="1" x="149"/>
        <item m="1" x="893"/>
        <item m="1" x="417"/>
        <item m="1" x="987"/>
        <item m="1" x="606"/>
        <item m="1" x="48"/>
        <item m="1" x="884"/>
        <item m="1" x="160"/>
        <item m="1" x="736"/>
        <item m="1" x="137"/>
        <item m="1" x="630"/>
        <item m="1" x="491"/>
        <item m="1" x="27"/>
        <item m="1" x="71"/>
        <item m="1" x="978"/>
        <item m="1" x="256"/>
        <item m="1" x="52"/>
        <item m="1" x="88"/>
        <item m="1" x="1003"/>
        <item m="1" x="323"/>
        <item m="1" x="923"/>
        <item m="1" x="762"/>
        <item m="1" x="831"/>
        <item m="1" x="488"/>
        <item m="1" x="552"/>
        <item m="1" x="755"/>
        <item m="1" x="569"/>
        <item m="1" x="378"/>
        <item m="1" x="58"/>
        <item m="1" x="229"/>
        <item m="1" x="691"/>
        <item m="1" x="257"/>
        <item m="1" x="301"/>
        <item m="1" x="308"/>
        <item m="1" x="979"/>
        <item m="1" x="644"/>
        <item m="1" x="494"/>
        <item m="1" x="501"/>
        <item m="1" x="409"/>
        <item m="1" x="523"/>
        <item m="1" x="564"/>
        <item m="1" x="673"/>
        <item m="1" x="817"/>
        <item m="1" x="674"/>
        <item m="1" x="705"/>
        <item m="1" x="383"/>
        <item m="1" x="357"/>
        <item m="1" x="111"/>
        <item m="1" x="970"/>
        <item m="1" x="404"/>
        <item m="1" x="574"/>
        <item m="1" x="403"/>
        <item m="1" x="573"/>
        <item m="1" x="218"/>
        <item m="1" x="578"/>
        <item m="1" x="480"/>
        <item m="1" x="618"/>
        <item m="1" x="252"/>
        <item m="1" x="142"/>
        <item m="1" x="436"/>
        <item m="1" x="753"/>
        <item m="1" x="845"/>
        <item m="1" x="620"/>
        <item m="1" x="126"/>
        <item m="1" x="672"/>
        <item m="1" x="798"/>
        <item m="1" x="782"/>
        <item m="1" x="651"/>
        <item m="1" x="561"/>
        <item m="1" x="240"/>
        <item m="1" x="472"/>
        <item m="1" x="739"/>
        <item m="1" x="532"/>
        <item m="1" x="642"/>
        <item m="1" x="385"/>
        <item m="1" x="188"/>
        <item m="1" x="435"/>
        <item m="1" x="377"/>
        <item m="1" x="960"/>
        <item m="1" x="298"/>
        <item m="1" x="275"/>
        <item m="1" x="495"/>
        <item m="1" x="652"/>
        <item m="1" x="342"/>
        <item m="1" x="69"/>
        <item m="1" x="197"/>
        <item m="1" x="354"/>
        <item m="1" x="433"/>
        <item m="1" x="432"/>
        <item m="1" x="837"/>
        <item m="1" x="112"/>
        <item m="1" x="752"/>
        <item m="1" x="844"/>
        <item m="1" x="161"/>
        <item m="1" x="619"/>
        <item m="1" x="138"/>
        <item m="1" x="98"/>
        <item m="1" x="41"/>
        <item m="1" x="599"/>
        <item m="1" x="82"/>
        <item m="1" x="828"/>
        <item m="1" x="614"/>
        <item m="1" x="414"/>
        <item m="1" x="667"/>
        <item m="1" x="586"/>
        <item m="1" x="729"/>
        <item m="1" x="396"/>
        <item m="1" x="720"/>
        <item m="1" x="961"/>
        <item m="1" x="130"/>
        <item m="1" x="485"/>
        <item m="1" x="279"/>
        <item m="1" x="896"/>
        <item m="1" x="866"/>
        <item m="1" x="865"/>
        <item m="1" x="702"/>
        <item m="1" x="278"/>
        <item m="1" x="282"/>
        <item m="1" x="553"/>
        <item m="1" x="1010"/>
        <item m="1" x="97"/>
        <item m="1" x="598"/>
        <item m="1" x="81"/>
        <item m="1" x="827"/>
        <item m="1" x="613"/>
        <item m="1" x="413"/>
        <item m="1" x="43"/>
        <item m="1" x="300"/>
        <item m="1" x="585"/>
        <item m="1" x="728"/>
        <item m="1" x="919"/>
        <item m="1" x="395"/>
        <item m="1" x="719"/>
        <item m="1" x="921"/>
        <item m="1" x="649"/>
        <item m="1" x="922"/>
        <item m="1" x="457"/>
        <item m="1" x="862"/>
        <item m="1" x="984"/>
        <item m="1" x="1001"/>
        <item m="1" x="727"/>
        <item m="1" x="547"/>
        <item m="1" x="722"/>
        <item m="1" x="664"/>
        <item m="1" x="563"/>
        <item m="1" x="847"/>
        <item m="1" x="508"/>
        <item m="1" x="956"/>
        <item m="1" x="864"/>
        <item m="1" x="839"/>
        <item m="1" x="1016"/>
        <item m="1" x="770"/>
        <item m="1" x="634"/>
        <item m="1" x="1000"/>
        <item m="1" x="908"/>
        <item m="1" x="799"/>
        <item m="1" x="841"/>
        <item m="1" x="754"/>
        <item m="1" x="290"/>
        <item m="1" x="1021"/>
        <item m="1" x="943"/>
        <item m="1" x="848"/>
        <item m="1" x="185"/>
        <item m="1" x="399"/>
        <item m="1" x="880"/>
        <item m="1" x="1012"/>
        <item m="1" x="765"/>
        <item m="1" x="73"/>
        <item m="1" x="895"/>
        <item m="1" x="237"/>
        <item m="1" x="55"/>
        <item m="1" x="125"/>
        <item m="1" x="641"/>
        <item m="1" x="144"/>
        <item m="1" x="809"/>
        <item m="1" x="726"/>
        <item m="1" x="692"/>
        <item m="1" x="633"/>
        <item m="1" x="1023"/>
        <item m="1" x="456"/>
        <item m="1" x="707"/>
        <item m="1" x="1020"/>
        <item m="1" x="1024"/>
        <item m="1" x="390"/>
        <item m="1" x="215"/>
        <item m="1" x="955"/>
        <item m="1" x="49"/>
        <item m="1" x="696"/>
        <item m="1" x="812"/>
        <item m="1" x="474"/>
        <item m="1" x="738"/>
        <item m="1" x="151"/>
        <item m="1" x="87"/>
        <item m="1" x="760"/>
        <item m="1" x="540"/>
        <item m="1" x="577"/>
        <item m="1" x="322"/>
        <item m="1" x="891"/>
        <item m="1" x="420"/>
        <item m="1" x="887"/>
        <item m="1" x="483"/>
        <item m="1" x="767"/>
        <item m="1" x="271"/>
        <item m="1" x="158"/>
        <item m="1" x="872"/>
        <item m="1" x="589"/>
        <item m="1" x="339"/>
        <item m="1" x="454"/>
        <item m="1" x="402"/>
        <item m="1" x="274"/>
        <item m="1" x="995"/>
        <item m="1" x="392"/>
        <item m="1" x="942"/>
        <item m="1" x="521"/>
        <item m="1" x="83"/>
        <item m="1" x="497"/>
        <item m="1" x="206"/>
        <item m="1" x="496"/>
        <item m="1" x="309"/>
        <item m="1" x="732"/>
        <item m="1" x="250"/>
        <item m="1" x="885"/>
        <item m="1" x="820"/>
        <item m="1" x="199"/>
        <item m="1" x="466"/>
        <item m="1" x="571"/>
        <item m="1" x="711"/>
        <item m="1" x="421"/>
        <item m="1" x="959"/>
        <item m="1" x="1017"/>
        <item m="1" x="26"/>
        <item m="1" x="706"/>
        <item m="1" x="931"/>
        <item m="1" x="617"/>
        <item m="1" x="353"/>
        <item m="1" x="520"/>
        <item m="1" x="449"/>
        <item m="1" x="897"/>
        <item m="1" x="1009"/>
        <item m="1" x="915"/>
        <item m="1" x="121"/>
        <item m="1" x="198"/>
        <item m="1" x="425"/>
        <item m="1" x="926"/>
        <item m="1" x="169"/>
        <item m="1" x="335"/>
        <item m="1" x="503"/>
        <item m="1" x="894"/>
        <item m="1" x="12"/>
        <item m="1" x="389"/>
        <item m="1" x="442"/>
        <item m="1" x="870"/>
        <item m="1" x="42"/>
        <item m="1" x="927"/>
        <item m="1" x="867"/>
        <item m="1" x="581"/>
        <item m="1" x="21"/>
        <item m="1" x="462"/>
        <item m="1" x="900"/>
        <item m="1" x="628"/>
        <item m="1" x="214"/>
        <item m="1" x="675"/>
        <item m="1" x="1007"/>
        <item m="1" x="109"/>
        <item m="1" x="935"/>
        <item m="1" x="665"/>
        <item m="1" x="648"/>
        <item m="1" x="944"/>
        <item m="1" x="531"/>
        <item m="1" x="874"/>
        <item m="1" x="989"/>
        <item m="1" x="311"/>
        <item m="1" x="146"/>
        <item m="1" x="455"/>
        <item m="1" x="263"/>
        <item m="1" x="317"/>
        <item m="1" x="928"/>
        <item m="1" x="46"/>
        <item m="1" x="178"/>
        <item m="1" x="715"/>
        <item m="1" x="292"/>
        <item m="1" x="560"/>
        <item m="1" x="539"/>
        <item m="1" x="267"/>
        <item m="1" x="211"/>
        <item m="1" x="20"/>
        <item m="1" x="958"/>
        <item m="1" x="783"/>
        <item m="1" x="529"/>
        <item m="1" x="981"/>
        <item m="1" x="481"/>
        <item m="1" x="512"/>
        <item m="1" x="792"/>
        <item m="1" x="423"/>
        <item m="1" x="295"/>
        <item m="1" x="398"/>
        <item m="1" x="441"/>
        <item m="1" x="530"/>
        <item m="1" x="615"/>
        <item m="1" x="190"/>
        <item m="1" x="186"/>
        <item m="1" x="873"/>
        <item m="1" x="988"/>
        <item m="1" x="310"/>
        <item m="1" x="177"/>
        <item m="1" x="714"/>
        <item m="1" x="602"/>
        <item m="1" x="405"/>
        <item m="1" x="807"/>
        <item m="1" x="971"/>
        <item m="1" x="886"/>
        <item m="1" x="17"/>
        <item m="1" x="183"/>
        <item m="1" x="878"/>
        <item m="1" x="533"/>
        <item m="1" x="2"/>
        <item m="1" x="407"/>
        <item m="1" x="616"/>
        <item m="1" x="879"/>
        <item m="1" x="113"/>
        <item m="1" x="440"/>
        <item m="1" x="255"/>
        <item m="1" x="764"/>
        <item m="1" x="557"/>
        <item m="1" x="545"/>
        <item m="1" x="772"/>
        <item m="1" x="538"/>
        <item m="1" x="266"/>
        <item m="1" x="427"/>
        <item m="1" x="888"/>
        <item m="1" x="469"/>
        <item m="1" x="59"/>
        <item m="1" x="852"/>
        <item m="1" x="93"/>
        <item m="1" x="857"/>
        <item m="1" x="379"/>
        <item m="1" x="386"/>
        <item m="1" x="791"/>
        <item m="1" x="856"/>
        <item m="1" x="150"/>
        <item m="1" x="514"/>
        <item m="1" x="92"/>
        <item m="1" x="945"/>
        <item m="1" x="285"/>
        <item m="1" x="419"/>
        <item m="1" x="128"/>
        <item m="1" x="991"/>
        <item m="1" x="445"/>
        <item m="1" x="189"/>
        <item m="1" x="461"/>
        <item m="1" x="773"/>
        <item m="1" x="877"/>
        <item m="1" x="180"/>
        <item m="1" x="580"/>
        <item m="1" x="163"/>
        <item m="1" x="973"/>
        <item m="1" x="710"/>
        <item m="1" x="850"/>
        <item m="1" x="974"/>
        <item m="1" x="373"/>
        <item m="1" x="556"/>
        <item m="1" x="544"/>
        <item m="1" x="763"/>
        <item m="1" x="410"/>
        <item m="1" x="426"/>
        <item m="1" x="800"/>
        <item m="1" x="883"/>
        <item m="1" x="551"/>
        <item m="1" x="397"/>
        <item m="1" x="114"/>
        <item m="1" x="858"/>
        <item m="1" x="170"/>
        <item m="1" x="882"/>
        <item m="1" x="444"/>
        <item m="1" x="313"/>
        <item m="1" x="946"/>
        <item m="1" x="572"/>
        <item m="1" x="159"/>
        <item m="1" x="475"/>
        <item m="1" x="779"/>
        <item m="1" x="790"/>
        <item m="1" x="759"/>
        <item m="1" x="176"/>
        <item m="1" x="982"/>
        <item m="1" x="952"/>
        <item m="1" x="745"/>
        <item m="1" x="226"/>
        <item m="1" x="640"/>
        <item m="1" x="47"/>
        <item m="1" x="216"/>
        <item m="1" x="576"/>
        <item m="1" x="810"/>
        <item m="1" x="554"/>
        <item m="1" x="344"/>
        <item m="1" x="167"/>
        <item m="1" x="124"/>
        <item m="1" x="631"/>
        <item m="1" x="280"/>
        <item m="1" x="519"/>
        <item m="1" x="382"/>
        <item m="1" x="312"/>
        <item m="1" x="439"/>
        <item m="1" x="244"/>
        <item m="1" x="695"/>
        <item m="1" x="966"/>
        <item m="1" x="1018"/>
        <item m="1" x="860"/>
        <item m="1" x="822"/>
        <item m="1" x="105"/>
        <item m="1" x="594"/>
        <item m="1" x="53"/>
        <item m="1" x="709"/>
        <item m="1" x="623"/>
        <item m="1" x="823"/>
        <item m="1" x="11"/>
        <item m="1" x="682"/>
        <item m="1" x="391"/>
        <item m="1" x="254"/>
        <item m="1" x="826"/>
        <item m="1" x="1025"/>
        <item m="1" x="1022"/>
        <item m="1" x="363"/>
        <item m="1" x="994"/>
        <item m="1" x="133"/>
        <item m="1" x="259"/>
        <item m="1" x="223"/>
        <item m="1" x="600"/>
        <item m="1" x="814"/>
        <item m="1" x="977"/>
        <item m="1" x="36"/>
        <item m="1" x="345"/>
        <item m="1" x="37"/>
        <item m="1" x="901"/>
        <item m="1" x="231"/>
        <item m="1" x="268"/>
        <item m="1" x="677"/>
        <item m="1" x="232"/>
        <item m="1" x="346"/>
        <item m="1" x="90"/>
        <item m="1" x="636"/>
        <item m="1" x="331"/>
        <item m="1" x="951"/>
        <item m="1" x="1004"/>
        <item m="1" x="29"/>
        <item m="1" x="998"/>
        <item m="1" x="467"/>
        <item m="1" x="110"/>
        <item m="1" x="629"/>
        <item m="1" x="174"/>
        <item m="1" x="273"/>
        <item m="1" x="748"/>
        <item m="1" x="502"/>
        <item m="1" x="522"/>
        <item m="1" x="123"/>
        <item m="1" x="332"/>
        <item m="1" x="91"/>
        <item m="1" x="1005"/>
        <item m="1" x="30"/>
        <item m="1" x="195"/>
        <item m="1" x="227"/>
        <item m="1" x="490"/>
        <item m="1" x="969"/>
        <item m="1" x="60"/>
        <item m="1" x="542"/>
        <item m="1" x="964"/>
        <item m="1" x="541"/>
        <item m="1" x="771"/>
        <item m="1" x="196"/>
        <item m="1" x="742"/>
        <item m="1" x="610"/>
        <item m="1" x="482"/>
        <item m="1" x="787"/>
        <item m="1" x="318"/>
        <item m="1" x="889"/>
        <item m="1" x="575"/>
        <item m="1" x="548"/>
        <item m="1" x="243"/>
        <item m="1" x="947"/>
        <item m="1" x="464"/>
        <item m="1" x="579"/>
        <item m="1" x="516"/>
        <item m="1" x="511"/>
        <item m="1" x="1006"/>
        <item m="1" x="650"/>
        <item m="1" x="910"/>
        <item m="1" x="16"/>
        <item m="1" x="713"/>
        <item m="1" x="31"/>
        <item m="1" x="678"/>
        <item m="1" x="460"/>
        <item m="1" x="302"/>
        <item m="1" x="899"/>
        <item m="1" x="869"/>
        <item m="1" x="699"/>
        <item m="1" x="236"/>
        <item m="1" x="248"/>
        <item m="1" x="638"/>
        <item m="1" x="303"/>
        <item m="1" x="700"/>
        <item m="1" x="249"/>
        <item m="1" x="340"/>
        <item m="1" x="486"/>
        <item m="1" x="341"/>
        <item m="1" x="364"/>
        <item m="1" x="746"/>
        <item m="1" x="718"/>
        <item m="1" x="412"/>
        <item m="1" x="855"/>
        <item m="1" x="294"/>
        <item m="1" x="933"/>
        <item m="1" x="868"/>
        <item m="1" x="676"/>
        <item m="1" x="411"/>
        <item m="1" x="104"/>
        <item m="1" x="1008"/>
        <item m="1" x="487"/>
        <item m="1" x="747"/>
        <item m="1" x="778"/>
        <item m="1" x="108"/>
        <item m="1" x="777"/>
        <item m="1" x="152"/>
        <item m="1" x="808"/>
        <item m="1" x="555"/>
        <item m="1" x="892"/>
        <item m="1" x="264"/>
        <item m="1" x="153"/>
        <item m="1" x="670"/>
        <item m="1" x="316"/>
        <item m="1" x="669"/>
        <item m="1" x="871"/>
        <item m="1" x="758"/>
        <item m="1" x="315"/>
        <item m="1" x="688"/>
        <item m="1" x="192"/>
        <item m="1" x="394"/>
        <item m="1" x="689"/>
        <item m="1" x="193"/>
        <item m="1" x="325"/>
        <item m="1" x="588"/>
        <item m="1" x="975"/>
        <item m="1" x="355"/>
        <item m="1" x="671"/>
        <item m="1" x="448"/>
        <item m="1" x="212"/>
        <item m="1" x="304"/>
        <item m="1" x="604"/>
        <item m="1" x="337"/>
        <item m="1" x="697"/>
        <item m="1" x="780"/>
        <item m="1" x="1013"/>
        <item m="1" x="907"/>
        <item m="1" x="493"/>
        <item m="1" x="536"/>
        <item m="1" x="990"/>
        <item m="1" x="287"/>
        <item m="1" x="890"/>
        <item m="1" x="484"/>
        <item m="1" x="358"/>
        <item m="1" x="132"/>
        <item m="1" x="843"/>
        <item m="1" x="829"/>
        <item m="1" x="859"/>
        <item m="1" x="136"/>
        <item m="1" x="286"/>
        <item m="1" x="517"/>
        <item m="1" x="8"/>
        <item m="1" x="661"/>
        <item m="1" x="698"/>
        <item m="1" x="148"/>
        <item m="1" x="122"/>
        <item m="1" x="854"/>
        <item m="1" x="117"/>
        <item m="1" x="622"/>
        <item m="1" x="187"/>
        <item m="1" x="368"/>
        <item m="1" x="393"/>
        <item m="1" x="499"/>
        <item m="1" x="821"/>
        <item m="1" x="916"/>
        <item m="1" x="369"/>
        <item m="1" x="349"/>
        <item m="1" x="768"/>
        <item m="1" x="477"/>
        <item m="1" x="94"/>
        <item m="1" x="658"/>
        <item m="1" x="936"/>
        <item m="1" x="473"/>
        <item m="1" x="766"/>
        <item m="1" x="500"/>
        <item m="1" x="253"/>
        <item m="1" x="262"/>
        <item m="1" x="853"/>
        <item m="1" x="217"/>
        <item m="1" x="326"/>
        <item m="1" x="120"/>
        <item m="1" x="796"/>
        <item m="1" x="233"/>
        <item m="1" x="913"/>
        <item m="1" x="784"/>
        <item m="1" x="740"/>
        <item m="1" x="165"/>
        <item m="1" x="583"/>
        <item m="1" x="712"/>
        <item m="1" x="849"/>
        <item m="1" x="465"/>
        <item m="1" x="983"/>
        <item m="1" x="181"/>
        <item m="1" x="846"/>
        <item m="1" x="431"/>
        <item m="1" x="241"/>
        <item m="1" x="906"/>
        <item m="1" x="592"/>
        <item m="1" x="816"/>
        <item m="1" x="35"/>
        <item m="1" x="744"/>
        <item m="1" x="524"/>
        <item m="1" x="468"/>
        <item m="1" x="911"/>
        <item m="1" x="3"/>
        <item m="1" x="276"/>
        <item m="1" x="595"/>
        <item m="1" x="949"/>
        <item m="1" x="905"/>
        <item m="1" x="224"/>
        <item m="1" x="221"/>
        <item m="1" x="775"/>
        <item m="1" x="653"/>
        <item m="1" x="607"/>
        <item m="1" x="305"/>
        <item m="1" x="776"/>
        <item m="1" x="225"/>
        <item m="1" x="4"/>
        <item m="1" x="608"/>
        <item m="1" x="917"/>
        <item m="1" x="370"/>
        <item m="1" x="95"/>
        <item m="1" x="277"/>
        <item m="1" x="596"/>
        <item m="1" x="950"/>
        <item m="1" x="222"/>
        <item m="1" x="350"/>
        <item m="1" x="478"/>
        <item m="1" x="937"/>
        <item m="1" x="654"/>
        <item m="1" x="306"/>
        <item m="1" x="528"/>
        <item m="1" x="957"/>
        <item m="1" x="920"/>
        <item m="1" x="362"/>
        <item m="1" x="476"/>
        <item m="1" x="815"/>
        <item m="1" x="621"/>
        <item m="1" x="127"/>
        <item m="1" x="284"/>
        <item m="1" x="251"/>
        <item m="1" x="336"/>
        <item m="1" x="352"/>
        <item m="1" x="735"/>
        <item m="1" x="235"/>
        <item m="1" x="993"/>
        <item m="1" x="625"/>
        <item m="1" x="730"/>
        <item m="1" x="209"/>
        <item m="1" x="624"/>
        <item m="1" x="954"/>
        <item m="1" x="261"/>
        <item m="1" x="953"/>
        <item m="1" x="348"/>
        <item m="1" x="54"/>
      </items>
    </pivotField>
    <pivotField axis="axisRow" showAll="0" defaultSubtotal="0">
      <items count="7">
        <item m="1" x="5"/>
        <item m="1" x="6"/>
        <item x="0"/>
        <item m="1" x="4"/>
        <item m="1" x="2"/>
        <item m="1" x="3"/>
        <item m="1" x="1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2"/>
        <item x="0"/>
        <item m="1" x="1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9">
        <item m="1" x="4"/>
        <item m="1" x="6"/>
        <item x="0"/>
        <item m="1" x="1"/>
        <item m="1" x="8"/>
        <item m="1" x="2"/>
        <item m="1" x="3"/>
        <item m="1" x="5"/>
        <item m="1" x="7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128">
      <pivotArea dataOnly="0" labelOnly="1" grandCol="1" outline="0" fieldPosition="0"/>
    </format>
    <format dxfId="127">
      <pivotArea dataOnly="0" labelOnly="1" grandCol="1" outline="0" fieldPosition="0"/>
    </format>
    <format dxfId="126">
      <pivotArea dataOnly="0" labelOnly="1" grandCol="1" outline="0" fieldPosition="0"/>
    </format>
    <format dxfId="125">
      <pivotArea dataOnly="0" labelOnly="1" grandCol="1" outline="0" fieldPosition="0"/>
    </format>
    <format dxfId="124">
      <pivotArea dataOnly="0" labelOnly="1" grandCol="1" outline="0" fieldPosition="0"/>
    </format>
    <format dxfId="123">
      <pivotArea dataOnly="0" labelOnly="1" grandCol="1" outline="0" fieldPosition="0"/>
    </format>
    <format dxfId="122">
      <pivotArea dataOnly="0" labelOnly="1" grandCol="1" outline="0" fieldPosition="0"/>
    </format>
    <format dxfId="121">
      <pivotArea dataOnly="0" labelOnly="1" grandCol="1" outline="0" fieldPosition="0"/>
    </format>
    <format dxfId="120">
      <pivotArea type="origin" dataOnly="0" labelOnly="1" outline="0" fieldPosition="0"/>
    </format>
    <format dxfId="119">
      <pivotArea type="topRight" dataOnly="0" labelOnly="1" outline="0" fieldPosition="0"/>
    </format>
    <format dxfId="118">
      <pivotArea type="origin" dataOnly="0" labelOnly="1" outline="0" fieldPosition="0"/>
    </format>
    <format dxfId="117">
      <pivotArea type="topRight" dataOnly="0" labelOnly="1" outline="0" fieldPosition="0"/>
    </format>
    <format dxfId="116">
      <pivotArea type="origin" dataOnly="0" labelOnly="1" outline="0" fieldPosition="0"/>
    </format>
    <format dxfId="115">
      <pivotArea type="topRight" dataOnly="0" labelOnly="1" outline="0" fieldPosition="0"/>
    </format>
    <format dxfId="114">
      <pivotArea type="origin" dataOnly="0" labelOnly="1" outline="0" fieldPosition="0"/>
    </format>
    <format dxfId="113">
      <pivotArea type="topRight" dataOnly="0" labelOnly="1" outline="0" fieldPosition="0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12" count="0"/>
        </references>
      </pivotArea>
    </format>
    <format dxfId="110">
      <pivotArea dataOnly="0" labelOnly="1" grandCol="1" outline="0" fieldPosition="0"/>
    </format>
    <format dxfId="109">
      <pivotArea field="0" type="button" dataOnly="0" labelOnly="1" outline="0" axis="axisRow" fieldPosition="0"/>
    </format>
    <format dxfId="108">
      <pivotArea dataOnly="0" labelOnly="1" fieldPosition="0">
        <references count="1">
          <reference field="12" count="0"/>
        </references>
      </pivotArea>
    </format>
    <format dxfId="107">
      <pivotArea dataOnly="0" labelOnly="1" grandCol="1" outline="0" fieldPosition="0"/>
    </format>
    <format dxfId="106">
      <pivotArea field="0" type="button" dataOnly="0" labelOnly="1" outline="0" axis="axisRow" fieldPosition="0"/>
    </format>
    <format dxfId="105">
      <pivotArea dataOnly="0" labelOnly="1" fieldPosition="0">
        <references count="1">
          <reference field="12" count="0"/>
        </references>
      </pivotArea>
    </format>
    <format dxfId="104">
      <pivotArea dataOnly="0" labelOnly="1" grandCol="1" outline="0" fieldPosition="0"/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1" type="button" dataOnly="0" labelOnly="1" outline="0" axis="axisRow" fieldPosition="0"/>
    </format>
    <format dxfId="99">
      <pivotArea dataOnly="0" labelOnly="1" outline="0" axis="axisValues" fieldPosition="0"/>
    </format>
    <format dxfId="98">
      <pivotArea dataOnly="0" labelOnly="1" fieldPosition="0">
        <references count="1">
          <reference field="1" count="0"/>
        </references>
      </pivotArea>
    </format>
    <format dxfId="97">
      <pivotArea dataOnly="0" labelOnly="1" grandRow="1" outline="0" fieldPosition="0"/>
    </format>
    <format dxfId="96">
      <pivotArea dataOnly="0" labelOnly="1" outline="0" axis="axisValues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1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fieldPosition="0">
        <references count="1">
          <reference field="1" count="0"/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jira all_issues_1" backgroundRefresh="0" connectionId="1" xr16:uid="{00000000-0016-0000-0600-000000000000}" autoFormatId="16" applyNumberFormats="0" applyBorderFormats="0" applyFontFormats="0" applyPatternFormats="0" applyAlignmentFormats="0" applyWidthHeightFormats="0">
  <queryTableRefresh nextId="98" unboundColumnsRight="16">
    <queryTableFields count="45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Holydays" displayName="Holydays" ref="K1:L4" totalsRowShown="0" dataDxfId="153">
  <autoFilter ref="K1:L4" xr:uid="{00000000-0009-0000-0100-000004000000}"/>
  <tableColumns count="2">
    <tableColumn id="1" xr3:uid="{00000000-0010-0000-0000-000001000000}" name="Holyday" dataDxfId="152"/>
    <tableColumn id="2" xr3:uid="{00000000-0010-0000-0000-000002000000}" name="Date" dataDxfId="15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eleases" displayName="Releases" ref="N1:P10" totalsRowShown="0" dataDxfId="150">
  <autoFilter ref="N1:P10" xr:uid="{00000000-0009-0000-0100-000005000000}"/>
  <tableColumns count="3">
    <tableColumn id="1" xr3:uid="{00000000-0010-0000-0100-000001000000}" name="Release Date" dataDxfId="149"/>
    <tableColumn id="3" xr3:uid="{00000000-0010-0000-0100-000003000000}" name="Week" dataDxfId="148">
      <calculatedColumnFormula>Releases[[#This Row],[Release Date]]-WEEKDAY(Releases[[#This Row],[Release Date]],3)</calculatedColumnFormula>
    </tableColumn>
    <tableColumn id="2" xr3:uid="{00000000-0010-0000-0100-000002000000}" name="Release Name" dataDxfId="1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imeline" displayName="Timeline" ref="A9:I16" totalsRowCount="1" headerRowDxfId="146">
  <tableColumns count="9">
    <tableColumn id="1" xr3:uid="{00000000-0010-0000-0200-000001000000}" name="Role" totalsRowLabel="Grand Total"/>
    <tableColumn id="2" xr3:uid="{00000000-0010-0000-0200-000002000000}" name="People" totalsRowFunction="sum" dataDxfId="145" totalsRowDxfId="144"/>
    <tableColumn id="3" xr3:uid="{00000000-0010-0000-0200-000003000000}" name="Individual Daily Effort (net)" dataDxfId="143" totalsRowDxfId="142"/>
    <tableColumn id="4" xr3:uid="{00000000-0010-0000-0200-000004000000}" name="Team Daily Capability" totalsRowFunction="sum" dataDxfId="141" totalsRowDxfId="140"/>
    <tableColumn id="5" xr3:uid="{00000000-0010-0000-0200-000005000000}" name="Cycle Hours  on Backlog" totalsRowFunction="sum" dataDxfId="139" totalsRowDxfId="138"/>
    <tableColumn id="6" xr3:uid="{00000000-0010-0000-0200-000006000000}" name="Risk" totalsRowFunction="sum" dataDxfId="137" totalsRowDxfId="136">
      <calculatedColumnFormula>Timeline[[#This Row],[Cycle Hours  on Backlog]]*$B$1</calculatedColumnFormula>
    </tableColumn>
    <tableColumn id="7" xr3:uid="{00000000-0010-0000-0200-000007000000}" name="Total" totalsRowFunction="sum" dataDxfId="135" totalsRowDxfId="134">
      <calculatedColumnFormula>Timeline[[#This Row],[Cycle Hours  on Backlog]]+Timeline[[#This Row],[Risk]]</calculatedColumnFormula>
    </tableColumn>
    <tableColumn id="11" xr3:uid="{00000000-0010-0000-0200-00000B000000}" name="Working Days" totalsRowFunction="max" dataDxfId="133" totalsRowDxfId="132">
      <calculatedColumnFormula>IF(D10=0,0,G10/D10)</calculatedColumnFormula>
    </tableColumn>
    <tableColumn id="12" xr3:uid="{00000000-0010-0000-0200-00000C000000}" name="Last Day of Work" totalsRowFunction="max" dataDxfId="131" totalsRowDxfId="130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ssueTypeVsRoleMapping" displayName="IssueTypeVsRoleMapping" ref="A1:I34" totalsRowCount="1" headerRowDxfId="88" dataDxfId="87" totalsRowDxfId="86">
  <sortState ref="A2:H38">
    <sortCondition ref="B3:B38"/>
    <sortCondition ref="C3:C38"/>
    <sortCondition ref="D3:D38"/>
  </sortState>
  <tableColumns count="9">
    <tableColumn id="1" xr3:uid="{00000000-0010-0000-0300-000001000000}" name="Project" totalsRowLabel="Total" dataDxfId="85" totalsRowDxfId="84"/>
    <tableColumn id="2" xr3:uid="{00000000-0010-0000-0300-000002000000}" name="Group" totalsRowFunction="count" dataDxfId="83" totalsRowDxfId="82">
      <calculatedColumnFormula>IF(ISERROR(FIND("BALLPARK",C2)), "Plan", "BALLPARK")</calculatedColumnFormula>
    </tableColumn>
    <tableColumn id="4" xr3:uid="{00000000-0010-0000-0300-000004000000}" name="Issue Type" dataDxfId="81" totalsRowDxfId="80"/>
    <tableColumn id="5" xr3:uid="{00000000-0010-0000-0300-000005000000}" name="Role" dataDxfId="79" totalsRowDxfId="78"/>
    <tableColumn id="3" xr3:uid="{00000000-0010-0000-0300-000003000000}" name="Role Allocation" dataDxfId="77" totalsRowDxfId="76"/>
    <tableColumn id="6" xr3:uid="{00000000-0010-0000-0300-000006000000}" name="Issue Type Allocation" dataDxfId="75" totalsRowDxfId="74">
      <calculatedColumnFormula>SUMIFS(IssueTypeVsRoleMapping[Role Allocation],IssueTypeVsRoleMapping[Issue Type],IssueTypeVsRoleMapping[[#This Row],[Issue Type]])</calculatedColumnFormula>
    </tableColumn>
    <tableColumn id="9" xr3:uid="{00000000-0010-0000-0300-000009000000}" name="Cycle on Backlog" totalsRowFunction="sum" dataDxfId="73" totalsRowDxfId="72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xr3:uid="{00000000-0010-0000-0300-000007000000}" name="Effort on Backlog" totalsRowFunction="sum" dataDxfId="71" totalsRowDxfId="70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xr3:uid="{00000000-0010-0000-0300-000008000000}" name="Group %" dataDxfId="69" totalsRowDxfId="68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EffortDistribution" displayName="EffortDistribution" ref="G1:J22" totalsRowShown="0">
  <autoFilter ref="G1:J22" xr:uid="{00000000-0009-0000-0100-000006000000}"/>
  <sortState ref="G2:J22">
    <sortCondition ref="G2:G22"/>
    <sortCondition ref="H2:H22"/>
    <sortCondition descending="1" ref="I2:I22"/>
  </sortState>
  <tableColumns count="4">
    <tableColumn id="3" xr3:uid="{00000000-0010-0000-0400-000003000000}" name="Group"/>
    <tableColumn id="1" xr3:uid="{00000000-0010-0000-0400-000001000000}" name="IssueType"/>
    <tableColumn id="2" xr3:uid="{00000000-0010-0000-0400-000002000000}" name="Distribution"/>
    <tableColumn id="4" xr3:uid="{00000000-0010-0000-0400-000004000000}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lusters" displayName="Clusters" ref="A1:E101" totalsRowShown="0" headerRowDxfId="67">
  <autoFilter ref="A1:E101" xr:uid="{00000000-0009-0000-0100-000008000000}"/>
  <sortState ref="A2:E55">
    <sortCondition ref="A2:A55"/>
    <sortCondition ref="D2:D55"/>
  </sortState>
  <tableColumns count="5">
    <tableColumn id="2" xr3:uid="{00000000-0010-0000-0500-000002000000}" name="Cluster Name"/>
    <tableColumn id="3" xr3:uid="{00000000-0010-0000-0500-000003000000}" name="T-Shirt Size"/>
    <tableColumn id="5" xr3:uid="{00000000-0010-0000-0500-000005000000}" name="Type"/>
    <tableColumn id="4" xr3:uid="{00000000-0010-0000-0500-000004000000}" name="Effort" dataDxfId="66"/>
    <tableColumn id="1" xr3:uid="{00000000-0010-0000-0500-000001000000}" name="Cycle" dataDxfId="65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AllIssues" displayName="AllIssues" ref="A1:AS10000" tableType="queryTable" totalsRowShown="0">
  <autoFilter ref="A1:AS10000" xr:uid="{00000000-0009-0000-0100-000001000000}"/>
  <sortState ref="A2:AS119">
    <sortCondition ref="W2:W119"/>
    <sortCondition ref="D2:D119"/>
    <sortCondition ref="I2:I119"/>
    <sortCondition ref="O2:O119"/>
  </sortState>
  <tableColumns count="45">
    <tableColumn id="1" xr3:uid="{00000000-0010-0000-0600-000001000000}" uniqueName="1" name="project" queryTableFieldId="1"/>
    <tableColumn id="2" xr3:uid="{00000000-0010-0000-0600-000002000000}" uniqueName="2" name="demand_type" queryTableFieldId="2"/>
    <tableColumn id="3" xr3:uid="{00000000-0010-0000-0600-000003000000}" uniqueName="3" name="demand_status" queryTableFieldId="3"/>
    <tableColumn id="4" xr3:uid="{00000000-0010-0000-0600-000004000000}" uniqueName="4" name="demand_num" queryTableFieldId="4"/>
    <tableColumn id="5" xr3:uid="{00000000-0010-0000-0600-000005000000}" uniqueName="5" name="DEMAND_SUMMARY" queryTableFieldId="5"/>
    <tableColumn id="6" xr3:uid="{00000000-0010-0000-0600-000006000000}" uniqueName="6" name="demand_description" queryTableFieldId="6"/>
    <tableColumn id="8" xr3:uid="{00000000-0010-0000-0600-000008000000}" uniqueName="8" name="TASK_TYPE" queryTableFieldId="8"/>
    <tableColumn id="9" xr3:uid="{00000000-0010-0000-0600-000009000000}" uniqueName="9" name="TASK_STATUS" queryTableFieldId="9"/>
    <tableColumn id="10" xr3:uid="{00000000-0010-0000-0600-00000A000000}" uniqueName="10" name="TASK_NUM" queryTableFieldId="10"/>
    <tableColumn id="11" xr3:uid="{00000000-0010-0000-0600-00000B000000}" uniqueName="11" name="TASK_SUMMARY" queryTableFieldId="11"/>
    <tableColumn id="12" xr3:uid="{00000000-0010-0000-0600-00000C000000}" uniqueName="12" name="TASK_DESCRIPTION" queryTableFieldId="12"/>
    <tableColumn id="13" xr3:uid="{00000000-0010-0000-0600-00000D000000}" uniqueName="13" name="TASK_FULL_DESCRIPTION" queryTableFieldId="13"/>
    <tableColumn id="15" xr3:uid="{00000000-0010-0000-0600-00000F000000}" uniqueName="15" name="SUBTASK_TYPE" queryTableFieldId="15"/>
    <tableColumn id="16" xr3:uid="{00000000-0010-0000-0600-000010000000}" uniqueName="16" name="SUBTASK_STATUS" queryTableFieldId="16"/>
    <tableColumn id="17" xr3:uid="{00000000-0010-0000-0600-000011000000}" uniqueName="17" name="SUBTASK_NUM" queryTableFieldId="17"/>
    <tableColumn id="18" xr3:uid="{00000000-0010-0000-0600-000012000000}" uniqueName="18" name="SUBTASK_SUMMARY" queryTableFieldId="18"/>
    <tableColumn id="19" xr3:uid="{00000000-0010-0000-0600-000013000000}" uniqueName="19" name="SUBTASK_DESCRIPTION" queryTableFieldId="19"/>
    <tableColumn id="20" xr3:uid="{00000000-0010-0000-0600-000014000000}" uniqueName="20" name="SUBTASK_FULL_DESCRIPTION" queryTableFieldId="20"/>
    <tableColumn id="23" xr3:uid="{00000000-0010-0000-0600-000017000000}" uniqueName="23" name="DEMAND_ID" queryTableFieldId="61"/>
    <tableColumn id="32" xr3:uid="{00000000-0010-0000-0600-000020000000}" uniqueName="32" name="TASK_ID" queryTableFieldId="62"/>
    <tableColumn id="59" xr3:uid="{00000000-0010-0000-0600-00003B000000}" uniqueName="59" name="SUBTASK_ID" queryTableFieldId="72"/>
    <tableColumn id="50" xr3:uid="{00000000-0010-0000-0600-000032000000}" uniqueName="50" name="planning_type" queryTableFieldId="73"/>
    <tableColumn id="7" xr3:uid="{00000000-0010-0000-0600-000007000000}" uniqueName="7" name="task_release" queryTableFieldId="74"/>
    <tableColumn id="22" xr3:uid="{00000000-0010-0000-0600-000016000000}" uniqueName="22" name="worklog" queryTableFieldId="77"/>
    <tableColumn id="33" xr3:uid="{00000000-0010-0000-0600-000021000000}" uniqueName="33" name="wrong_worklog" queryTableFieldId="83"/>
    <tableColumn id="35" xr3:uid="{00000000-0010-0000-0600-000023000000}" uniqueName="35" name="Demand_ballpark" queryTableFieldId="85"/>
    <tableColumn id="39" xr3:uid="{00000000-0010-0000-0600-000027000000}" uniqueName="39" name="TASK_BALLPARK" queryTableFieldId="86"/>
    <tableColumn id="40" xr3:uid="{00000000-0010-0000-0600-000028000000}" uniqueName="40" name="tshirt_size" queryTableFieldId="87"/>
    <tableColumn id="41" xr3:uid="{00000000-0010-0000-0600-000029000000}" uniqueName="41" name="Query_Type" queryTableFieldId="92"/>
    <tableColumn id="24" xr3:uid="{00000000-0010-0000-0600-000018000000}" uniqueName="24" name="EffortEstimate" queryTableFieldId="78" dataDxfId="64"/>
    <tableColumn id="26" xr3:uid="{00000000-0010-0000-0600-00001A000000}" uniqueName="26" name="CycleEstimate" queryTableFieldId="84" dataDxfId="63"/>
    <tableColumn id="14" xr3:uid="{00000000-0010-0000-0600-00000E000000}" uniqueName="14" name="EffortOnBacklog" queryTableFieldId="88" dataDxfId="62"/>
    <tableColumn id="48" xr3:uid="{00000000-0010-0000-0600-000030000000}" uniqueName="48" name="CycleOnBacklog" queryTableFieldId="93" dataDxfId="61"/>
    <tableColumn id="31" xr3:uid="{00000000-0010-0000-0600-00001F000000}" uniqueName="31" name="BallparkEffort" queryTableFieldId="52" dataDxfId="60"/>
    <tableColumn id="30" xr3:uid="{00000000-0010-0000-0600-00001E000000}" uniqueName="30" name="PlannedEffort" queryTableFieldId="51" dataDxfId="59"/>
    <tableColumn id="25" xr3:uid="{00000000-0010-0000-0600-000019000000}" uniqueName="25" name="EffortDone" queryTableFieldId="25" dataDxfId="58"/>
    <tableColumn id="49" xr3:uid="{00000000-0010-0000-0600-000031000000}" uniqueName="49" name="CycleDone" queryTableFieldId="94" dataDxfId="57"/>
    <tableColumn id="21" xr3:uid="{00000000-0010-0000-0600-000015000000}" uniqueName="21" name="WorklogDone" queryTableFieldId="96" dataDxfId="56"/>
    <tableColumn id="27" xr3:uid="{00000000-0010-0000-0600-00001B000000}" uniqueName="27" name="WorklogDoing" queryTableFieldId="97" dataDxfId="55"/>
    <tableColumn id="37" xr3:uid="{00000000-0010-0000-0600-000025000000}" uniqueName="37" name="CountTasks" queryTableFieldId="37" dataDxfId="54"/>
    <tableColumn id="36" xr3:uid="{00000000-0010-0000-0600-000024000000}" uniqueName="36" name="CountDemands" queryTableFieldId="36" dataDxfId="53"/>
    <tableColumn id="38" xr3:uid="{00000000-0010-0000-0600-000026000000}" uniqueName="38" name="CountSubtasks" queryTableFieldId="38" dataDxfId="52"/>
    <tableColumn id="34" xr3:uid="{00000000-0010-0000-0600-000022000000}" uniqueName="34" name="SubtaskEstimativeForEEPCalculation" queryTableFieldId="34" dataDxfId="51"/>
    <tableColumn id="46" xr3:uid="{00000000-0010-0000-0600-00002E000000}" uniqueName="46" name="PlannedEffortOnBug" queryTableFieldId="57" dataDxfId="50"/>
    <tableColumn id="47" xr3:uid="{00000000-0010-0000-0600-00002F000000}" uniqueName="47" name="WorklogOnBug" queryTableFieldId="58" dataDxfId="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6" sqref="A6"/>
    </sheetView>
  </sheetViews>
  <sheetFormatPr defaultColWidth="53.42578125" defaultRowHeight="15" x14ac:dyDescent="0.25"/>
  <cols>
    <col min="1" max="1" width="55.5703125" customWidth="1"/>
    <col min="2" max="2" width="9.28515625" bestFit="1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11.7109375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155</v>
      </c>
    </row>
    <row r="2" spans="1:19" x14ac:dyDescent="0.25">
      <c r="A2" s="11"/>
      <c r="B2" s="11"/>
      <c r="N2" s="6" t="s">
        <v>156</v>
      </c>
      <c r="O2" s="13">
        <f>Timeline!B2</f>
        <v>42912</v>
      </c>
      <c r="Q2" s="124">
        <f ca="1">(O4-O2-1)/(O3-O2)</f>
        <v>1.7</v>
      </c>
    </row>
    <row r="3" spans="1:19" x14ac:dyDescent="0.25">
      <c r="F3" s="35"/>
      <c r="G3" s="35"/>
      <c r="H3" s="35"/>
      <c r="I3" s="35"/>
      <c r="N3" s="6" t="s">
        <v>157</v>
      </c>
      <c r="O3" s="13">
        <f>Timeline!I17</f>
        <v>42942</v>
      </c>
    </row>
    <row r="4" spans="1:19" x14ac:dyDescent="0.25">
      <c r="F4" s="35"/>
      <c r="G4" s="35"/>
      <c r="H4" s="35"/>
      <c r="I4" s="35"/>
      <c r="N4" s="6" t="s">
        <v>158</v>
      </c>
      <c r="O4" s="13">
        <f ca="1">TODAY()</f>
        <v>42964</v>
      </c>
    </row>
    <row r="5" spans="1:19" s="9" customFormat="1" x14ac:dyDescent="0.25">
      <c r="A5" s="1" t="s">
        <v>0</v>
      </c>
      <c r="B5" t="s">
        <v>189</v>
      </c>
    </row>
    <row r="6" spans="1:19" s="7" customFormat="1" x14ac:dyDescent="0.25">
      <c r="A6" s="1" t="s">
        <v>13</v>
      </c>
      <c r="B6" t="s">
        <v>189</v>
      </c>
      <c r="C6"/>
      <c r="D6"/>
      <c r="E6" s="16"/>
      <c r="F6" s="35"/>
      <c r="G6" s="35"/>
      <c r="H6" s="35"/>
    </row>
    <row r="7" spans="1:19" x14ac:dyDescent="0.25">
      <c r="A7" s="1" t="s">
        <v>11</v>
      </c>
      <c r="B7" t="s">
        <v>189</v>
      </c>
      <c r="F7" s="35"/>
      <c r="G7" s="35"/>
      <c r="H7" s="35"/>
      <c r="I7" s="35"/>
    </row>
    <row r="8" spans="1:19" x14ac:dyDescent="0.25">
      <c r="A8" s="1" t="s">
        <v>161</v>
      </c>
      <c r="B8" t="s">
        <v>187</v>
      </c>
      <c r="C8"/>
      <c r="D8"/>
      <c r="E8"/>
    </row>
    <row r="9" spans="1:19" x14ac:dyDescent="0.25">
      <c r="A9" s="1" t="s">
        <v>164</v>
      </c>
      <c r="B9" t="s">
        <v>189</v>
      </c>
    </row>
    <row r="10" spans="1:19" x14ac:dyDescent="0.25">
      <c r="A10" s="1" t="s">
        <v>169</v>
      </c>
      <c r="B10" t="s">
        <v>187</v>
      </c>
      <c r="C10"/>
      <c r="D10"/>
      <c r="E10"/>
    </row>
    <row r="11" spans="1:19" x14ac:dyDescent="0.25">
      <c r="A11" s="1" t="s">
        <v>168</v>
      </c>
      <c r="B11" t="s">
        <v>187</v>
      </c>
      <c r="C11"/>
      <c r="D11"/>
      <c r="E11"/>
    </row>
    <row r="12" spans="1:19" x14ac:dyDescent="0.25">
      <c r="A12" s="1" t="s">
        <v>171</v>
      </c>
      <c r="B12" t="s">
        <v>189</v>
      </c>
    </row>
    <row r="13" spans="1:19" s="10" customFormat="1" ht="15.75" x14ac:dyDescent="0.25">
      <c r="A13"/>
      <c r="B13"/>
      <c r="C13" s="130" t="s">
        <v>30</v>
      </c>
      <c r="D13" s="131"/>
      <c r="E13" s="132"/>
      <c r="F13" s="130" t="s">
        <v>121</v>
      </c>
      <c r="G13" s="131"/>
      <c r="H13" s="131"/>
      <c r="I13" s="132"/>
      <c r="J13" s="130" t="s">
        <v>122</v>
      </c>
      <c r="K13" s="131"/>
      <c r="L13" s="132"/>
      <c r="M13" s="128" t="s">
        <v>135</v>
      </c>
      <c r="N13" s="129"/>
      <c r="O13" s="129"/>
      <c r="P13" s="129"/>
      <c r="Q13" s="133"/>
      <c r="R13" s="128" t="s">
        <v>124</v>
      </c>
      <c r="S13" s="129"/>
    </row>
    <row r="14" spans="1:19" s="44" customFormat="1" ht="30" x14ac:dyDescent="0.25">
      <c r="A14" s="45" t="s">
        <v>32</v>
      </c>
      <c r="B14" s="32" t="s">
        <v>31</v>
      </c>
      <c r="C14" s="59" t="s">
        <v>25</v>
      </c>
      <c r="D14" s="60" t="s">
        <v>127</v>
      </c>
      <c r="E14" s="61" t="s">
        <v>126</v>
      </c>
      <c r="F14" s="60" t="s">
        <v>33</v>
      </c>
      <c r="G14" s="60" t="s">
        <v>34</v>
      </c>
      <c r="H14" s="60" t="s">
        <v>125</v>
      </c>
      <c r="I14" s="61" t="s">
        <v>35</v>
      </c>
      <c r="J14" s="60" t="s">
        <v>123</v>
      </c>
      <c r="K14" s="60" t="s">
        <v>10</v>
      </c>
      <c r="L14" s="61" t="s">
        <v>120</v>
      </c>
      <c r="M14" s="32" t="s">
        <v>4</v>
      </c>
      <c r="N14" s="32" t="s">
        <v>136</v>
      </c>
      <c r="O14" s="60" t="s">
        <v>55</v>
      </c>
      <c r="P14" s="60" t="s">
        <v>128</v>
      </c>
      <c r="Q14" s="60" t="s">
        <v>74</v>
      </c>
      <c r="R14" s="59" t="s">
        <v>39</v>
      </c>
      <c r="S14" s="61" t="s">
        <v>38</v>
      </c>
    </row>
    <row r="15" spans="1:19" s="7" customFormat="1" x14ac:dyDescent="0.25">
      <c r="A15" s="2" t="s">
        <v>187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187</v>
      </c>
      <c r="B16" s="8">
        <v>0</v>
      </c>
      <c r="C16" s="52">
        <v>0</v>
      </c>
      <c r="D16" s="53">
        <v>0</v>
      </c>
      <c r="E16" s="54">
        <v>0</v>
      </c>
      <c r="F16" s="47">
        <v>0</v>
      </c>
      <c r="G16" s="40" t="e">
        <v>#DIV/0!</v>
      </c>
      <c r="H16" s="47">
        <v>0</v>
      </c>
      <c r="I16" s="41" t="e">
        <v>#DIV/0!</v>
      </c>
      <c r="J16" s="47">
        <v>0</v>
      </c>
      <c r="K16" s="47">
        <v>0</v>
      </c>
      <c r="L16" s="48">
        <v>0</v>
      </c>
      <c r="M16" s="4">
        <v>0</v>
      </c>
      <c r="N16" s="25">
        <v>0</v>
      </c>
      <c r="O16" s="29">
        <v>0</v>
      </c>
      <c r="P16" s="58">
        <v>0</v>
      </c>
      <c r="Q16" s="29">
        <v>0</v>
      </c>
      <c r="R16" s="46">
        <v>0</v>
      </c>
      <c r="S16" s="48">
        <v>0</v>
      </c>
    </row>
    <row r="17" spans="1:19" s="7" customFormat="1" x14ac:dyDescent="0.25">
      <c r="A17" s="118" t="s">
        <v>187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187</v>
      </c>
      <c r="B18" s="8">
        <v>0</v>
      </c>
      <c r="C18" s="52">
        <v>0</v>
      </c>
      <c r="D18" s="53">
        <v>0</v>
      </c>
      <c r="E18" s="54">
        <v>0</v>
      </c>
      <c r="F18" s="47">
        <v>0</v>
      </c>
      <c r="G18" s="40" t="e">
        <v>#DIV/0!</v>
      </c>
      <c r="H18" s="47">
        <v>0</v>
      </c>
      <c r="I18" s="41" t="e">
        <v>#DIV/0!</v>
      </c>
      <c r="J18" s="47">
        <v>0</v>
      </c>
      <c r="K18" s="47">
        <v>0</v>
      </c>
      <c r="L18" s="48">
        <v>0</v>
      </c>
      <c r="M18" s="4">
        <v>0</v>
      </c>
      <c r="N18" s="25">
        <v>0</v>
      </c>
      <c r="O18" s="29">
        <v>0</v>
      </c>
      <c r="P18" s="58">
        <v>0</v>
      </c>
      <c r="Q18" s="29">
        <v>0</v>
      </c>
      <c r="R18" s="46">
        <v>0</v>
      </c>
      <c r="S18" s="48">
        <v>0</v>
      </c>
    </row>
    <row r="19" spans="1:19" x14ac:dyDescent="0.25">
      <c r="A19" s="123" t="s">
        <v>187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2" t="s">
        <v>188</v>
      </c>
      <c r="B20" s="8">
        <v>0</v>
      </c>
      <c r="C20" s="55">
        <v>0</v>
      </c>
      <c r="D20" s="56">
        <v>0</v>
      </c>
      <c r="E20" s="57">
        <v>0</v>
      </c>
      <c r="F20" s="50">
        <v>0</v>
      </c>
      <c r="G20" s="42" t="e">
        <v>#DIV/0!</v>
      </c>
      <c r="H20" s="50">
        <v>0</v>
      </c>
      <c r="I20" s="43" t="e">
        <v>#DIV/0!</v>
      </c>
      <c r="J20" s="50">
        <v>0</v>
      </c>
      <c r="K20" s="50">
        <v>0</v>
      </c>
      <c r="L20" s="51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9">
        <v>0</v>
      </c>
      <c r="S20" s="51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2060"/>
  </sheetPr>
  <dimension ref="A1:G837"/>
  <sheetViews>
    <sheetView zoomScaleNormal="100" zoomScalePageLayoutView="130" workbookViewId="0">
      <selection activeCell="A6" sqref="A6"/>
    </sheetView>
  </sheetViews>
  <sheetFormatPr defaultColWidth="10.7109375" defaultRowHeight="15" x14ac:dyDescent="0.25"/>
  <cols>
    <col min="1" max="1" width="40" bestFit="1" customWidth="1"/>
    <col min="2" max="2" width="18.28515625" style="37" bestFit="1" customWidth="1"/>
    <col min="3" max="3" width="10.7109375" style="37" bestFit="1" customWidth="1"/>
    <col min="4" max="4" width="42.7109375" style="37" bestFit="1" customWidth="1"/>
    <col min="5" max="5" width="45" style="37" bestFit="1" customWidth="1"/>
    <col min="6" max="6" width="11.7109375" style="37" customWidth="1"/>
    <col min="7" max="7" width="5.5703125" style="37" customWidth="1"/>
    <col min="8" max="8" width="11.28515625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B1"/>
    </row>
    <row r="2" spans="1:7" x14ac:dyDescent="0.25">
      <c r="A2" s="1" t="s">
        <v>0</v>
      </c>
      <c r="B2" s="125" t="s">
        <v>189</v>
      </c>
    </row>
    <row r="3" spans="1:7" x14ac:dyDescent="0.25">
      <c r="A3" s="1" t="s">
        <v>12</v>
      </c>
      <c r="B3" t="s">
        <v>189</v>
      </c>
    </row>
    <row r="4" spans="1:7" x14ac:dyDescent="0.25">
      <c r="B4"/>
      <c r="C4"/>
      <c r="D4"/>
      <c r="E4"/>
      <c r="F4"/>
      <c r="G4"/>
    </row>
    <row r="5" spans="1:7" x14ac:dyDescent="0.25">
      <c r="A5" s="38" t="s">
        <v>191</v>
      </c>
      <c r="B5" s="38" t="s">
        <v>117</v>
      </c>
      <c r="C5" s="125"/>
      <c r="D5"/>
      <c r="E5"/>
      <c r="F5"/>
      <c r="G5"/>
    </row>
    <row r="6" spans="1:7" x14ac:dyDescent="0.25">
      <c r="A6" s="38" t="s">
        <v>186</v>
      </c>
      <c r="B6" s="32" t="s">
        <v>187</v>
      </c>
      <c r="C6" s="32" t="s">
        <v>188</v>
      </c>
      <c r="D6"/>
      <c r="E6"/>
      <c r="F6"/>
      <c r="G6"/>
    </row>
    <row r="7" spans="1:7" x14ac:dyDescent="0.25">
      <c r="A7" s="2" t="s">
        <v>187</v>
      </c>
      <c r="B7" s="39">
        <v>0</v>
      </c>
      <c r="C7" s="39">
        <v>0</v>
      </c>
      <c r="D7"/>
      <c r="E7"/>
      <c r="F7"/>
      <c r="G7"/>
    </row>
    <row r="8" spans="1:7" x14ac:dyDescent="0.25">
      <c r="A8" s="2" t="s">
        <v>188</v>
      </c>
      <c r="B8" s="39">
        <v>0</v>
      </c>
      <c r="C8" s="39">
        <v>0</v>
      </c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AR133"/>
  <sheetViews>
    <sheetView workbookViewId="0">
      <selection activeCell="I17" sqref="I17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77</v>
      </c>
      <c r="B1" s="68">
        <v>0.2</v>
      </c>
      <c r="K1" s="21" t="s">
        <v>42</v>
      </c>
      <c r="L1" s="22" t="s">
        <v>43</v>
      </c>
      <c r="N1" s="75" t="s">
        <v>93</v>
      </c>
      <c r="O1" s="75" t="s">
        <v>86</v>
      </c>
      <c r="P1" t="s">
        <v>92</v>
      </c>
      <c r="T1" t="s">
        <v>87</v>
      </c>
      <c r="U1" t="s">
        <v>48</v>
      </c>
      <c r="V1" t="s">
        <v>88</v>
      </c>
      <c r="W1" t="s">
        <v>56</v>
      </c>
    </row>
    <row r="2" spans="1:26" x14ac:dyDescent="0.25">
      <c r="A2" s="16" t="s">
        <v>145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180</v>
      </c>
      <c r="T2" t="s">
        <v>154</v>
      </c>
      <c r="U2" t="s">
        <v>151</v>
      </c>
      <c r="V2" s="13">
        <v>42912</v>
      </c>
      <c r="W2">
        <v>0</v>
      </c>
    </row>
    <row r="3" spans="1:26" x14ac:dyDescent="0.25">
      <c r="A3" s="70" t="s">
        <v>45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181</v>
      </c>
      <c r="T3" t="s">
        <v>184</v>
      </c>
      <c r="U3" t="s">
        <v>151</v>
      </c>
      <c r="V3" s="13">
        <v>42912</v>
      </c>
      <c r="W3">
        <v>0</v>
      </c>
    </row>
    <row r="4" spans="1:26" x14ac:dyDescent="0.25">
      <c r="A4" s="16" t="s">
        <v>44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85</v>
      </c>
      <c r="U4" t="s">
        <v>54</v>
      </c>
      <c r="V4" s="13">
        <v>42912</v>
      </c>
      <c r="W4">
        <v>0</v>
      </c>
    </row>
    <row r="5" spans="1:26" x14ac:dyDescent="0.25">
      <c r="A5" s="16" t="s">
        <v>46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47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48</v>
      </c>
      <c r="B9" s="32" t="s">
        <v>49</v>
      </c>
      <c r="C9" s="32" t="s">
        <v>50</v>
      </c>
      <c r="D9" s="32" t="s">
        <v>51</v>
      </c>
      <c r="E9" s="32" t="s">
        <v>132</v>
      </c>
      <c r="F9" s="32" t="s">
        <v>77</v>
      </c>
      <c r="G9" s="32" t="s">
        <v>55</v>
      </c>
      <c r="H9" s="32" t="s">
        <v>52</v>
      </c>
      <c r="I9" s="32" t="s">
        <v>53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151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54</v>
      </c>
      <c r="B11" s="28">
        <v>2</v>
      </c>
      <c r="C11" s="28">
        <v>8</v>
      </c>
      <c r="D11" s="28">
        <f t="shared" ref="D11" si="1">B11*C11</f>
        <v>16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ht="15.75" thickBot="1" x14ac:dyDescent="0.3">
      <c r="A16" t="s">
        <v>2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ht="15.75" thickTop="1" x14ac:dyDescent="0.25">
      <c r="E17" s="30"/>
      <c r="H17" s="126" t="s">
        <v>185</v>
      </c>
      <c r="I17" s="127">
        <v>42942</v>
      </c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conditionalFormatting sqref="I17">
    <cfRule type="cellIs" dxfId="154" priority="1" operator="lessThan">
      <formula>$I$16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20.28515625" bestFit="1" customWidth="1"/>
    <col min="2" max="2" width="21.85546875" bestFit="1" customWidth="1"/>
    <col min="3" max="3" width="8.8554687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15</v>
      </c>
      <c r="B1" t="s">
        <v>189</v>
      </c>
    </row>
    <row r="2" spans="1:48" x14ac:dyDescent="0.25">
      <c r="A2" s="1" t="s">
        <v>48</v>
      </c>
      <c r="B2" t="s">
        <v>189</v>
      </c>
      <c r="J2" s="34"/>
    </row>
    <row r="3" spans="1:48" s="88" customFormat="1" x14ac:dyDescent="0.25">
      <c r="A3" s="1" t="s">
        <v>84</v>
      </c>
      <c r="B3" t="s">
        <v>189</v>
      </c>
    </row>
    <row r="4" spans="1:48" s="88" customFormat="1" ht="40.5" x14ac:dyDescent="0.25">
      <c r="D4" s="88" t="s">
        <v>180</v>
      </c>
      <c r="F4" s="88" t="s">
        <v>181</v>
      </c>
    </row>
    <row r="5" spans="1:48" x14ac:dyDescent="0.25">
      <c r="A5" s="99" t="s">
        <v>150</v>
      </c>
      <c r="B5" s="38" t="s">
        <v>190</v>
      </c>
      <c r="C5" s="78"/>
    </row>
    <row r="6" spans="1:48" s="96" customFormat="1" x14ac:dyDescent="0.25">
      <c r="A6" s="95" t="s">
        <v>186</v>
      </c>
      <c r="B6" s="97" t="s">
        <v>187</v>
      </c>
      <c r="C6" s="98" t="s">
        <v>188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187</v>
      </c>
      <c r="B7" s="25"/>
      <c r="C7" s="25"/>
    </row>
    <row r="8" spans="1:48" x14ac:dyDescent="0.25">
      <c r="A8" s="2" t="s">
        <v>188</v>
      </c>
      <c r="B8" s="25"/>
      <c r="C8" s="25"/>
    </row>
  </sheetData>
  <conditionalFormatting pivot="1" sqref="B7:C8">
    <cfRule type="cellIs" dxfId="129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6" tint="-0.249977111117893"/>
  </sheetPr>
  <dimension ref="A1:L42"/>
  <sheetViews>
    <sheetView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60</v>
      </c>
      <c r="B1" s="78" t="s">
        <v>101</v>
      </c>
      <c r="C1" s="78" t="s">
        <v>59</v>
      </c>
      <c r="D1" s="78" t="s">
        <v>48</v>
      </c>
      <c r="E1" s="78" t="s">
        <v>75</v>
      </c>
      <c r="F1" s="100" t="s">
        <v>76</v>
      </c>
      <c r="G1" s="101" t="s">
        <v>129</v>
      </c>
      <c r="H1" s="101" t="s">
        <v>130</v>
      </c>
      <c r="I1" s="78" t="s">
        <v>110</v>
      </c>
      <c r="K1" s="99" t="s">
        <v>60</v>
      </c>
      <c r="L1" s="78" t="s">
        <v>179</v>
      </c>
    </row>
    <row r="2" spans="1:12" s="78" customFormat="1" x14ac:dyDescent="0.25">
      <c r="A2" t="s">
        <v>179</v>
      </c>
      <c r="B2" s="23" t="str">
        <f t="shared" ref="B2" si="0">IF(ISERROR(FIND("BALLPARK",C2)), "Plan", "BALLPARK")</f>
        <v>BALLPARK</v>
      </c>
      <c r="C2" s="23" t="s">
        <v>69</v>
      </c>
      <c r="D2" t="s">
        <v>151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179</v>
      </c>
      <c r="B3" s="23" t="str">
        <f t="shared" ref="B3:B33" si="1">IF(ISERROR(FIND("BALLPARK",C3)), "Plan", "BALLPARK")</f>
        <v>BALLPARK</v>
      </c>
      <c r="C3" s="23" t="s">
        <v>69</v>
      </c>
      <c r="D3" t="s">
        <v>54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178</v>
      </c>
      <c r="L3" s="78" t="s">
        <v>131</v>
      </c>
    </row>
    <row r="4" spans="1:12" s="78" customFormat="1" x14ac:dyDescent="0.25">
      <c r="A4" t="s">
        <v>179</v>
      </c>
      <c r="B4" s="23" t="str">
        <f t="shared" si="1"/>
        <v>BALLPARK</v>
      </c>
      <c r="C4" s="23" t="s">
        <v>70</v>
      </c>
      <c r="D4" t="s">
        <v>54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183</v>
      </c>
      <c r="L4" s="106"/>
    </row>
    <row r="5" spans="1:12" s="78" customFormat="1" x14ac:dyDescent="0.25">
      <c r="A5" t="s">
        <v>179</v>
      </c>
      <c r="B5" s="23" t="str">
        <f t="shared" si="1"/>
        <v>BALLPARK</v>
      </c>
      <c r="C5" s="23" t="s">
        <v>70</v>
      </c>
      <c r="D5" t="s">
        <v>151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69</v>
      </c>
      <c r="L5" s="106" t="e">
        <v>#DIV/0!</v>
      </c>
    </row>
    <row r="6" spans="1:12" s="78" customFormat="1" x14ac:dyDescent="0.25">
      <c r="A6" t="s">
        <v>179</v>
      </c>
      <c r="B6" s="23" t="str">
        <f t="shared" si="1"/>
        <v>BALLPARK</v>
      </c>
      <c r="C6" s="23" t="s">
        <v>68</v>
      </c>
      <c r="D6" t="s">
        <v>54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70</v>
      </c>
      <c r="L6" s="106" t="e">
        <v>#DIV/0!</v>
      </c>
    </row>
    <row r="7" spans="1:12" s="78" customFormat="1" x14ac:dyDescent="0.25">
      <c r="A7" t="s">
        <v>179</v>
      </c>
      <c r="B7" s="23" t="str">
        <f t="shared" si="1"/>
        <v>BALLPARK</v>
      </c>
      <c r="C7" s="23" t="s">
        <v>68</v>
      </c>
      <c r="D7" t="s">
        <v>151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68</v>
      </c>
      <c r="L7" s="106" t="e">
        <v>#DIV/0!</v>
      </c>
    </row>
    <row r="8" spans="1:12" s="78" customFormat="1" x14ac:dyDescent="0.25">
      <c r="A8" t="s">
        <v>179</v>
      </c>
      <c r="B8" s="23" t="str">
        <f t="shared" si="1"/>
        <v>BALLPARK</v>
      </c>
      <c r="C8" s="23" t="s">
        <v>109</v>
      </c>
      <c r="D8" t="s">
        <v>54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109</v>
      </c>
      <c r="L8" s="106" t="e">
        <v>#DIV/0!</v>
      </c>
    </row>
    <row r="9" spans="1:12" s="78" customFormat="1" x14ac:dyDescent="0.25">
      <c r="A9" t="s">
        <v>179</v>
      </c>
      <c r="B9" s="23" t="str">
        <f t="shared" si="1"/>
        <v>BALLPARK</v>
      </c>
      <c r="C9" s="23" t="s">
        <v>109</v>
      </c>
      <c r="D9" t="s">
        <v>151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66</v>
      </c>
      <c r="L9" s="106" t="e">
        <v>#DIV/0!</v>
      </c>
    </row>
    <row r="10" spans="1:12" s="78" customFormat="1" x14ac:dyDescent="0.25">
      <c r="A10" t="s">
        <v>179</v>
      </c>
      <c r="B10" s="23" t="str">
        <f t="shared" si="1"/>
        <v>BALLPARK</v>
      </c>
      <c r="C10" s="23" t="s">
        <v>66</v>
      </c>
      <c r="D10" t="s">
        <v>151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182</v>
      </c>
      <c r="L10" s="106" t="e">
        <v>#DIV/0!</v>
      </c>
    </row>
    <row r="11" spans="1:12" s="78" customFormat="1" x14ac:dyDescent="0.25">
      <c r="A11" t="s">
        <v>179</v>
      </c>
      <c r="B11" s="23" t="str">
        <f t="shared" si="1"/>
        <v>BALLPARK</v>
      </c>
      <c r="C11" s="23" t="s">
        <v>182</v>
      </c>
      <c r="D11" t="s">
        <v>54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108</v>
      </c>
      <c r="L11" s="106" t="e">
        <v>#DIV/0!</v>
      </c>
    </row>
    <row r="12" spans="1:12" s="78" customFormat="1" x14ac:dyDescent="0.25">
      <c r="A12" t="s">
        <v>179</v>
      </c>
      <c r="B12" s="23" t="str">
        <f t="shared" si="1"/>
        <v>BALLPARK</v>
      </c>
      <c r="C12" s="23" t="s">
        <v>182</v>
      </c>
      <c r="D12" t="s">
        <v>151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67</v>
      </c>
      <c r="L12" s="106" t="e">
        <v>#DIV/0!</v>
      </c>
    </row>
    <row r="13" spans="1:12" s="78" customFormat="1" x14ac:dyDescent="0.25">
      <c r="A13" t="s">
        <v>179</v>
      </c>
      <c r="B13" s="23" t="str">
        <f t="shared" si="1"/>
        <v>BALLPARK</v>
      </c>
      <c r="C13" s="23" t="s">
        <v>108</v>
      </c>
      <c r="D13" t="s">
        <v>54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65</v>
      </c>
      <c r="L13" s="106"/>
    </row>
    <row r="14" spans="1:12" s="78" customFormat="1" x14ac:dyDescent="0.25">
      <c r="A14" t="s">
        <v>179</v>
      </c>
      <c r="B14" s="23" t="str">
        <f t="shared" si="1"/>
        <v>BALLPARK</v>
      </c>
      <c r="C14" s="23" t="s">
        <v>108</v>
      </c>
      <c r="D14" t="s">
        <v>151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6</v>
      </c>
      <c r="L14" s="106" t="e">
        <v>#DIV/0!</v>
      </c>
    </row>
    <row r="15" spans="1:12" s="78" customFormat="1" x14ac:dyDescent="0.25">
      <c r="A15" t="s">
        <v>179</v>
      </c>
      <c r="B15" s="23" t="str">
        <f t="shared" si="1"/>
        <v>BALLPARK</v>
      </c>
      <c r="C15" s="23" t="s">
        <v>67</v>
      </c>
      <c r="D15" t="s">
        <v>54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23</v>
      </c>
      <c r="L15" s="106" t="e">
        <v>#DIV/0!</v>
      </c>
    </row>
    <row r="16" spans="1:12" s="78" customFormat="1" x14ac:dyDescent="0.25">
      <c r="A16" t="s">
        <v>179</v>
      </c>
      <c r="B16" s="23" t="str">
        <f t="shared" ref="B16" si="2">IF(ISERROR(FIND("BALLPARK",C16)), "Plan", "BALLPARK")</f>
        <v>Plan</v>
      </c>
      <c r="C16" t="s">
        <v>6</v>
      </c>
      <c r="D16" t="s">
        <v>151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9</v>
      </c>
      <c r="L16" s="106" t="e">
        <v>#DIV/0!</v>
      </c>
    </row>
    <row r="17" spans="1:12" s="78" customFormat="1" x14ac:dyDescent="0.25">
      <c r="A17" t="s">
        <v>179</v>
      </c>
      <c r="B17" s="23" t="str">
        <f t="shared" si="1"/>
        <v>Plan</v>
      </c>
      <c r="C17" t="s">
        <v>6</v>
      </c>
      <c r="D17" t="s">
        <v>54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5</v>
      </c>
      <c r="L17" s="106" t="e">
        <v>#DIV/0!</v>
      </c>
    </row>
    <row r="18" spans="1:12" s="78" customFormat="1" x14ac:dyDescent="0.25">
      <c r="A18" t="s">
        <v>179</v>
      </c>
      <c r="B18" s="23" t="str">
        <f t="shared" si="1"/>
        <v>Plan</v>
      </c>
      <c r="C18" t="s">
        <v>23</v>
      </c>
      <c r="D18" t="s">
        <v>54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57</v>
      </c>
      <c r="L18" s="106" t="e">
        <v>#DIV/0!</v>
      </c>
    </row>
    <row r="19" spans="1:12" s="78" customFormat="1" x14ac:dyDescent="0.25">
      <c r="A19" t="s">
        <v>179</v>
      </c>
      <c r="B19" s="23" t="str">
        <f t="shared" si="1"/>
        <v>Plan</v>
      </c>
      <c r="C19" t="s">
        <v>9</v>
      </c>
      <c r="D19" t="s">
        <v>151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7</v>
      </c>
      <c r="L19" s="106" t="e">
        <v>#DIV/0!</v>
      </c>
    </row>
    <row r="20" spans="1:12" s="78" customFormat="1" x14ac:dyDescent="0.25">
      <c r="A20" t="s">
        <v>179</v>
      </c>
      <c r="B20" s="23" t="str">
        <f t="shared" si="1"/>
        <v>Plan</v>
      </c>
      <c r="C20" t="s">
        <v>9</v>
      </c>
      <c r="D20" t="s">
        <v>54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58</v>
      </c>
      <c r="L20" s="106" t="e">
        <v>#DIV/0!</v>
      </c>
    </row>
    <row r="21" spans="1:12" s="78" customFormat="1" x14ac:dyDescent="0.25">
      <c r="A21" t="s">
        <v>179</v>
      </c>
      <c r="B21" s="23" t="str">
        <f t="shared" si="1"/>
        <v>Plan</v>
      </c>
      <c r="C21" t="s">
        <v>5</v>
      </c>
      <c r="D21" t="s">
        <v>151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1</v>
      </c>
      <c r="L21" s="106" t="e">
        <v>#DIV/0!</v>
      </c>
    </row>
    <row r="22" spans="1:12" s="78" customFormat="1" x14ac:dyDescent="0.25">
      <c r="A22" t="s">
        <v>179</v>
      </c>
      <c r="B22" s="23" t="str">
        <f t="shared" si="1"/>
        <v>Plan</v>
      </c>
      <c r="C22" t="s">
        <v>5</v>
      </c>
      <c r="D22" t="s">
        <v>54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8</v>
      </c>
      <c r="L22" s="106" t="e">
        <v>#DIV/0!</v>
      </c>
    </row>
    <row r="23" spans="1:12" s="78" customFormat="1" x14ac:dyDescent="0.25">
      <c r="A23" t="s">
        <v>179</v>
      </c>
      <c r="B23" s="23" t="str">
        <f t="shared" si="1"/>
        <v>Plan</v>
      </c>
      <c r="C23" t="s">
        <v>57</v>
      </c>
      <c r="D23" t="s">
        <v>151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24</v>
      </c>
      <c r="L23" s="106" t="e">
        <v>#DIV/0!</v>
      </c>
    </row>
    <row r="24" spans="1:12" s="78" customFormat="1" x14ac:dyDescent="0.25">
      <c r="A24" t="s">
        <v>179</v>
      </c>
      <c r="B24" s="23" t="str">
        <f t="shared" si="1"/>
        <v>Plan</v>
      </c>
      <c r="C24" t="s">
        <v>7</v>
      </c>
      <c r="D24" t="s">
        <v>54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3</v>
      </c>
      <c r="L24" s="106" t="e">
        <v>#DIV/0!</v>
      </c>
    </row>
    <row r="25" spans="1:12" s="78" customFormat="1" x14ac:dyDescent="0.25">
      <c r="A25" t="s">
        <v>179</v>
      </c>
      <c r="B25" s="23" t="str">
        <f t="shared" si="1"/>
        <v>Plan</v>
      </c>
      <c r="C25" t="s">
        <v>58</v>
      </c>
      <c r="D25" t="s">
        <v>151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2</v>
      </c>
      <c r="L25" s="106" t="e">
        <v>#DIV/0!</v>
      </c>
    </row>
    <row r="26" spans="1:12" s="78" customFormat="1" x14ac:dyDescent="0.25">
      <c r="A26" t="s">
        <v>179</v>
      </c>
      <c r="B26" s="23" t="str">
        <f t="shared" si="1"/>
        <v>Plan</v>
      </c>
      <c r="C26" t="s">
        <v>58</v>
      </c>
      <c r="D26" t="s">
        <v>54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179</v>
      </c>
      <c r="B27" s="23" t="str">
        <f t="shared" si="1"/>
        <v>Plan</v>
      </c>
      <c r="C27" t="s">
        <v>1</v>
      </c>
      <c r="D27" t="s">
        <v>151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179</v>
      </c>
      <c r="B28" s="23" t="str">
        <f t="shared" si="1"/>
        <v>Plan</v>
      </c>
      <c r="C28" t="s">
        <v>1</v>
      </c>
      <c r="D28" t="s">
        <v>54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179</v>
      </c>
      <c r="B29" s="23" t="str">
        <f t="shared" si="1"/>
        <v>Plan</v>
      </c>
      <c r="C29" t="s">
        <v>8</v>
      </c>
      <c r="D29" t="s">
        <v>54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179</v>
      </c>
      <c r="B30" s="23" t="str">
        <f t="shared" si="1"/>
        <v>Plan</v>
      </c>
      <c r="C30" t="s">
        <v>8</v>
      </c>
      <c r="D30" t="s">
        <v>151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179</v>
      </c>
      <c r="B31" s="23" t="str">
        <f t="shared" si="1"/>
        <v>Plan</v>
      </c>
      <c r="C31" t="s">
        <v>24</v>
      </c>
      <c r="D31" t="s">
        <v>151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179</v>
      </c>
      <c r="B32" s="23" t="str">
        <f t="shared" si="1"/>
        <v>Plan</v>
      </c>
      <c r="C32" t="s">
        <v>24</v>
      </c>
      <c r="D32" t="s">
        <v>54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179</v>
      </c>
      <c r="B33" s="23" t="str">
        <f t="shared" si="1"/>
        <v>Plan</v>
      </c>
      <c r="C33" t="s">
        <v>3</v>
      </c>
      <c r="D33" t="s">
        <v>54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55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64</v>
      </c>
      <c r="B1" s="5" t="s">
        <v>16</v>
      </c>
      <c r="C1" s="5" t="s">
        <v>15</v>
      </c>
      <c r="D1" s="36" t="s">
        <v>17</v>
      </c>
      <c r="E1" s="120" t="s">
        <v>107</v>
      </c>
      <c r="G1" t="s">
        <v>101</v>
      </c>
      <c r="H1" t="s">
        <v>102</v>
      </c>
      <c r="I1" s="24" t="s">
        <v>103</v>
      </c>
      <c r="J1" t="s">
        <v>104</v>
      </c>
    </row>
    <row r="2" spans="1:10" x14ac:dyDescent="0.25">
      <c r="A2" t="s">
        <v>6</v>
      </c>
      <c r="B2" t="s">
        <v>18</v>
      </c>
      <c r="C2" t="s">
        <v>71</v>
      </c>
      <c r="D2" s="85">
        <v>1.0638297872340425</v>
      </c>
      <c r="E2" s="121">
        <f>Clusters[[#This Row],[Effort]]*1.2</f>
        <v>1.2765957446808509</v>
      </c>
      <c r="G2" t="s">
        <v>33</v>
      </c>
      <c r="H2" t="s">
        <v>69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6</v>
      </c>
      <c r="B3" t="s">
        <v>19</v>
      </c>
      <c r="C3" t="s">
        <v>71</v>
      </c>
      <c r="D3" s="85">
        <v>2.1276595744680851</v>
      </c>
      <c r="E3" s="121">
        <f>Clusters[[#This Row],[Effort]]*1.2</f>
        <v>2.5531914893617018</v>
      </c>
      <c r="G3" t="s">
        <v>33</v>
      </c>
      <c r="H3" s="23" t="s">
        <v>70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6</v>
      </c>
      <c r="B4" t="s">
        <v>20</v>
      </c>
      <c r="C4" t="s">
        <v>71</v>
      </c>
      <c r="D4" s="85">
        <v>4.2553191489361701</v>
      </c>
      <c r="E4" s="121">
        <f>Clusters[[#This Row],[Effort]]*1.2</f>
        <v>5.1063829787234036</v>
      </c>
      <c r="G4" t="s">
        <v>33</v>
      </c>
      <c r="H4" t="s">
        <v>68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6</v>
      </c>
      <c r="B5" t="s">
        <v>21</v>
      </c>
      <c r="C5" t="s">
        <v>71</v>
      </c>
      <c r="D5" s="85">
        <v>8.5106382978723403</v>
      </c>
      <c r="E5" s="121">
        <f>Clusters[[#This Row],[Effort]]*1.2</f>
        <v>10.212765957446807</v>
      </c>
      <c r="G5" t="s">
        <v>33</v>
      </c>
      <c r="H5" t="s">
        <v>66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6</v>
      </c>
      <c r="B6" t="s">
        <v>22</v>
      </c>
      <c r="C6" t="s">
        <v>71</v>
      </c>
      <c r="D6" s="85">
        <v>16</v>
      </c>
      <c r="E6" s="121">
        <f>Clusters[[#This Row],[Effort]]*1.2</f>
        <v>19.2</v>
      </c>
      <c r="G6" t="s">
        <v>33</v>
      </c>
      <c r="H6" t="s">
        <v>109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40</v>
      </c>
      <c r="B7" t="s">
        <v>18</v>
      </c>
      <c r="C7" t="s">
        <v>71</v>
      </c>
      <c r="D7" s="85">
        <v>1.0638297872340425</v>
      </c>
      <c r="E7" s="121">
        <f>Clusters[[#This Row],[Effort]]*1.2</f>
        <v>1.2765957446808509</v>
      </c>
      <c r="G7" t="s">
        <v>33</v>
      </c>
      <c r="H7" s="23" t="s">
        <v>106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40</v>
      </c>
      <c r="B8" t="s">
        <v>19</v>
      </c>
      <c r="C8" t="s">
        <v>71</v>
      </c>
      <c r="D8" s="85">
        <v>2.1276595744680851</v>
      </c>
      <c r="E8" s="121">
        <f>Clusters[[#This Row],[Effort]]*1.2</f>
        <v>2.5531914893617018</v>
      </c>
      <c r="G8" t="s">
        <v>33</v>
      </c>
      <c r="H8" t="s">
        <v>108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40</v>
      </c>
      <c r="B9" t="s">
        <v>20</v>
      </c>
      <c r="C9" t="s">
        <v>71</v>
      </c>
      <c r="D9" s="85">
        <v>3.191489361702128</v>
      </c>
      <c r="E9" s="121">
        <f>Clusters[[#This Row],[Effort]]*1.2</f>
        <v>3.8297872340425534</v>
      </c>
      <c r="G9" t="s">
        <v>33</v>
      </c>
      <c r="H9" t="s">
        <v>67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40</v>
      </c>
      <c r="B10" t="s">
        <v>21</v>
      </c>
      <c r="C10" t="s">
        <v>71</v>
      </c>
      <c r="D10" s="85">
        <v>4.2553191489361701</v>
      </c>
      <c r="E10" s="121">
        <f>Clusters[[#This Row],[Effort]]*1.2</f>
        <v>5.1063829787234036</v>
      </c>
      <c r="G10" t="s">
        <v>33</v>
      </c>
      <c r="H10" t="s">
        <v>111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40</v>
      </c>
      <c r="B11" t="s">
        <v>22</v>
      </c>
      <c r="C11" t="s">
        <v>71</v>
      </c>
      <c r="D11" s="85">
        <v>5.3191489361702127</v>
      </c>
      <c r="E11" s="121">
        <f>Clusters[[#This Row],[Effort]]*1.2</f>
        <v>6.3829787234042552</v>
      </c>
      <c r="G11" t="s">
        <v>65</v>
      </c>
      <c r="H11" s="24" t="s">
        <v>40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9</v>
      </c>
      <c r="B12" t="s">
        <v>18</v>
      </c>
      <c r="C12" t="s">
        <v>71</v>
      </c>
      <c r="D12" s="85">
        <v>4</v>
      </c>
      <c r="E12" s="121">
        <f>Clusters[[#This Row],[Effort]]*1.2</f>
        <v>4.8</v>
      </c>
      <c r="G12" t="s">
        <v>65</v>
      </c>
      <c r="H12" s="24" t="s">
        <v>6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9</v>
      </c>
      <c r="B13" t="s">
        <v>19</v>
      </c>
      <c r="C13" t="s">
        <v>71</v>
      </c>
      <c r="D13" s="85">
        <v>16</v>
      </c>
      <c r="E13" s="121">
        <f>Clusters[[#This Row],[Effort]]*1.2</f>
        <v>19.2</v>
      </c>
      <c r="G13" t="s">
        <v>65</v>
      </c>
      <c r="H13" t="s">
        <v>9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9</v>
      </c>
      <c r="B14" t="s">
        <v>20</v>
      </c>
      <c r="C14" t="s">
        <v>71</v>
      </c>
      <c r="D14" s="85">
        <v>24</v>
      </c>
      <c r="E14" s="121">
        <f>Clusters[[#This Row],[Effort]]*1.2</f>
        <v>28.799999999999997</v>
      </c>
      <c r="G14" t="s">
        <v>65</v>
      </c>
      <c r="H14" t="s">
        <v>5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9</v>
      </c>
      <c r="B15" t="s">
        <v>21</v>
      </c>
      <c r="C15" t="s">
        <v>71</v>
      </c>
      <c r="D15" s="85">
        <v>40</v>
      </c>
      <c r="E15" s="121">
        <f>Clusters[[#This Row],[Effort]]*1.2</f>
        <v>48</v>
      </c>
      <c r="G15" t="s">
        <v>65</v>
      </c>
      <c r="H15" t="s">
        <v>57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9</v>
      </c>
      <c r="B16" t="s">
        <v>22</v>
      </c>
      <c r="C16" t="s">
        <v>71</v>
      </c>
      <c r="D16" s="85">
        <v>48</v>
      </c>
      <c r="E16" s="121">
        <f>Clusters[[#This Row],[Effort]]*1.2</f>
        <v>57.599999999999994</v>
      </c>
      <c r="G16" t="s">
        <v>65</v>
      </c>
      <c r="H16" t="s">
        <v>7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5</v>
      </c>
      <c r="B17" t="s">
        <v>18</v>
      </c>
      <c r="C17" t="s">
        <v>71</v>
      </c>
      <c r="D17" s="85">
        <v>1.0638297872340425</v>
      </c>
      <c r="E17" s="121">
        <f>Clusters[[#This Row],[Effort]]*1.2</f>
        <v>1.2765957446808509</v>
      </c>
      <c r="G17" t="s">
        <v>65</v>
      </c>
      <c r="H17" s="24" t="s">
        <v>58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5</v>
      </c>
      <c r="B18" t="s">
        <v>19</v>
      </c>
      <c r="C18" t="s">
        <v>71</v>
      </c>
      <c r="D18" s="85">
        <v>2.1276595744680851</v>
      </c>
      <c r="E18" s="121">
        <f>Clusters[[#This Row],[Effort]]*1.2</f>
        <v>2.5531914893617018</v>
      </c>
      <c r="G18" t="s">
        <v>65</v>
      </c>
      <c r="H18" t="s">
        <v>1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5</v>
      </c>
      <c r="B19" t="s">
        <v>20</v>
      </c>
      <c r="C19" t="s">
        <v>71</v>
      </c>
      <c r="D19" s="85">
        <v>4.2553191489361701</v>
      </c>
      <c r="E19" s="121">
        <f>Clusters[[#This Row],[Effort]]*1.2</f>
        <v>5.1063829787234036</v>
      </c>
      <c r="G19" t="s">
        <v>65</v>
      </c>
      <c r="H19" t="s">
        <v>8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5</v>
      </c>
      <c r="B20" t="s">
        <v>21</v>
      </c>
      <c r="C20" t="s">
        <v>71</v>
      </c>
      <c r="D20" s="85">
        <v>8.5106382978723403</v>
      </c>
      <c r="E20" s="121">
        <f>Clusters[[#This Row],[Effort]]*1.2</f>
        <v>10.212765957446807</v>
      </c>
      <c r="G20" t="s">
        <v>65</v>
      </c>
      <c r="H20" s="24" t="s">
        <v>3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5</v>
      </c>
      <c r="B21" t="s">
        <v>22</v>
      </c>
      <c r="C21" t="s">
        <v>71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57</v>
      </c>
      <c r="B22" t="s">
        <v>18</v>
      </c>
      <c r="C22" t="s">
        <v>71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57</v>
      </c>
      <c r="B23" t="s">
        <v>19</v>
      </c>
      <c r="C23" t="s">
        <v>71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57</v>
      </c>
      <c r="B24" t="s">
        <v>20</v>
      </c>
      <c r="C24" t="s">
        <v>71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57</v>
      </c>
      <c r="B25" t="s">
        <v>21</v>
      </c>
      <c r="C25" t="s">
        <v>71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57</v>
      </c>
      <c r="B26" t="s">
        <v>22</v>
      </c>
      <c r="C26" t="s">
        <v>71</v>
      </c>
      <c r="D26" s="85">
        <v>8</v>
      </c>
      <c r="E26" s="121">
        <f>Clusters[[#This Row],[Effort]]*1.2</f>
        <v>9.6</v>
      </c>
    </row>
    <row r="27" spans="1:10" x14ac:dyDescent="0.25">
      <c r="A27" t="s">
        <v>7</v>
      </c>
      <c r="B27" t="s">
        <v>18</v>
      </c>
      <c r="C27" t="s">
        <v>71</v>
      </c>
      <c r="D27" s="85">
        <v>4</v>
      </c>
      <c r="E27" s="121">
        <f>Clusters[[#This Row],[Effort]]*1.2</f>
        <v>4.8</v>
      </c>
    </row>
    <row r="28" spans="1:10" x14ac:dyDescent="0.25">
      <c r="A28" t="s">
        <v>7</v>
      </c>
      <c r="B28" t="s">
        <v>19</v>
      </c>
      <c r="C28" t="s">
        <v>71</v>
      </c>
      <c r="D28" s="85">
        <v>16</v>
      </c>
      <c r="E28" s="121">
        <f>Clusters[[#This Row],[Effort]]*1.2</f>
        <v>19.2</v>
      </c>
    </row>
    <row r="29" spans="1:10" x14ac:dyDescent="0.25">
      <c r="A29" t="s">
        <v>7</v>
      </c>
      <c r="B29" t="s">
        <v>20</v>
      </c>
      <c r="C29" t="s">
        <v>71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7</v>
      </c>
      <c r="B30" t="s">
        <v>21</v>
      </c>
      <c r="C30" t="s">
        <v>71</v>
      </c>
      <c r="D30" s="85">
        <v>40</v>
      </c>
      <c r="E30" s="121">
        <f>Clusters[[#This Row],[Effort]]*1.2</f>
        <v>48</v>
      </c>
    </row>
    <row r="31" spans="1:10" x14ac:dyDescent="0.25">
      <c r="A31" t="s">
        <v>7</v>
      </c>
      <c r="B31" t="s">
        <v>22</v>
      </c>
      <c r="C31" t="s">
        <v>71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1</v>
      </c>
      <c r="B32" t="s">
        <v>18</v>
      </c>
      <c r="C32" t="s">
        <v>71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1</v>
      </c>
      <c r="B33" t="s">
        <v>19</v>
      </c>
      <c r="C33" t="s">
        <v>71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1</v>
      </c>
      <c r="B34" t="s">
        <v>20</v>
      </c>
      <c r="C34" t="s">
        <v>71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1</v>
      </c>
      <c r="B35" t="s">
        <v>21</v>
      </c>
      <c r="C35" t="s">
        <v>71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1</v>
      </c>
      <c r="B36" t="s">
        <v>22</v>
      </c>
      <c r="C36" t="s">
        <v>71</v>
      </c>
      <c r="D36" s="85">
        <v>35</v>
      </c>
      <c r="E36" s="121">
        <f>Clusters[[#This Row],[Effort]]*1.2</f>
        <v>42</v>
      </c>
    </row>
    <row r="37" spans="1:5" x14ac:dyDescent="0.25">
      <c r="A37" t="s">
        <v>8</v>
      </c>
      <c r="B37" t="s">
        <v>18</v>
      </c>
      <c r="C37" t="s">
        <v>71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8</v>
      </c>
      <c r="B38" t="s">
        <v>19</v>
      </c>
      <c r="C38" t="s">
        <v>71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8</v>
      </c>
      <c r="B39" t="s">
        <v>20</v>
      </c>
      <c r="C39" t="s">
        <v>71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8</v>
      </c>
      <c r="B40" t="s">
        <v>21</v>
      </c>
      <c r="C40" t="s">
        <v>71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8</v>
      </c>
      <c r="B41" t="s">
        <v>22</v>
      </c>
      <c r="C41" t="s">
        <v>71</v>
      </c>
      <c r="D41" s="85">
        <v>16</v>
      </c>
      <c r="E41" s="121">
        <f>Clusters[[#This Row],[Effort]]*1.2</f>
        <v>19.2</v>
      </c>
    </row>
    <row r="42" spans="1:5" x14ac:dyDescent="0.25">
      <c r="A42" t="s">
        <v>24</v>
      </c>
      <c r="B42" t="s">
        <v>18</v>
      </c>
      <c r="C42" t="s">
        <v>71</v>
      </c>
      <c r="D42" s="85">
        <v>2</v>
      </c>
      <c r="E42" s="121">
        <f>Clusters[[#This Row],[Effort]]*1.2</f>
        <v>2.4</v>
      </c>
    </row>
    <row r="43" spans="1:5" x14ac:dyDescent="0.25">
      <c r="A43" t="s">
        <v>24</v>
      </c>
      <c r="B43" t="s">
        <v>19</v>
      </c>
      <c r="C43" t="s">
        <v>71</v>
      </c>
      <c r="D43" s="85">
        <v>4</v>
      </c>
      <c r="E43" s="121">
        <f>Clusters[[#This Row],[Effort]]*1.2</f>
        <v>4.8</v>
      </c>
    </row>
    <row r="44" spans="1:5" x14ac:dyDescent="0.25">
      <c r="A44" t="s">
        <v>24</v>
      </c>
      <c r="B44" t="s">
        <v>20</v>
      </c>
      <c r="C44" t="s">
        <v>71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24</v>
      </c>
      <c r="B45" t="s">
        <v>21</v>
      </c>
      <c r="C45" t="s">
        <v>71</v>
      </c>
      <c r="D45" s="85">
        <v>10</v>
      </c>
      <c r="E45" s="121">
        <f>Clusters[[#This Row],[Effort]]*1.2</f>
        <v>12</v>
      </c>
    </row>
    <row r="46" spans="1:5" x14ac:dyDescent="0.25">
      <c r="A46" t="s">
        <v>24</v>
      </c>
      <c r="B46" t="s">
        <v>22</v>
      </c>
      <c r="C46" t="s">
        <v>71</v>
      </c>
      <c r="D46" s="85">
        <v>16</v>
      </c>
      <c r="E46" s="121">
        <f>Clusters[[#This Row],[Effort]]*1.2</f>
        <v>19.2</v>
      </c>
    </row>
    <row r="47" spans="1:5" x14ac:dyDescent="0.25">
      <c r="A47" t="s">
        <v>3</v>
      </c>
      <c r="B47" t="s">
        <v>18</v>
      </c>
      <c r="C47" t="s">
        <v>71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3</v>
      </c>
      <c r="B48" t="s">
        <v>19</v>
      </c>
      <c r="C48" t="s">
        <v>71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3</v>
      </c>
      <c r="B49" t="s">
        <v>20</v>
      </c>
      <c r="C49" t="s">
        <v>71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3</v>
      </c>
      <c r="B50" t="s">
        <v>21</v>
      </c>
      <c r="C50" t="s">
        <v>71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3</v>
      </c>
      <c r="B51" t="s">
        <v>22</v>
      </c>
      <c r="C51" t="s">
        <v>71</v>
      </c>
      <c r="D51" s="85">
        <v>35</v>
      </c>
      <c r="E51" s="121">
        <f>Clusters[[#This Row],[Effort]]*1.2</f>
        <v>42</v>
      </c>
    </row>
    <row r="52" spans="1:5" x14ac:dyDescent="0.25">
      <c r="A52" t="s">
        <v>58</v>
      </c>
      <c r="B52" t="s">
        <v>18</v>
      </c>
      <c r="C52" t="s">
        <v>71</v>
      </c>
      <c r="D52" s="85">
        <v>2</v>
      </c>
      <c r="E52" s="121">
        <f>Clusters[[#This Row],[Effort]]*1.2</f>
        <v>2.4</v>
      </c>
    </row>
    <row r="53" spans="1:5" x14ac:dyDescent="0.25">
      <c r="A53" t="s">
        <v>58</v>
      </c>
      <c r="B53" t="s">
        <v>19</v>
      </c>
      <c r="C53" t="s">
        <v>71</v>
      </c>
      <c r="D53" s="85">
        <v>4</v>
      </c>
      <c r="E53" s="121">
        <f>Clusters[[#This Row],[Effort]]*1.2</f>
        <v>4.8</v>
      </c>
    </row>
    <row r="54" spans="1:5" x14ac:dyDescent="0.25">
      <c r="A54" t="s">
        <v>58</v>
      </c>
      <c r="B54" t="s">
        <v>20</v>
      </c>
      <c r="C54" t="s">
        <v>71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58</v>
      </c>
      <c r="B55" t="s">
        <v>21</v>
      </c>
      <c r="C55" t="s">
        <v>71</v>
      </c>
      <c r="D55" s="85">
        <v>10</v>
      </c>
      <c r="E55" s="121">
        <f>Clusters[[#This Row],[Effort]]*1.2</f>
        <v>12</v>
      </c>
    </row>
    <row r="56" spans="1:5" x14ac:dyDescent="0.25">
      <c r="A56" t="s">
        <v>58</v>
      </c>
      <c r="B56" t="s">
        <v>22</v>
      </c>
      <c r="C56" t="s">
        <v>71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177</v>
      </c>
      <c r="B57" t="s">
        <v>18</v>
      </c>
      <c r="C57" t="s">
        <v>71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177</v>
      </c>
      <c r="B58" t="s">
        <v>19</v>
      </c>
      <c r="C58" t="s">
        <v>71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177</v>
      </c>
      <c r="B59" t="s">
        <v>20</v>
      </c>
      <c r="C59" t="s">
        <v>71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177</v>
      </c>
      <c r="B60" t="s">
        <v>21</v>
      </c>
      <c r="C60" t="s">
        <v>71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177</v>
      </c>
      <c r="B61" t="s">
        <v>22</v>
      </c>
      <c r="C61" t="s">
        <v>71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66</v>
      </c>
      <c r="B62" t="s">
        <v>18</v>
      </c>
      <c r="C62" t="s">
        <v>152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66</v>
      </c>
      <c r="B63" t="s">
        <v>19</v>
      </c>
      <c r="C63" t="s">
        <v>152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66</v>
      </c>
      <c r="B64" t="s">
        <v>20</v>
      </c>
      <c r="C64" t="s">
        <v>152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66</v>
      </c>
      <c r="B65" t="s">
        <v>21</v>
      </c>
      <c r="C65" t="s">
        <v>152</v>
      </c>
      <c r="D65" s="85">
        <v>5</v>
      </c>
      <c r="E65" s="121">
        <f>Clusters[[#This Row],[Effort]]*1.2</f>
        <v>6</v>
      </c>
    </row>
    <row r="66" spans="1:5" x14ac:dyDescent="0.25">
      <c r="A66" s="23" t="s">
        <v>66</v>
      </c>
      <c r="B66" t="s">
        <v>22</v>
      </c>
      <c r="C66" t="s">
        <v>152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67</v>
      </c>
      <c r="B67" t="s">
        <v>18</v>
      </c>
      <c r="C67" t="s">
        <v>71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67</v>
      </c>
      <c r="B68" t="s">
        <v>19</v>
      </c>
      <c r="C68" t="s">
        <v>71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67</v>
      </c>
      <c r="B69" t="s">
        <v>20</v>
      </c>
      <c r="C69" t="s">
        <v>71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67</v>
      </c>
      <c r="B70" t="s">
        <v>21</v>
      </c>
      <c r="C70" t="s">
        <v>71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67</v>
      </c>
      <c r="B71" t="s">
        <v>22</v>
      </c>
      <c r="C71" t="s">
        <v>71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108</v>
      </c>
      <c r="B72" t="s">
        <v>18</v>
      </c>
      <c r="C72" t="s">
        <v>71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108</v>
      </c>
      <c r="B73" t="s">
        <v>19</v>
      </c>
      <c r="C73" t="s">
        <v>71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108</v>
      </c>
      <c r="B74" t="s">
        <v>20</v>
      </c>
      <c r="C74" t="s">
        <v>71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108</v>
      </c>
      <c r="B75" t="s">
        <v>21</v>
      </c>
      <c r="C75" t="s">
        <v>71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108</v>
      </c>
      <c r="B76" t="s">
        <v>22</v>
      </c>
      <c r="C76" t="s">
        <v>71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68</v>
      </c>
      <c r="B77" t="s">
        <v>18</v>
      </c>
      <c r="C77" t="s">
        <v>71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68</v>
      </c>
      <c r="B78" t="s">
        <v>19</v>
      </c>
      <c r="C78" t="s">
        <v>71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68</v>
      </c>
      <c r="B79" t="s">
        <v>20</v>
      </c>
      <c r="C79" t="s">
        <v>71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68</v>
      </c>
      <c r="B80" t="s">
        <v>21</v>
      </c>
      <c r="C80" t="s">
        <v>71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68</v>
      </c>
      <c r="B81" t="s">
        <v>22</v>
      </c>
      <c r="C81" t="s">
        <v>71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69</v>
      </c>
      <c r="B82" t="s">
        <v>18</v>
      </c>
      <c r="C82" t="s">
        <v>71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69</v>
      </c>
      <c r="B83" t="s">
        <v>19</v>
      </c>
      <c r="C83" t="s">
        <v>71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69</v>
      </c>
      <c r="B84" t="s">
        <v>20</v>
      </c>
      <c r="C84" t="s">
        <v>71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69</v>
      </c>
      <c r="B85" t="s">
        <v>21</v>
      </c>
      <c r="C85" t="s">
        <v>71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69</v>
      </c>
      <c r="B86" t="s">
        <v>22</v>
      </c>
      <c r="C86" t="s">
        <v>71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70</v>
      </c>
      <c r="B87" t="s">
        <v>18</v>
      </c>
      <c r="C87" t="s">
        <v>153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70</v>
      </c>
      <c r="B88" t="s">
        <v>19</v>
      </c>
      <c r="C88" t="s">
        <v>153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70</v>
      </c>
      <c r="B89" t="s">
        <v>20</v>
      </c>
      <c r="C89" t="s">
        <v>153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70</v>
      </c>
      <c r="B90" t="s">
        <v>21</v>
      </c>
      <c r="C90" t="s">
        <v>153</v>
      </c>
      <c r="D90" s="85">
        <v>5</v>
      </c>
      <c r="E90" s="121">
        <f>Clusters[[#This Row],[Effort]]*1.2</f>
        <v>6</v>
      </c>
    </row>
    <row r="91" spans="1:5" x14ac:dyDescent="0.25">
      <c r="A91" s="23" t="s">
        <v>70</v>
      </c>
      <c r="B91" t="s">
        <v>22</v>
      </c>
      <c r="C91" t="s">
        <v>153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182</v>
      </c>
      <c r="B92" t="s">
        <v>18</v>
      </c>
      <c r="C92" t="s">
        <v>152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182</v>
      </c>
      <c r="B93" t="s">
        <v>19</v>
      </c>
      <c r="C93" t="s">
        <v>152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182</v>
      </c>
      <c r="B94" t="s">
        <v>20</v>
      </c>
      <c r="C94" t="s">
        <v>152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182</v>
      </c>
      <c r="B95" t="s">
        <v>21</v>
      </c>
      <c r="C95" t="s">
        <v>152</v>
      </c>
      <c r="D95" s="85">
        <v>5</v>
      </c>
      <c r="E95" s="121">
        <f>Clusters[[#This Row],[Effort]]*1.2</f>
        <v>6</v>
      </c>
    </row>
    <row r="96" spans="1:5" x14ac:dyDescent="0.25">
      <c r="A96" s="23" t="s">
        <v>182</v>
      </c>
      <c r="B96" t="s">
        <v>22</v>
      </c>
      <c r="C96" t="s">
        <v>152</v>
      </c>
      <c r="D96" s="85">
        <v>8</v>
      </c>
      <c r="E96" s="121">
        <f>Clusters[[#This Row],[Effort]]*1.2</f>
        <v>9.6</v>
      </c>
    </row>
    <row r="97" spans="1:5" x14ac:dyDescent="0.25">
      <c r="A97" t="s">
        <v>176</v>
      </c>
      <c r="B97" t="s">
        <v>18</v>
      </c>
      <c r="C97" t="s">
        <v>71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176</v>
      </c>
      <c r="B98" t="s">
        <v>19</v>
      </c>
      <c r="C98" t="s">
        <v>71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176</v>
      </c>
      <c r="B99" t="s">
        <v>20</v>
      </c>
      <c r="C99" t="s">
        <v>71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176</v>
      </c>
      <c r="B100" t="s">
        <v>21</v>
      </c>
      <c r="C100" t="s">
        <v>71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176</v>
      </c>
      <c r="B101" t="s">
        <v>22</v>
      </c>
      <c r="C101" t="s">
        <v>71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S97"/>
  <sheetViews>
    <sheetView topLeftCell="AN1" workbookViewId="0">
      <selection activeCell="AR1" sqref="AR1:AU1"/>
    </sheetView>
  </sheetViews>
  <sheetFormatPr defaultColWidth="8.7109375" defaultRowHeight="15" x14ac:dyDescent="0.25"/>
  <cols>
    <col min="1" max="1" width="35.28515625" bestFit="1" customWidth="1"/>
    <col min="2" max="2" width="15.7109375" bestFit="1" customWidth="1"/>
    <col min="3" max="3" width="17" bestFit="1" customWidth="1"/>
    <col min="4" max="4" width="15.7109375" bestFit="1" customWidth="1"/>
    <col min="5" max="5" width="47.5703125" bestFit="1" customWidth="1"/>
    <col min="6" max="6" width="54.28515625" bestFit="1" customWidth="1"/>
    <col min="7" max="7" width="17.42578125" bestFit="1" customWidth="1"/>
    <col min="8" max="8" width="24.7109375" bestFit="1" customWidth="1"/>
    <col min="9" max="9" width="17.42578125" bestFit="1" customWidth="1"/>
    <col min="10" max="10" width="81.140625" customWidth="1"/>
    <col min="11" max="12" width="81.140625" hidden="1" customWidth="1"/>
    <col min="13" max="13" width="28.7109375" bestFit="1" customWidth="1"/>
    <col min="14" max="14" width="24.7109375" customWidth="1"/>
    <col min="15" max="15" width="17.42578125" bestFit="1" customWidth="1"/>
    <col min="16" max="16" width="81.140625" customWidth="1"/>
    <col min="17" max="18" width="81.140625" hidden="1" customWidth="1"/>
    <col min="19" max="19" width="14.28515625" hidden="1" customWidth="1"/>
    <col min="20" max="20" width="10.5703125" hidden="1" customWidth="1"/>
    <col min="21" max="21" width="14.140625" hidden="1" customWidth="1"/>
    <col min="22" max="22" width="16.140625" hidden="1" customWidth="1"/>
    <col min="23" max="23" width="14.42578125" customWidth="1"/>
    <col min="24" max="24" width="10.42578125" customWidth="1"/>
    <col min="25" max="25" width="17.140625" style="25" customWidth="1"/>
    <col min="26" max="26" width="19" customWidth="1"/>
    <col min="27" max="27" width="17.7109375" customWidth="1"/>
    <col min="28" max="28" width="12.42578125" customWidth="1"/>
    <col min="29" max="29" width="19.28515625" customWidth="1"/>
    <col min="30" max="30" width="16.140625" customWidth="1"/>
    <col min="31" max="31" width="15.85546875" customWidth="1"/>
    <col min="32" max="32" width="17.7109375" bestFit="1" customWidth="1"/>
    <col min="33" max="33" width="17.42578125" bestFit="1" customWidth="1"/>
    <col min="34" max="34" width="15.5703125" bestFit="1" customWidth="1"/>
    <col min="35" max="35" width="15.7109375" bestFit="1" customWidth="1"/>
    <col min="36" max="36" width="13" bestFit="1" customWidth="1"/>
    <col min="37" max="37" width="12.7109375" bestFit="1" customWidth="1"/>
    <col min="38" max="38" width="15.7109375" bestFit="1" customWidth="1"/>
    <col min="39" max="39" width="16.140625" bestFit="1" customWidth="1"/>
    <col min="40" max="40" width="13.28515625" bestFit="1" customWidth="1"/>
    <col min="41" max="41" width="17" bestFit="1" customWidth="1"/>
    <col min="42" max="42" width="16.42578125" bestFit="1" customWidth="1"/>
    <col min="43" max="43" width="36.140625" bestFit="1" customWidth="1"/>
    <col min="44" max="44" width="24" bestFit="1" customWidth="1"/>
    <col min="45" max="45" width="20.28515625" bestFit="1" customWidth="1"/>
    <col min="46" max="46" width="23.28515625" bestFit="1" customWidth="1"/>
    <col min="47" max="47" width="81.140625" customWidth="1"/>
    <col min="48" max="48" width="21.7109375" bestFit="1" customWidth="1"/>
    <col min="49" max="49" width="16.85546875" bestFit="1" customWidth="1"/>
    <col min="50" max="51" width="16.85546875" customWidth="1"/>
    <col min="52" max="52" width="22.140625" bestFit="1" customWidth="1"/>
    <col min="53" max="53" width="80.7109375" bestFit="1" customWidth="1"/>
    <col min="54" max="54" width="13.42578125" bestFit="1" customWidth="1"/>
    <col min="55" max="55" width="20.7109375" bestFit="1" customWidth="1"/>
    <col min="56" max="56" width="16.140625" bestFit="1" customWidth="1"/>
    <col min="57" max="57" width="22.140625" bestFit="1" customWidth="1"/>
    <col min="58" max="58" width="17.42578125" bestFit="1" customWidth="1"/>
    <col min="59" max="59" width="22.7109375" bestFit="1" customWidth="1"/>
    <col min="60" max="60" width="19.140625" bestFit="1" customWidth="1"/>
    <col min="61" max="61" width="22.140625" bestFit="1" customWidth="1"/>
    <col min="62" max="62" width="80.7109375" bestFit="1" customWidth="1"/>
    <col min="63" max="63" width="13.42578125" bestFit="1" customWidth="1"/>
    <col min="64" max="64" width="20.7109375" bestFit="1" customWidth="1"/>
    <col min="65" max="65" width="16.140625" bestFit="1" customWidth="1"/>
    <col min="66" max="66" width="22.140625" bestFit="1" customWidth="1"/>
    <col min="67" max="68" width="17.42578125" bestFit="1" customWidth="1"/>
    <col min="69" max="69" width="11.42578125" bestFit="1" customWidth="1"/>
    <col min="70" max="71" width="80.7109375" bestFit="1" customWidth="1"/>
    <col min="72" max="72" width="11.42578125" customWidth="1"/>
    <col min="73" max="73" width="15.28515625" customWidth="1"/>
    <col min="74" max="74" width="19.7109375" bestFit="1" customWidth="1"/>
    <col min="75" max="75" width="16.7109375" bestFit="1" customWidth="1"/>
    <col min="76" max="76" width="13.28515625" bestFit="1" customWidth="1"/>
    <col min="77" max="77" width="15" customWidth="1"/>
    <col min="78" max="78" width="16.28515625" customWidth="1"/>
    <col min="79" max="79" width="15.140625" customWidth="1"/>
    <col min="80" max="80" width="45.42578125" customWidth="1"/>
    <col min="81" max="81" width="52.28515625" customWidth="1"/>
    <col min="82" max="82" width="20.28515625" customWidth="1"/>
    <col min="83" max="83" width="21.7109375" customWidth="1"/>
    <col min="84" max="84" width="15.28515625" bestFit="1" customWidth="1"/>
    <col min="85" max="85" width="11.42578125" bestFit="1" customWidth="1"/>
    <col min="86" max="87" width="80.7109375" bestFit="1" customWidth="1"/>
    <col min="88" max="89" width="57.28515625" bestFit="1" customWidth="1"/>
    <col min="90" max="90" width="80.7109375" bestFit="1" customWidth="1"/>
    <col min="91" max="91" width="24.140625" bestFit="1" customWidth="1"/>
    <col min="92" max="92" width="80.7109375" bestFit="1" customWidth="1"/>
    <col min="93" max="93" width="22.7109375" bestFit="1" customWidth="1"/>
    <col min="94" max="94" width="10.7109375" bestFit="1" customWidth="1"/>
    <col min="95" max="95" width="15.7109375" bestFit="1" customWidth="1"/>
    <col min="96" max="96" width="10.140625" bestFit="1" customWidth="1"/>
    <col min="97" max="97" width="22.7109375" bestFit="1" customWidth="1"/>
    <col min="98" max="98" width="14.7109375" bestFit="1" customWidth="1"/>
  </cols>
  <sheetData>
    <row r="1" spans="1:45" x14ac:dyDescent="0.25">
      <c r="A1" s="6" t="s">
        <v>0</v>
      </c>
      <c r="B1" t="s">
        <v>11</v>
      </c>
      <c r="C1" t="s">
        <v>12</v>
      </c>
      <c r="D1" t="s">
        <v>13</v>
      </c>
      <c r="E1" t="s">
        <v>160</v>
      </c>
      <c r="F1" t="s">
        <v>14</v>
      </c>
      <c r="G1" t="s">
        <v>161</v>
      </c>
      <c r="H1" t="s">
        <v>162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171</v>
      </c>
      <c r="P1" t="s">
        <v>172</v>
      </c>
      <c r="Q1" t="s">
        <v>173</v>
      </c>
      <c r="R1" t="s">
        <v>174</v>
      </c>
      <c r="S1" s="6" t="s">
        <v>159</v>
      </c>
      <c r="T1" s="6" t="s">
        <v>163</v>
      </c>
      <c r="U1" s="6" t="s">
        <v>170</v>
      </c>
      <c r="V1" s="6" t="s">
        <v>61</v>
      </c>
      <c r="W1" s="6" t="s">
        <v>62</v>
      </c>
      <c r="X1" s="6" t="s">
        <v>63</v>
      </c>
      <c r="Y1" s="6" t="s">
        <v>73</v>
      </c>
      <c r="Z1" s="6" t="s">
        <v>78</v>
      </c>
      <c r="AA1" s="6" t="s">
        <v>175</v>
      </c>
      <c r="AB1" s="6" t="s">
        <v>79</v>
      </c>
      <c r="AC1" s="6" t="s">
        <v>105</v>
      </c>
      <c r="AD1" s="6" t="s">
        <v>114</v>
      </c>
      <c r="AE1" s="6" t="s">
        <v>116</v>
      </c>
      <c r="AF1" s="6" t="s">
        <v>112</v>
      </c>
      <c r="AG1" s="6" t="s">
        <v>113</v>
      </c>
      <c r="AH1" s="6" t="s">
        <v>118</v>
      </c>
      <c r="AI1" s="6" t="s">
        <v>119</v>
      </c>
      <c r="AJ1" t="s">
        <v>72</v>
      </c>
      <c r="AK1" t="s">
        <v>115</v>
      </c>
      <c r="AL1" t="s">
        <v>133</v>
      </c>
      <c r="AM1" t="s">
        <v>134</v>
      </c>
      <c r="AN1" t="s">
        <v>28</v>
      </c>
      <c r="AO1" t="s">
        <v>27</v>
      </c>
      <c r="AP1" t="s">
        <v>29</v>
      </c>
      <c r="AQ1" t="s">
        <v>26</v>
      </c>
      <c r="AR1" t="s">
        <v>36</v>
      </c>
      <c r="AS1" t="s">
        <v>37</v>
      </c>
    </row>
    <row r="2" spans="1:45" x14ac:dyDescent="0.25">
      <c r="Y2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</row>
    <row r="3" spans="1:45" x14ac:dyDescent="0.25">
      <c r="Y3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</row>
    <row r="4" spans="1:45" x14ac:dyDescent="0.25">
      <c r="Y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45" x14ac:dyDescent="0.25">
      <c r="Y5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</row>
    <row r="6" spans="1:45" x14ac:dyDescent="0.25">
      <c r="Y6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</row>
    <row r="7" spans="1:45" x14ac:dyDescent="0.25">
      <c r="Y7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</row>
    <row r="8" spans="1:45" x14ac:dyDescent="0.25">
      <c r="Y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</row>
    <row r="9" spans="1:45" x14ac:dyDescent="0.25">
      <c r="Y9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</row>
    <row r="10" spans="1:45" x14ac:dyDescent="0.25">
      <c r="Y10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</row>
    <row r="11" spans="1:45" x14ac:dyDescent="0.25">
      <c r="Y11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</row>
    <row r="12" spans="1:45" x14ac:dyDescent="0.25">
      <c r="Y12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</row>
    <row r="13" spans="1:45" x14ac:dyDescent="0.25">
      <c r="Y13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</row>
    <row r="14" spans="1:45" x14ac:dyDescent="0.25">
      <c r="Y1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</row>
    <row r="15" spans="1:45" x14ac:dyDescent="0.25">
      <c r="Y15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</row>
    <row r="16" spans="1:45" x14ac:dyDescent="0.25">
      <c r="Y1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</row>
    <row r="17" spans="25:45" x14ac:dyDescent="0.25">
      <c r="Y17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</row>
    <row r="18" spans="25:45" x14ac:dyDescent="0.25">
      <c r="Y1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25:45" x14ac:dyDescent="0.25">
      <c r="Y19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25:45" x14ac:dyDescent="0.25">
      <c r="Y2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25:45" x14ac:dyDescent="0.25">
      <c r="Y21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25:45" x14ac:dyDescent="0.25">
      <c r="Y22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</row>
    <row r="23" spans="25:45" x14ac:dyDescent="0.25">
      <c r="Y23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</row>
    <row r="24" spans="25:45" x14ac:dyDescent="0.25">
      <c r="Y2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</row>
    <row r="25" spans="25:45" x14ac:dyDescent="0.25">
      <c r="Y25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25:45" x14ac:dyDescent="0.25">
      <c r="Y2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25:45" x14ac:dyDescent="0.25">
      <c r="Y27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</row>
    <row r="28" spans="25:45" x14ac:dyDescent="0.25">
      <c r="Y2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</row>
    <row r="29" spans="25:45" x14ac:dyDescent="0.25">
      <c r="Y29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</row>
    <row r="30" spans="25:45" x14ac:dyDescent="0.25">
      <c r="Y3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</row>
    <row r="31" spans="25:45" x14ac:dyDescent="0.25">
      <c r="Y31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</row>
    <row r="32" spans="25:45" x14ac:dyDescent="0.25">
      <c r="Y32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</row>
    <row r="33" spans="25:45" x14ac:dyDescent="0.25">
      <c r="Y33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</row>
    <row r="34" spans="25:45" x14ac:dyDescent="0.25">
      <c r="Y3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</row>
    <row r="35" spans="25:45" x14ac:dyDescent="0.25">
      <c r="Y35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</row>
    <row r="36" spans="25:45" x14ac:dyDescent="0.25">
      <c r="Y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</row>
    <row r="37" spans="25:45" x14ac:dyDescent="0.25">
      <c r="Y37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</row>
    <row r="38" spans="25:45" x14ac:dyDescent="0.25">
      <c r="Y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</row>
    <row r="39" spans="25:45" x14ac:dyDescent="0.25">
      <c r="Y3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</row>
    <row r="40" spans="25:45" x14ac:dyDescent="0.25">
      <c r="Y4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</row>
    <row r="41" spans="25:45" x14ac:dyDescent="0.25">
      <c r="Y41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</row>
    <row r="42" spans="25:45" x14ac:dyDescent="0.25">
      <c r="Y42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</row>
    <row r="43" spans="25:45" x14ac:dyDescent="0.25">
      <c r="Y43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</row>
    <row r="44" spans="25:45" x14ac:dyDescent="0.25">
      <c r="Y4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</row>
    <row r="45" spans="25:45" x14ac:dyDescent="0.25">
      <c r="Y4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</row>
    <row r="46" spans="25:45" x14ac:dyDescent="0.25">
      <c r="Y4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</row>
    <row r="47" spans="25:45" x14ac:dyDescent="0.25">
      <c r="Y47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</row>
    <row r="48" spans="25:45" x14ac:dyDescent="0.25">
      <c r="Y48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</row>
    <row r="49" spans="25:45" x14ac:dyDescent="0.25">
      <c r="Y49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</row>
    <row r="50" spans="25:45" x14ac:dyDescent="0.25">
      <c r="Y5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</row>
    <row r="51" spans="25:45" x14ac:dyDescent="0.25">
      <c r="Y51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</row>
    <row r="52" spans="25:45" x14ac:dyDescent="0.25">
      <c r="Y52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</row>
    <row r="53" spans="25:45" x14ac:dyDescent="0.25">
      <c r="Y53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</row>
    <row r="54" spans="25:45" x14ac:dyDescent="0.25">
      <c r="Y5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</row>
    <row r="55" spans="25:45" x14ac:dyDescent="0.25">
      <c r="Y55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</row>
    <row r="56" spans="25:45" x14ac:dyDescent="0.25">
      <c r="Y5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</row>
    <row r="57" spans="25:45" x14ac:dyDescent="0.25">
      <c r="Y57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</row>
    <row r="58" spans="25:45" x14ac:dyDescent="0.25">
      <c r="Y58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</row>
    <row r="59" spans="25:45" x14ac:dyDescent="0.25">
      <c r="Y59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</row>
    <row r="60" spans="25:45" x14ac:dyDescent="0.25">
      <c r="Y6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</row>
    <row r="61" spans="25:45" x14ac:dyDescent="0.25">
      <c r="Y61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</row>
    <row r="62" spans="25:45" x14ac:dyDescent="0.25">
      <c r="Y62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</row>
    <row r="63" spans="25:45" x14ac:dyDescent="0.25">
      <c r="Y63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</row>
    <row r="64" spans="25:45" x14ac:dyDescent="0.25">
      <c r="Y6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</row>
    <row r="65" spans="25:45" x14ac:dyDescent="0.25">
      <c r="Y65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</row>
    <row r="66" spans="25:45" x14ac:dyDescent="0.25">
      <c r="Y66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</row>
    <row r="67" spans="25:45" x14ac:dyDescent="0.25">
      <c r="Y67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</row>
    <row r="68" spans="25:45" x14ac:dyDescent="0.25">
      <c r="Y68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</row>
    <row r="69" spans="25:45" x14ac:dyDescent="0.25">
      <c r="Y69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</row>
    <row r="70" spans="25:45" x14ac:dyDescent="0.25">
      <c r="Y7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</row>
    <row r="71" spans="25:45" x14ac:dyDescent="0.25">
      <c r="Y71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</row>
    <row r="72" spans="25:45" x14ac:dyDescent="0.25">
      <c r="Y72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</row>
    <row r="73" spans="25:45" x14ac:dyDescent="0.25">
      <c r="Y73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</row>
    <row r="74" spans="25:45" x14ac:dyDescent="0.25">
      <c r="Y7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</row>
    <row r="75" spans="25:45" x14ac:dyDescent="0.25">
      <c r="Y75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</row>
    <row r="76" spans="25:45" x14ac:dyDescent="0.25">
      <c r="Y7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</row>
    <row r="77" spans="25:45" x14ac:dyDescent="0.25">
      <c r="Y77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</row>
    <row r="78" spans="25:45" x14ac:dyDescent="0.25">
      <c r="Y78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</row>
    <row r="79" spans="25:45" x14ac:dyDescent="0.25">
      <c r="Y79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</row>
    <row r="80" spans="25:45" x14ac:dyDescent="0.25">
      <c r="Y80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</row>
    <row r="81" spans="25:45" x14ac:dyDescent="0.25">
      <c r="Y81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</row>
    <row r="82" spans="25:45" x14ac:dyDescent="0.25">
      <c r="Y82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</row>
    <row r="83" spans="25:45" x14ac:dyDescent="0.25">
      <c r="Y83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</row>
    <row r="84" spans="25:45" x14ac:dyDescent="0.25">
      <c r="Y8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</row>
    <row r="85" spans="25:45" x14ac:dyDescent="0.25">
      <c r="Y85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</row>
    <row r="86" spans="25:45" x14ac:dyDescent="0.25">
      <c r="Y8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</row>
    <row r="87" spans="25:45" x14ac:dyDescent="0.25">
      <c r="Y87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</row>
    <row r="88" spans="25:45" x14ac:dyDescent="0.25">
      <c r="Y88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</row>
    <row r="89" spans="25:45" x14ac:dyDescent="0.25">
      <c r="Y89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25:45" x14ac:dyDescent="0.25">
      <c r="Y90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</row>
    <row r="91" spans="25:45" x14ac:dyDescent="0.25">
      <c r="Y91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</row>
    <row r="92" spans="25:45" x14ac:dyDescent="0.25">
      <c r="Y92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</row>
    <row r="93" spans="25:45" x14ac:dyDescent="0.25">
      <c r="Y93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</row>
    <row r="94" spans="25:45" x14ac:dyDescent="0.25">
      <c r="Y9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</row>
    <row r="95" spans="25:45" x14ac:dyDescent="0.25">
      <c r="Y95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</row>
    <row r="96" spans="25:45" x14ac:dyDescent="0.25">
      <c r="Y9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</row>
    <row r="97" spans="25:45" x14ac:dyDescent="0.25">
      <c r="Y97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90</v>
      </c>
      <c r="B1" s="79" t="s">
        <v>82</v>
      </c>
      <c r="C1" s="79" t="s">
        <v>83</v>
      </c>
      <c r="D1" s="79" t="s">
        <v>89</v>
      </c>
      <c r="E1" s="79" t="s">
        <v>91</v>
      </c>
      <c r="F1" s="79" t="s">
        <v>15</v>
      </c>
      <c r="G1" s="79" t="s">
        <v>48</v>
      </c>
      <c r="H1" s="79" t="s">
        <v>80</v>
      </c>
      <c r="I1" s="79" t="s">
        <v>17</v>
      </c>
      <c r="J1" s="79" t="s">
        <v>140</v>
      </c>
      <c r="K1" s="80" t="s">
        <v>143</v>
      </c>
      <c r="L1" s="79" t="s">
        <v>84</v>
      </c>
      <c r="M1" s="81" t="s">
        <v>86</v>
      </c>
      <c r="N1" s="82" t="s">
        <v>81</v>
      </c>
      <c r="O1" s="89" t="s">
        <v>97</v>
      </c>
      <c r="P1" s="83" t="s">
        <v>147</v>
      </c>
      <c r="Q1" s="67" t="s">
        <v>148</v>
      </c>
      <c r="R1" s="67" t="s">
        <v>149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1"/>
  </sheetPr>
  <dimension ref="A1:V1"/>
  <sheetViews>
    <sheetView workbookViewId="0">
      <selection activeCell="C17" sqref="C17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137</v>
      </c>
      <c r="B1" s="26" t="s">
        <v>41</v>
      </c>
      <c r="C1" s="26" t="s">
        <v>138</v>
      </c>
      <c r="D1" s="26" t="s">
        <v>139</v>
      </c>
      <c r="E1" s="26" t="s">
        <v>94</v>
      </c>
      <c r="F1" s="26" t="s">
        <v>80</v>
      </c>
      <c r="G1" s="26" t="s">
        <v>17</v>
      </c>
      <c r="H1" s="26" t="s">
        <v>107</v>
      </c>
      <c r="I1" s="26" t="s">
        <v>48</v>
      </c>
      <c r="J1" s="26" t="s">
        <v>95</v>
      </c>
      <c r="K1" s="26" t="s">
        <v>56</v>
      </c>
      <c r="L1" s="26" t="s">
        <v>142</v>
      </c>
      <c r="M1" s="26" t="s">
        <v>77</v>
      </c>
      <c r="N1" s="26" t="s">
        <v>141</v>
      </c>
      <c r="O1" s="26" t="s">
        <v>96</v>
      </c>
      <c r="P1" s="26" t="s">
        <v>87</v>
      </c>
      <c r="Q1" s="27" t="s">
        <v>97</v>
      </c>
      <c r="R1" s="27" t="s">
        <v>144</v>
      </c>
      <c r="S1" s="27" t="s">
        <v>98</v>
      </c>
      <c r="T1" s="27" t="s">
        <v>99</v>
      </c>
      <c r="U1" s="27" t="s">
        <v>100</v>
      </c>
      <c r="V1" s="27" t="s">
        <v>146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3</vt:i4>
      </vt:variant>
    </vt:vector>
  </HeadingPairs>
  <TitlesOfParts>
    <vt:vector size="12" baseType="lpstr">
      <vt:lpstr>Progress by Demand</vt:lpstr>
      <vt:lpstr>Demands by Status</vt:lpstr>
      <vt:lpstr>Timeline</vt:lpstr>
      <vt:lpstr>Gantt</vt:lpstr>
      <vt:lpstr>Role Mapping &amp; Issue Type</vt:lpstr>
      <vt:lpstr>T-shirt Size</vt:lpstr>
      <vt:lpstr>From Jira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Administrador</cp:lastModifiedBy>
  <dcterms:created xsi:type="dcterms:W3CDTF">2016-10-03T16:19:42Z</dcterms:created>
  <dcterms:modified xsi:type="dcterms:W3CDTF">2017-08-17T18:32:37Z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