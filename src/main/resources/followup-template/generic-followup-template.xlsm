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bookViews>
    <workbookView xWindow="0" yWindow="0" windowWidth="20490" windowHeight="8595" xr2:uid="{00000000-000D-0000-FFFF-FFFF00000000}"/>
  </bookViews>
  <sheets>
    <sheet name="Progress by Demand" sheetId="8" r:id="rId1"/>
    <sheet name="Demands by Status" sheetId="20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GanttBase" sheetId="17" r:id="rId8"/>
    <sheet name="Activities" sheetId="16" r:id="rId9"/>
  </sheets>
  <functionGroups builtInGroupCount="18"/>
  <definedNames>
    <definedName name="_">'T-shirt Size'!$H$3</definedName>
    <definedName name="_xlnm._FilterDatabase" localSheetId="8" hidden="1">Activities!$A$1:$U$1</definedName>
    <definedName name="_xlnm._FilterDatabase" localSheetId="7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Jira'!$A$1:$AC$10000</definedName>
    <definedName name="UseBallpark">'Progress by Demand'!#REF!</definedName>
    <definedName name="Velocity">'Progress by Demand'!#REF!</definedName>
  </definedNames>
  <calcPr calcId="171027" concurrentCalc="0"/>
  <pivotCaches>
    <pivotCache cacheId="133" r:id="rId10"/>
    <pivotCache cacheId="144" r:id="rId11"/>
    <pivotCache cacheId="153" r:id="rId12"/>
    <pivotCache cacheId="159" r:id="rId13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8" l="1"/>
  <c r="G2" i="13"/>
  <c r="G5" i="13"/>
  <c r="G7" i="13"/>
  <c r="G9" i="13"/>
  <c r="G3" i="13"/>
  <c r="G4" i="13"/>
  <c r="G6" i="13"/>
  <c r="G8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E10" i="11"/>
  <c r="F10" i="11"/>
  <c r="G10" i="11"/>
  <c r="D10" i="11"/>
  <c r="H10" i="11"/>
  <c r="I10" i="11"/>
  <c r="E11" i="11"/>
  <c r="F11" i="11"/>
  <c r="G11" i="11"/>
  <c r="D11" i="11"/>
  <c r="H11" i="11"/>
  <c r="I11" i="11"/>
  <c r="I12" i="11"/>
  <c r="I13" i="11"/>
  <c r="I14" i="11"/>
  <c r="I15" i="11"/>
  <c r="I16" i="11"/>
  <c r="O2" i="8"/>
  <c r="H16" i="13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F12" i="13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2" i="11"/>
  <c r="H12" i="11"/>
  <c r="D13" i="11"/>
  <c r="H13" i="11"/>
  <c r="D14" i="11"/>
  <c r="H14" i="11"/>
  <c r="D15" i="11"/>
  <c r="H15" i="11"/>
  <c r="O2" i="11"/>
  <c r="B3" i="11"/>
  <c r="F16" i="11"/>
  <c r="B16" i="11"/>
  <c r="D16" i="11"/>
  <c r="B5" i="11"/>
  <c r="H16" i="11"/>
  <c r="B4" i="11"/>
  <c r="G34" i="13"/>
  <c r="J10" i="3"/>
  <c r="J8" i="3"/>
  <c r="B34" i="13"/>
  <c r="H34" i="13"/>
  <c r="F6" i="13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F5" i="13"/>
  <c r="F20" i="13"/>
  <c r="F4" i="13"/>
  <c r="F3" i="13"/>
  <c r="F7" i="13"/>
  <c r="F8" i="13"/>
  <c r="F10" i="13"/>
  <c r="F11" i="13"/>
  <c r="F13" i="13"/>
  <c r="F14" i="13"/>
  <c r="F17" i="13"/>
  <c r="F33" i="13"/>
  <c r="B6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jira all_issues" type="1" refreshedVersion="6" savePassword="1" deleted="1" saveData="1">
    <dbPr connection="" command=""/>
  </connection>
</connections>
</file>

<file path=xl/sharedStrings.xml><?xml version="1.0" encoding="utf-8"?>
<sst xmlns="http://schemas.openxmlformats.org/spreadsheetml/2006/main" count="677" uniqueCount="191">
  <si>
    <t>project</t>
  </si>
  <si>
    <t>Sub-Task</t>
  </si>
  <si>
    <t>Grand Total</t>
  </si>
  <si>
    <t>UX</t>
  </si>
  <si>
    <t>Doing</t>
  </si>
  <si>
    <t>Feature Planning</t>
  </si>
  <si>
    <t>Alpha Test</t>
  </si>
  <si>
    <t>Frontend Development</t>
  </si>
  <si>
    <t>Tech Planning</t>
  </si>
  <si>
    <t>Backend Development</t>
  </si>
  <si>
    <t>Done</t>
  </si>
  <si>
    <t>demand_type</t>
  </si>
  <si>
    <t>demand_status</t>
  </si>
  <si>
    <t>demand_num</t>
  </si>
  <si>
    <t>demand_description</t>
  </si>
  <si>
    <t>Type</t>
  </si>
  <si>
    <t>T-Shirt Size</t>
  </si>
  <si>
    <t>Effort</t>
  </si>
  <si>
    <t>XS</t>
  </si>
  <si>
    <t>S</t>
  </si>
  <si>
    <t>M</t>
  </si>
  <si>
    <t>L</t>
  </si>
  <si>
    <t>XL</t>
  </si>
  <si>
    <t>Alpha-Bug</t>
  </si>
  <si>
    <t>UAT</t>
  </si>
  <si>
    <t>Demands</t>
  </si>
  <si>
    <t>SubtaskEstimativeForEEPCalculation</t>
  </si>
  <si>
    <t>CountDemands</t>
  </si>
  <si>
    <t>CountTasks</t>
  </si>
  <si>
    <t>CountSubtasks</t>
  </si>
  <si>
    <t>Quantity</t>
  </si>
  <si>
    <t>Progress</t>
  </si>
  <si>
    <t>Demand Status &gt; Demand &gt; Task Status &gt; Task &gt; Subtask</t>
  </si>
  <si>
    <t>Ballpark</t>
  </si>
  <si>
    <t>Ballpark %</t>
  </si>
  <si>
    <t>Planned%</t>
  </si>
  <si>
    <t>PlannedEffortOnBug</t>
  </si>
  <si>
    <t>WorklogOnBug</t>
  </si>
  <si>
    <t>Bug Worklog</t>
  </si>
  <si>
    <t>Bug Estimate</t>
  </si>
  <si>
    <t>Alpha Bug</t>
  </si>
  <si>
    <t>Demand</t>
  </si>
  <si>
    <t>Holyday</t>
  </si>
  <si>
    <t>Date</t>
  </si>
  <si>
    <t>Critical Path (Days)</t>
  </si>
  <si>
    <t>Holydays</t>
  </si>
  <si>
    <t>Critical Path (Date)</t>
  </si>
  <si>
    <t>Months</t>
  </si>
  <si>
    <t>Role</t>
  </si>
  <si>
    <t>People</t>
  </si>
  <si>
    <t>Individual Daily Effort (net)</t>
  </si>
  <si>
    <t>Team Daily Capability</t>
  </si>
  <si>
    <t>Working Days</t>
  </si>
  <si>
    <t>Last Day of Work</t>
  </si>
  <si>
    <t>Developer</t>
  </si>
  <si>
    <t>Total</t>
  </si>
  <si>
    <t>Allocation</t>
  </si>
  <si>
    <t>Feature Review</t>
  </si>
  <si>
    <t>QA</t>
  </si>
  <si>
    <t>Issue Type</t>
  </si>
  <si>
    <t>Project</t>
  </si>
  <si>
    <t>planning_type</t>
  </si>
  <si>
    <t>task_release</t>
  </si>
  <si>
    <t>worklog</t>
  </si>
  <si>
    <t>Cluster Name</t>
  </si>
  <si>
    <t>Plan</t>
  </si>
  <si>
    <t>BALLPARK - Feature Review</t>
  </si>
  <si>
    <t>BALLPARK - UX</t>
  </si>
  <si>
    <t>BALLPARK - Development</t>
  </si>
  <si>
    <t>BALLPARK - Alpha Test</t>
  </si>
  <si>
    <t>BALLPARK - Developer Support</t>
  </si>
  <si>
    <t>Hours</t>
  </si>
  <si>
    <t>EffortDone</t>
  </si>
  <si>
    <t>wrong_worklog</t>
  </si>
  <si>
    <t>_Wrong Worklog</t>
  </si>
  <si>
    <t>Role Allocation</t>
  </si>
  <si>
    <t>Issue Type Allocation</t>
  </si>
  <si>
    <t>Risk</t>
  </si>
  <si>
    <t>Demand_ballpark</t>
  </si>
  <si>
    <t>tshirt_size</t>
  </si>
  <si>
    <t>Size</t>
  </si>
  <si>
    <t>Day</t>
  </si>
  <si>
    <t>Demand Name</t>
  </si>
  <si>
    <t>Feature Name</t>
  </si>
  <si>
    <t>Thread</t>
  </si>
  <si>
    <t>Developer1</t>
  </si>
  <si>
    <t>Week</t>
  </si>
  <si>
    <t>Thread Name</t>
  </si>
  <si>
    <t>Last day of work</t>
  </si>
  <si>
    <t>SubtaskName</t>
  </si>
  <si>
    <t>Release</t>
  </si>
  <si>
    <t>Issue Status</t>
  </si>
  <si>
    <t>Release Name</t>
  </si>
  <si>
    <t>Release Date</t>
  </si>
  <si>
    <t>Activity Type</t>
  </si>
  <si>
    <t>Daily Production</t>
  </si>
  <si>
    <t>Needed Days</t>
  </si>
  <si>
    <t>Allocated Days</t>
  </si>
  <si>
    <t>Start Date</t>
  </si>
  <si>
    <t>Finish Date</t>
  </si>
  <si>
    <t>Subtask Status</t>
  </si>
  <si>
    <t>Group</t>
  </si>
  <si>
    <t>IssueType</t>
  </si>
  <si>
    <t>Distribution</t>
  </si>
  <si>
    <t>Total Distribution</t>
  </si>
  <si>
    <t>Query_Type</t>
  </si>
  <si>
    <t>BALLPARK - QA/UAT Support</t>
  </si>
  <si>
    <t>Cycle</t>
  </si>
  <si>
    <t>BALLPARK - Tech Planning</t>
  </si>
  <si>
    <t>BALLPARK - Feature Planning</t>
  </si>
  <si>
    <t>Group %</t>
  </si>
  <si>
    <t>BALLPARK - Demand</t>
  </si>
  <si>
    <t>EffortOnBacklog</t>
  </si>
  <si>
    <t>CycleOnBacklog</t>
  </si>
  <si>
    <t>EffortEstimate</t>
  </si>
  <si>
    <t>CycleDone</t>
  </si>
  <si>
    <t>CycleEstimate</t>
  </si>
  <si>
    <t>Activity Status</t>
  </si>
  <si>
    <t>BallparkEffort</t>
  </si>
  <si>
    <t>PlannedEffort</t>
  </si>
  <si>
    <t>Total Scope</t>
  </si>
  <si>
    <t>Ballpark vs Planned</t>
  </si>
  <si>
    <t>Scope</t>
  </si>
  <si>
    <t>Backlog</t>
  </si>
  <si>
    <t>Bugs</t>
  </si>
  <si>
    <t>Planned</t>
  </si>
  <si>
    <t>Activities</t>
  </si>
  <si>
    <t>Features / Bugs</t>
  </si>
  <si>
    <t>_EEP</t>
  </si>
  <si>
    <t>Cycle on Backlog</t>
  </si>
  <si>
    <t>Effort on Backlog</t>
  </si>
  <si>
    <t>Sum of Group %</t>
  </si>
  <si>
    <t>Cycle Hours  on Backlog</t>
  </si>
  <si>
    <t>WorklogDone</t>
  </si>
  <si>
    <t>WorklogDoing</t>
  </si>
  <si>
    <t>Worklog</t>
  </si>
  <si>
    <t>_Done</t>
  </si>
  <si>
    <t>Relase</t>
  </si>
  <si>
    <t>Feature / Bug</t>
  </si>
  <si>
    <t>Activity</t>
  </si>
  <si>
    <t>Cycle Hours</t>
  </si>
  <si>
    <t>Total Cycle Hours</t>
  </si>
  <si>
    <t>Cycle Hours per Role</t>
  </si>
  <si>
    <t>Cycle Hours per Role With Risk</t>
  </si>
  <si>
    <t>Still need allocate (Days)</t>
  </si>
  <si>
    <t>First Day</t>
  </si>
  <si>
    <t>AllocatedHours</t>
  </si>
  <si>
    <t>Allocated Cycle Hours</t>
  </si>
  <si>
    <t>Completion</t>
  </si>
  <si>
    <t>Allocated Effort</t>
  </si>
  <si>
    <t>_Days</t>
  </si>
  <si>
    <t>Tech Lead</t>
  </si>
  <si>
    <t>% Of (Dev + Alpha)</t>
  </si>
  <si>
    <t>% Of Dev</t>
  </si>
  <si>
    <t>Tech Lead1</t>
  </si>
  <si>
    <t>Expected</t>
  </si>
  <si>
    <t>Start</t>
  </si>
  <si>
    <t>End</t>
  </si>
  <si>
    <t>Today</t>
  </si>
  <si>
    <t>DEMAND_ID</t>
  </si>
  <si>
    <t>DEMAND_SUMMARY</t>
  </si>
  <si>
    <t>TASK_TYPE</t>
  </si>
  <si>
    <t>TASK_STATUS</t>
  </si>
  <si>
    <t>TASK_ID</t>
  </si>
  <si>
    <t>TASK_NUM</t>
  </si>
  <si>
    <t>TASK_SUMMARY</t>
  </si>
  <si>
    <t>TASK_DESCRIPTION</t>
  </si>
  <si>
    <t>TASK_FULL_DESCRIPTION</t>
  </si>
  <si>
    <t>SUBTASK_TYPE</t>
  </si>
  <si>
    <t>SUBTASK_STATUS</t>
  </si>
  <si>
    <t>SUBTASK_ID</t>
  </si>
  <si>
    <t>SUBTASK_NUM</t>
  </si>
  <si>
    <t>SUBTASK_SUMMARY</t>
  </si>
  <si>
    <t>SUBTASK_DESCRIPTION</t>
  </si>
  <si>
    <t>SUBTASK_FULL_DESCRIPTION</t>
  </si>
  <si>
    <t>TASK_BALLPARK</t>
  </si>
  <si>
    <t>BALLPARK - Subtask</t>
  </si>
  <si>
    <t>BALLPARK - Planning</t>
  </si>
  <si>
    <t>PROJECT - Suez</t>
  </si>
  <si>
    <t>Sprint 1</t>
  </si>
  <si>
    <t>Sprint 2</t>
  </si>
  <si>
    <t>BALLPARK - QA Support</t>
  </si>
  <si>
    <t>BALLPARK</t>
  </si>
  <si>
    <t>Tech Lead2</t>
  </si>
  <si>
    <t>Project Deadline</t>
  </si>
  <si>
    <t>Rótulos de Linha</t>
  </si>
  <si>
    <t>(vazio)</t>
  </si>
  <si>
    <t>Total Geral</t>
  </si>
  <si>
    <t>(Tudo)</t>
  </si>
  <si>
    <t>Rótulos de Coluna</t>
  </si>
  <si>
    <t>Contagem de SUBTASK_FULL_DESCRIPTION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</si>
</sst>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9" tint="0.59999389629810485"/>
        <bgColor theme="8"/>
      </patternFill>
    </fill>
  </fills>
  <borders count="1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70" fontId="11" fillId="3" borderId="16" xfId="0" applyNumberFormat="1" applyFont="1" applyFill="1" applyBorder="1"/>
    <xf numFmtId="0" fontId="0" fillId="0" borderId="0" xfId="0" applyAlignment="1">
      <alignment horizontal="left" indent="5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432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alignment vertical="center" wrapText="1" readingOrder="0"/>
    </dxf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alignment vertical="center" wrapText="1" readingOrder="0"/>
    </dxf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font>
        <sz val="9"/>
      </font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wrapText="1" readingOrder="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31"/>
      <tableStyleElement type="headerRow" dxfId="4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istrador" refreshedDate="42970.725010300928" missingItemsLimit="0" createdVersion="6" refreshedVersion="6" minRefreshableVersion="3" recordCount="9999" xr:uid="{00000000-000A-0000-FFFF-FFFF4D000000}">
  <cacheSource type="worksheet">
    <worksheetSource name="AllIssues"/>
  </cacheSource>
  <cacheFields count="49">
    <cacheField name="project" numFmtId="0">
      <sharedItems containsNonDate="0" containsString="0" containsBlank="1" count="1">
        <m/>
      </sharedItems>
    </cacheField>
    <cacheField name="demand_type" numFmtId="0">
      <sharedItems containsNonDate="0" containsString="0" containsBlank="1" count="1">
        <m/>
      </sharedItems>
    </cacheField>
    <cacheField name="demand_status" numFmtId="0">
      <sharedItems containsNonDate="0" containsString="0" containsBlank="1" count="1">
        <m/>
      </sharedItems>
    </cacheField>
    <cacheField name="demand_num" numFmtId="0">
      <sharedItems containsNonDate="0" containsString="0" containsBlank="1" count="1">
        <m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String="0" containsBlank="1" count="1">
        <m/>
      </sharedItems>
    </cacheField>
    <cacheField name="TASK_TYPE" numFmtId="0">
      <sharedItems containsNonDate="0" containsString="0" containsBlank="1" count="1">
        <m/>
      </sharedItems>
    </cacheField>
    <cacheField name="TASK_STATUS" numFmtId="0">
      <sharedItems containsNonDate="0" containsString="0" containsBlank="1" count="1">
        <m/>
      </sharedItems>
    </cacheField>
    <cacheField name="TASK_NUM" numFmtId="0">
      <sharedItems containsNonDate="0" containsString="0" containsBlank="1" count="1">
        <m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String="0" containsBlank="1" count="1">
        <m/>
      </sharedItems>
    </cacheField>
    <cacheField name="SUBTASK_TYPE" numFmtId="0">
      <sharedItems containsNonDate="0" containsString="0" containsBlank="1" count="1">
        <m/>
      </sharedItems>
    </cacheField>
    <cacheField name="SUBTASK_STATUS" numFmtId="0">
      <sharedItems containsNonDate="0" containsString="0" containsBlank="1" count="1">
        <m/>
      </sharedItems>
    </cacheField>
    <cacheField name="SUBTASK_NUM" numFmtId="0">
      <sharedItems containsNonDate="0" containsString="0" containsBlank="1" count="1">
        <m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 count="1">
        <m/>
      </sharedItems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String="0" containsBlank="1" count="1">
        <m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istrador" refreshedDate="42970.725011574075" missingItemsLimit="0" createdVersion="6" refreshedVersion="6" minRefreshableVersion="3" recordCount="10000" xr:uid="{00000000-000A-0000-FFFF-FFFF29000000}">
  <cacheSource type="worksheet">
    <worksheetSource ref="A1:R1048576" sheet="GanttBase"/>
  </cacheSource>
  <cacheFields count="18">
    <cacheField name="Release" numFmtId="0">
      <sharedItems containsNonDate="0" containsString="0" containsBlank="1" count="1">
        <m/>
      </sharedItems>
    </cacheField>
    <cacheField name="Demand Name" numFmtId="0">
      <sharedItems containsNonDate="0" containsString="0" containsBlank="1" count="1">
        <m/>
      </sharedItems>
    </cacheField>
    <cacheField name="Feature Name" numFmtId="0">
      <sharedItems containsNonDate="0" containsString="0" containsBlank="1" count="1">
        <m/>
      </sharedItems>
    </cacheField>
    <cacheField name="SubtaskName" numFmtId="0">
      <sharedItems containsNonDate="0" containsString="0" containsBlank="1" count="1">
        <m/>
      </sharedItems>
    </cacheField>
    <cacheField name="Issue Status" numFmtId="0">
      <sharedItems containsNonDate="0" containsString="0" containsBlank="1" count="1">
        <m/>
      </sharedItems>
    </cacheField>
    <cacheField name="Type" numFmtId="0">
      <sharedItems containsNonDate="0" containsString="0" containsBlank="1" count="1">
        <m/>
      </sharedItems>
    </cacheField>
    <cacheField name="Role" numFmtId="0">
      <sharedItems containsNonDate="0" containsString="0" containsBlank="1" count="1">
        <m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String="0" containsBlank="1" count="1">
        <m/>
      </sharedItems>
    </cacheField>
    <cacheField name="Week" numFmtId="0">
      <sharedItems containsNonDate="0" containsString="0" containsBlank="1" count="1">
        <m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2970.725011805553" missingItemsLimit="0" createdVersion="6" refreshedVersion="6" minRefreshableVersion="3" recordCount="97" xr:uid="{00000000-000A-0000-FFFF-FFFF3D000000}">
  <cacheSource type="worksheet">
    <worksheetSource ref="A1:AS1048576" sheet="From Jira"/>
  </cacheSource>
  <cacheFields count="46">
    <cacheField name="project" numFmtId="0">
      <sharedItems containsNonDate="0" containsString="0" containsBlank="1" count="1">
        <m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 count="1">
        <m/>
      </sharedItems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String="0" containsBlank="1" count="1">
        <m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String="0" containsBlank="1" count="1">
        <m/>
      </sharedItems>
    </cacheField>
    <cacheField name="SUBTASK_TYPE" numFmtId="0">
      <sharedItems containsNonDate="0" containsString="0" containsBlank="1" count="1">
        <m/>
      </sharedItems>
    </cacheField>
    <cacheField name="SUBTASK_STATUS" numFmtId="0">
      <sharedItems containsNonDate="0" containsString="0" containsBlank="1" count="1">
        <m/>
      </sharedItems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String="0" containsBlank="1" count="1">
        <m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2970.725012037037" createdVersion="6" refreshedVersion="6" minRefreshableVersion="3" recordCount="32" xr:uid="{00000000-000A-0000-FFFF-FFFF00000000}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rogressByDemand" cacheId="133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1" firstHeaderRow="0" firstDataRow="1" firstDataCol="1" rowPageCount="8" colPageCount="1"/>
  <pivotFields count="49"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Row" showAll="0" sortType="ascending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axis="axisRow" showAll="0">
      <items count="2">
        <item x="0"/>
        <item t="default" sd="0"/>
      </items>
    </pivotField>
    <pivotField axis="axisPage" multipleItemSelectionAllowed="1" showAll="0">
      <items count="2">
        <item x="0"/>
        <item t="default"/>
      </items>
    </pivotField>
    <pivotField axis="axisRow" showAll="0" sortType="ascending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 sd="0"/>
      </items>
    </pivotField>
    <pivotField axis="axisPage" multipleItemSelectionAllowed="1" showAll="0">
      <items count="2">
        <item x="0"/>
        <item t="default"/>
      </items>
    </pivotField>
    <pivotField axis="axisPage" multipleItemSelectionAllowed="1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1"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2"/>
    <field x="5"/>
    <field x="7"/>
    <field x="11"/>
    <field x="17"/>
  </rowFields>
  <rowItems count="7">
    <i>
      <x/>
    </i>
    <i r="1">
      <x/>
    </i>
    <i r="2">
      <x/>
    </i>
    <i r="3">
      <x/>
    </i>
    <i r="4">
      <x/>
    </i>
    <i r="5"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8">
    <pageField fld="0" hier="-1"/>
    <pageField fld="3" hier="-1"/>
    <pageField fld="1" hier="-1"/>
    <pageField fld="6" hier="-1"/>
    <pageField fld="8" hier="-1"/>
    <pageField fld="13" hier="-1"/>
    <pageField fld="12" hier="-1"/>
    <pageField fld="14" hier="-1"/>
  </pageFields>
  <dataFields count="18">
    <dataField name="Progress" fld="45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48" baseField="5" baseItem="37" numFmtId="9"/>
    <dataField name="Planned" fld="34" baseField="0" baseItem="0" numFmtId="167"/>
    <dataField name="Planned%" fld="47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46" baseField="0" baseItem="0" numFmtId="169"/>
    <dataField name="_Wrong Worklog" fld="24" subtotal="max" baseField="5" baseItem="8" numFmtId="167"/>
    <dataField name="Bug Estimate" fld="43" baseField="5" baseItem="8" numFmtId="167"/>
    <dataField name="Bug Worklog" fld="44" baseField="5" baseItem="8" numFmtId="167"/>
  </dataFields>
  <formats count="21">
    <format dxfId="429">
      <pivotArea field="22" type="button" dataOnly="0" labelOnly="1" outline="0" axis="axisRow" fieldPosition="0"/>
    </format>
    <format dxfId="428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427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426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25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424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423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422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421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420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419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41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41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416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415">
      <pivotArea outline="0" fieldPosition="0">
        <references count="1">
          <reference field="4294967294" count="1">
            <x v="14"/>
          </reference>
        </references>
      </pivotArea>
    </format>
    <format dxfId="414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413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412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411">
      <pivotArea outline="0" fieldPosition="0">
        <references count="1">
          <reference field="4294967294" count="1">
            <x v="12"/>
          </reference>
        </references>
      </pivotArea>
    </format>
    <format dxfId="410">
      <pivotArea outline="0" fieldPosition="0">
        <references count="1">
          <reference field="4294967294" count="1">
            <x v="12"/>
          </reference>
        </references>
      </pivotArea>
    </format>
    <format dxfId="409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emandsByStatus" cacheId="153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5:C8" firstHeaderRow="1" firstDataRow="2" firstDataCol="1" rowPageCount="2" colPageCount="1"/>
  <pivotFields count="46">
    <pivotField axis="axisPage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 sortType="ascending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/>
    </i>
    <i t="grand">
      <x/>
    </i>
  </rowItems>
  <colFields count="1">
    <field x="13"/>
  </colFields>
  <colItems count="2">
    <i>
      <x/>
    </i>
    <i t="grand">
      <x/>
    </i>
  </colItems>
  <pageFields count="2">
    <pageField fld="0" hier="-1"/>
    <pageField fld="2" hier="-1"/>
  </pageFields>
  <dataFields count="1">
    <dataField name="Contagem de SUBTASK_FULL_DESCRIPTION" fld="17" subtotal="count" baseField="0" baseItem="0"/>
  </dataFields>
  <formats count="4">
    <format dxfId="408">
      <pivotArea outline="0" collapsedLevelsAreSubtotals="1" fieldPosition="0"/>
    </format>
    <format dxfId="407">
      <pivotArea dataOnly="0" labelOnly="1" outline="0" fieldPosition="0">
        <references count="1">
          <reference field="0" count="0"/>
        </references>
      </pivotArea>
    </format>
    <format dxfId="406">
      <pivotArea type="topRight" dataOnly="0" labelOnly="1" outline="0" fieldPosition="0"/>
    </format>
    <format dxfId="405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Gantt" cacheId="144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1">
        <item sd="0" x="0"/>
      </items>
    </pivotField>
    <pivotField axis="axisRow" showAll="0" defaultSubtotal="0">
      <items count="1">
        <item x="0"/>
      </items>
    </pivotField>
    <pivotField axis="axisRow" showAll="0" sortType="ascending" defaultSubtotal="0">
      <items count="1">
        <item x="0"/>
      </items>
    </pivotField>
    <pivotField axis="axisRow" showAll="0" defaultSubtotal="0">
      <items count="1">
        <item x="0"/>
      </items>
    </pivotField>
    <pivotField axis="axisRow" showAll="0" defaultSubtotal="0">
      <items count="1">
        <item x="0"/>
      </items>
    </pivotField>
    <pivotField axis="axisPage" showAll="0" defaultSubtotal="0">
      <items count="1">
        <item x="0"/>
      </items>
    </pivotField>
    <pivotField axis="axisPage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1">
        <item x="0"/>
      </items>
    </pivotField>
    <pivotField axis="axisCol" showAll="0" defaultSubtotal="0">
      <items count="1">
        <item x="0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82">
    <format dxfId="378">
      <pivotArea dataOnly="0" labelOnly="1" grandCol="1" outline="0" fieldPosition="0"/>
    </format>
    <format dxfId="377">
      <pivotArea dataOnly="0" labelOnly="1" grandCol="1" outline="0" fieldPosition="0"/>
    </format>
    <format dxfId="376">
      <pivotArea dataOnly="0" labelOnly="1" grandCol="1" outline="0" fieldPosition="0"/>
    </format>
    <format dxfId="375">
      <pivotArea dataOnly="0" labelOnly="1" grandCol="1" outline="0" fieldPosition="0"/>
    </format>
    <format dxfId="374">
      <pivotArea dataOnly="0" labelOnly="1" grandCol="1" outline="0" fieldPosition="0"/>
    </format>
    <format dxfId="373">
      <pivotArea dataOnly="0" labelOnly="1" grandCol="1" outline="0" fieldPosition="0"/>
    </format>
    <format dxfId="372">
      <pivotArea dataOnly="0" labelOnly="1" grandCol="1" outline="0" fieldPosition="0"/>
    </format>
    <format dxfId="371">
      <pivotArea dataOnly="0" labelOnly="1" grandCol="1" outline="0" fieldPosition="0"/>
    </format>
    <format dxfId="370">
      <pivotArea type="origin" dataOnly="0" labelOnly="1" outline="0" fieldPosition="0"/>
    </format>
    <format dxfId="369">
      <pivotArea type="topRight" dataOnly="0" labelOnly="1" outline="0" fieldPosition="0"/>
    </format>
    <format dxfId="368">
      <pivotArea type="origin" dataOnly="0" labelOnly="1" outline="0" fieldPosition="0"/>
    </format>
    <format dxfId="367">
      <pivotArea type="topRight" dataOnly="0" labelOnly="1" outline="0" fieldPosition="0"/>
    </format>
    <format dxfId="366">
      <pivotArea type="origin" dataOnly="0" labelOnly="1" outline="0" fieldPosition="0"/>
    </format>
    <format dxfId="365">
      <pivotArea type="topRight" dataOnly="0" labelOnly="1" outline="0" fieldPosition="0"/>
    </format>
    <format dxfId="364">
      <pivotArea type="origin" dataOnly="0" labelOnly="1" outline="0" fieldPosition="0"/>
    </format>
    <format dxfId="363">
      <pivotArea type="topRight" dataOnly="0" labelOnly="1" outline="0" fieldPosition="0"/>
    </format>
    <format dxfId="362">
      <pivotArea field="0" type="button" dataOnly="0" labelOnly="1" outline="0" axis="axisRow" fieldPosition="0"/>
    </format>
    <format dxfId="361">
      <pivotArea dataOnly="0" labelOnly="1" fieldPosition="0">
        <references count="1">
          <reference field="12" count="0"/>
        </references>
      </pivotArea>
    </format>
    <format dxfId="360">
      <pivotArea dataOnly="0" labelOnly="1" grandCol="1" outline="0" fieldPosition="0"/>
    </format>
    <format dxfId="359">
      <pivotArea field="0" type="button" dataOnly="0" labelOnly="1" outline="0" axis="axisRow" fieldPosition="0"/>
    </format>
    <format dxfId="358">
      <pivotArea dataOnly="0" labelOnly="1" fieldPosition="0">
        <references count="1">
          <reference field="12" count="0"/>
        </references>
      </pivotArea>
    </format>
    <format dxfId="357">
      <pivotArea dataOnly="0" labelOnly="1" grandCol="1" outline="0" fieldPosition="0"/>
    </format>
    <format dxfId="356">
      <pivotArea field="0" type="button" dataOnly="0" labelOnly="1" outline="0" axis="axisRow" fieldPosition="0"/>
    </format>
    <format dxfId="355">
      <pivotArea dataOnly="0" labelOnly="1" fieldPosition="0">
        <references count="1">
          <reference field="12" count="0"/>
        </references>
      </pivotArea>
    </format>
    <format dxfId="354">
      <pivotArea dataOnly="0" labelOnly="1" grandCol="1" outline="0" fieldPosition="0"/>
    </format>
    <format dxfId="353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15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352">
      <pivotArea type="all" dataOnly="0" outline="0" fieldPosition="0"/>
    </format>
    <format dxfId="351">
      <pivotArea outline="0" collapsedLevelsAreSubtotals="1" fieldPosition="0"/>
    </format>
    <format dxfId="350">
      <pivotArea field="1" type="button" dataOnly="0" labelOnly="1" outline="0" axis="axisRow" fieldPosition="0"/>
    </format>
    <format dxfId="349">
      <pivotArea dataOnly="0" labelOnly="1" outline="0" axis="axisValues" fieldPosition="0"/>
    </format>
    <format dxfId="348">
      <pivotArea dataOnly="0" labelOnly="1" fieldPosition="0">
        <references count="1">
          <reference field="1" count="0"/>
        </references>
      </pivotArea>
    </format>
    <format dxfId="347">
      <pivotArea dataOnly="0" labelOnly="1" grandRow="1" outline="0" fieldPosition="0"/>
    </format>
    <format dxfId="346">
      <pivotArea dataOnly="0" labelOnly="1" outline="0" axis="axisValues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field="1" type="button" dataOnly="0" labelOnly="1" outline="0" axis="axisRow" fieldPosition="0"/>
    </format>
    <format dxfId="342">
      <pivotArea dataOnly="0" labelOnly="1" outline="0" axis="axisValues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grandRow="1" outline="0" fieldPosition="0"/>
    </format>
    <format dxfId="33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jira all_issues_1" backgroundRefresh="0" connectionId="1" xr16:uid="{00000000-0016-0000-0600-000000000000}" autoFormatId="16" applyNumberFormats="0" applyBorderFormats="0" applyFontFormats="0" applyPatternFormats="0" applyAlignmentFormats="0" applyWidthHeightFormats="0">
  <queryTableRefresh nextId="98" unboundColumnsRight="16">
    <queryTableFields count="45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Holydays" displayName="Holydays" ref="K1:L4" totalsRowShown="0" dataDxfId="403">
  <autoFilter ref="K1:L4" xr:uid="{00000000-0009-0000-0100-000004000000}"/>
  <tableColumns count="2">
    <tableColumn id="1" xr3:uid="{00000000-0010-0000-0000-000001000000}" name="Holyday" dataDxfId="402"/>
    <tableColumn id="2" xr3:uid="{00000000-0010-0000-0000-000002000000}" name="Date" dataDxfId="40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eleases" displayName="Releases" ref="N1:P10" totalsRowShown="0" dataDxfId="400">
  <autoFilter ref="N1:P10" xr:uid="{00000000-0009-0000-0100-000005000000}"/>
  <tableColumns count="3">
    <tableColumn id="1" xr3:uid="{00000000-0010-0000-0100-000001000000}" name="Release Date" dataDxfId="399"/>
    <tableColumn id="3" xr3:uid="{00000000-0010-0000-0100-000003000000}" name="Week" dataDxfId="398">
      <calculatedColumnFormula>Releases[[#This Row],[Release Date]]-WEEKDAY(Releases[[#This Row],[Release Date]],3)</calculatedColumnFormula>
    </tableColumn>
    <tableColumn id="2" xr3:uid="{00000000-0010-0000-0100-000002000000}" name="Release Name" dataDxfId="39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imeline" displayName="Timeline" ref="A9:I16" totalsRowCount="1" headerRowDxfId="396">
  <tableColumns count="9">
    <tableColumn id="1" xr3:uid="{00000000-0010-0000-0200-000001000000}" name="Role" totalsRowLabel="Grand Total"/>
    <tableColumn id="2" xr3:uid="{00000000-0010-0000-0200-000002000000}" name="People" totalsRowFunction="sum" dataDxfId="395" totalsRowDxfId="394"/>
    <tableColumn id="3" xr3:uid="{00000000-0010-0000-0200-000003000000}" name="Individual Daily Effort (net)" dataDxfId="393" totalsRowDxfId="392"/>
    <tableColumn id="4" xr3:uid="{00000000-0010-0000-0200-000004000000}" name="Team Daily Capability" totalsRowFunction="sum" dataDxfId="391" totalsRowDxfId="390"/>
    <tableColumn id="5" xr3:uid="{00000000-0010-0000-0200-000005000000}" name="Cycle Hours  on Backlog" totalsRowFunction="sum" dataDxfId="389" totalsRowDxfId="388"/>
    <tableColumn id="6" xr3:uid="{00000000-0010-0000-0200-000006000000}" name="Risk" totalsRowFunction="sum" dataDxfId="387" totalsRowDxfId="386">
      <calculatedColumnFormula>Timeline[[#This Row],[Cycle Hours  on Backlog]]*$B$1</calculatedColumnFormula>
    </tableColumn>
    <tableColumn id="7" xr3:uid="{00000000-0010-0000-0200-000007000000}" name="Total" totalsRowFunction="sum" dataDxfId="385" totalsRowDxfId="384">
      <calculatedColumnFormula>Timeline[[#This Row],[Cycle Hours  on Backlog]]+Timeline[[#This Row],[Risk]]</calculatedColumnFormula>
    </tableColumn>
    <tableColumn id="11" xr3:uid="{00000000-0010-0000-0200-00000B000000}" name="Working Days" totalsRowFunction="max" dataDxfId="383" totalsRowDxfId="382">
      <calculatedColumnFormula>IF(D10=0,0,G10/D10)</calculatedColumnFormula>
    </tableColumn>
    <tableColumn id="12" xr3:uid="{00000000-0010-0000-0200-00000C000000}" name="Last Day of Work" totalsRowFunction="max" dataDxfId="381" totalsRowDxfId="380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ssueTypeVsRoleMapping" displayName="IssueTypeVsRoleMapping" ref="A1:I34" totalsRowCount="1" headerRowDxfId="338" dataDxfId="337" totalsRowDxfId="336">
  <sortState ref="A2:H38">
    <sortCondition ref="B3:B38"/>
    <sortCondition ref="C3:C38"/>
    <sortCondition ref="D3:D38"/>
  </sortState>
  <tableColumns count="9">
    <tableColumn id="1" xr3:uid="{00000000-0010-0000-0300-000001000000}" name="Project" totalsRowLabel="Total" dataDxfId="335" totalsRowDxfId="334"/>
    <tableColumn id="2" xr3:uid="{00000000-0010-0000-0300-000002000000}" name="Group" totalsRowFunction="count" dataDxfId="333" totalsRowDxfId="332">
      <calculatedColumnFormula>IF(ISERROR(FIND("BALLPARK",C2)), "Plan", "BALLPARK")</calculatedColumnFormula>
    </tableColumn>
    <tableColumn id="4" xr3:uid="{00000000-0010-0000-0300-000004000000}" name="Issue Type" dataDxfId="331" totalsRowDxfId="330"/>
    <tableColumn id="5" xr3:uid="{00000000-0010-0000-0300-000005000000}" name="Role" dataDxfId="329" totalsRowDxfId="328"/>
    <tableColumn id="3" xr3:uid="{00000000-0010-0000-0300-000003000000}" name="Role Allocation" dataDxfId="327" totalsRowDxfId="326"/>
    <tableColumn id="6" xr3:uid="{00000000-0010-0000-0300-000006000000}" name="Issue Type Allocation" dataDxfId="325" totalsRowDxfId="324">
      <calculatedColumnFormula>SUMIFS(IssueTypeVsRoleMapping[Role Allocation],IssueTypeVsRoleMapping[Issue Type],IssueTypeVsRoleMapping[[#This Row],[Issue Type]])</calculatedColumnFormula>
    </tableColumn>
    <tableColumn id="9" xr3:uid="{00000000-0010-0000-0300-000009000000}" name="Cycle on Backlog" totalsRowFunction="sum" dataDxfId="323" totalsRowDxfId="322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xr3:uid="{00000000-0010-0000-0300-000007000000}" name="Effort on Backlog" totalsRowFunction="sum" dataDxfId="321" totalsRowDxfId="320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xr3:uid="{00000000-0010-0000-0300-000008000000}" name="Group %" dataDxfId="319" totalsRowDxfId="318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EffortDistribution" displayName="EffortDistribution" ref="G1:J22" totalsRowShown="0">
  <autoFilter ref="G1:J22" xr:uid="{00000000-0009-0000-0100-000006000000}"/>
  <sortState ref="G2:J22">
    <sortCondition ref="G2:G22"/>
    <sortCondition ref="H2:H22"/>
    <sortCondition descending="1" ref="I2:I22"/>
  </sortState>
  <tableColumns count="4">
    <tableColumn id="3" xr3:uid="{00000000-0010-0000-0400-000003000000}" name="Group"/>
    <tableColumn id="1" xr3:uid="{00000000-0010-0000-0400-000001000000}" name="IssueType"/>
    <tableColumn id="2" xr3:uid="{00000000-0010-0000-0400-000002000000}" name="Distribution"/>
    <tableColumn id="4" xr3:uid="{00000000-0010-0000-0400-000004000000}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lusters" displayName="Clusters" ref="A1:E101" totalsRowShown="0" headerRowDxfId="317">
  <autoFilter ref="A1:E101" xr:uid="{00000000-0009-0000-0100-000008000000}"/>
  <sortState ref="A2:E55">
    <sortCondition ref="A2:A55"/>
    <sortCondition ref="D2:D55"/>
  </sortState>
  <tableColumns count="5">
    <tableColumn id="2" xr3:uid="{00000000-0010-0000-0500-000002000000}" name="Cluster Name"/>
    <tableColumn id="3" xr3:uid="{00000000-0010-0000-0500-000003000000}" name="T-Shirt Size"/>
    <tableColumn id="5" xr3:uid="{00000000-0010-0000-0500-000005000000}" name="Type"/>
    <tableColumn id="4" xr3:uid="{00000000-0010-0000-0500-000004000000}" name="Effort" dataDxfId="316"/>
    <tableColumn id="1" xr3:uid="{00000000-0010-0000-0500-000001000000}" name="Cycle" dataDxfId="315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AllIssues" displayName="AllIssues" ref="A1:AS10000" tableType="queryTable" totalsRowShown="0">
  <autoFilter ref="A1:AS10000" xr:uid="{00000000-0009-0000-0100-000001000000}"/>
  <tableColumns count="45">
    <tableColumn id="1" xr3:uid="{00000000-0010-0000-0600-000001000000}" uniqueName="1" name="project" queryTableFieldId="1"/>
    <tableColumn id="2" xr3:uid="{00000000-0010-0000-0600-000002000000}" uniqueName="2" name="demand_type" queryTableFieldId="2"/>
    <tableColumn id="3" xr3:uid="{00000000-0010-0000-0600-000003000000}" uniqueName="3" name="demand_status" queryTableFieldId="3"/>
    <tableColumn id="4" xr3:uid="{00000000-0010-0000-0600-000004000000}" uniqueName="4" name="demand_num" queryTableFieldId="4"/>
    <tableColumn id="5" xr3:uid="{00000000-0010-0000-0600-000005000000}" uniqueName="5" name="DEMAND_SUMMARY" queryTableFieldId="5"/>
    <tableColumn id="6" xr3:uid="{00000000-0010-0000-0600-000006000000}" uniqueName="6" name="demand_description" queryTableFieldId="6"/>
    <tableColumn id="8" xr3:uid="{00000000-0010-0000-0600-000008000000}" uniqueName="8" name="TASK_TYPE" queryTableFieldId="8"/>
    <tableColumn id="9" xr3:uid="{00000000-0010-0000-0600-000009000000}" uniqueName="9" name="TASK_STATUS" queryTableFieldId="9"/>
    <tableColumn id="10" xr3:uid="{00000000-0010-0000-0600-00000A000000}" uniqueName="10" name="TASK_NUM" queryTableFieldId="10"/>
    <tableColumn id="11" xr3:uid="{00000000-0010-0000-0600-00000B000000}" uniqueName="11" name="TASK_SUMMARY" queryTableFieldId="11"/>
    <tableColumn id="12" xr3:uid="{00000000-0010-0000-0600-00000C000000}" uniqueName="12" name="TASK_DESCRIPTION" queryTableFieldId="12"/>
    <tableColumn id="13" xr3:uid="{00000000-0010-0000-0600-00000D000000}" uniqueName="13" name="TASK_FULL_DESCRIPTION" queryTableFieldId="13"/>
    <tableColumn id="15" xr3:uid="{00000000-0010-0000-0600-00000F000000}" uniqueName="15" name="SUBTASK_TYPE" queryTableFieldId="15"/>
    <tableColumn id="16" xr3:uid="{00000000-0010-0000-0600-000010000000}" uniqueName="16" name="SUBTASK_STATUS" queryTableFieldId="16"/>
    <tableColumn id="17" xr3:uid="{00000000-0010-0000-0600-000011000000}" uniqueName="17" name="SUBTASK_NUM" queryTableFieldId="17"/>
    <tableColumn id="18" xr3:uid="{00000000-0010-0000-0600-000012000000}" uniqueName="18" name="SUBTASK_SUMMARY" queryTableFieldId="18"/>
    <tableColumn id="19" xr3:uid="{00000000-0010-0000-0600-000013000000}" uniqueName="19" name="SUBTASK_DESCRIPTION" queryTableFieldId="19"/>
    <tableColumn id="20" xr3:uid="{00000000-0010-0000-0600-000014000000}" uniqueName="20" name="SUBTASK_FULL_DESCRIPTION" queryTableFieldId="20"/>
    <tableColumn id="23" xr3:uid="{00000000-0010-0000-0600-000017000000}" uniqueName="23" name="DEMAND_ID" queryTableFieldId="61"/>
    <tableColumn id="32" xr3:uid="{00000000-0010-0000-0600-000020000000}" uniqueName="32" name="TASK_ID" queryTableFieldId="62"/>
    <tableColumn id="59" xr3:uid="{00000000-0010-0000-0600-00003B000000}" uniqueName="59" name="SUBTASK_ID" queryTableFieldId="72"/>
    <tableColumn id="50" xr3:uid="{00000000-0010-0000-0600-000032000000}" uniqueName="50" name="planning_type" queryTableFieldId="73"/>
    <tableColumn id="7" xr3:uid="{00000000-0010-0000-0600-000007000000}" uniqueName="7" name="task_release" queryTableFieldId="74"/>
    <tableColumn id="22" xr3:uid="{00000000-0010-0000-0600-000016000000}" uniqueName="22" name="worklog" queryTableFieldId="77"/>
    <tableColumn id="33" xr3:uid="{00000000-0010-0000-0600-000021000000}" uniqueName="33" name="wrong_worklog" queryTableFieldId="83"/>
    <tableColumn id="35" xr3:uid="{00000000-0010-0000-0600-000023000000}" uniqueName="35" name="Demand_ballpark" queryTableFieldId="85"/>
    <tableColumn id="39" xr3:uid="{00000000-0010-0000-0600-000027000000}" uniqueName="39" name="TASK_BALLPARK" queryTableFieldId="86"/>
    <tableColumn id="40" xr3:uid="{00000000-0010-0000-0600-000028000000}" uniqueName="40" name="tshirt_size" queryTableFieldId="87"/>
    <tableColumn id="41" xr3:uid="{00000000-0010-0000-0600-000029000000}" uniqueName="41" name="Query_Type" queryTableFieldId="92"/>
    <tableColumn id="24" xr3:uid="{00000000-0010-0000-0600-000018000000}" uniqueName="24" name="EffortEstimate" queryTableFieldId="78" dataDxfId="314"/>
    <tableColumn id="26" xr3:uid="{00000000-0010-0000-0600-00001A000000}" uniqueName="26" name="CycleEstimate" queryTableFieldId="84" dataDxfId="313"/>
    <tableColumn id="14" xr3:uid="{00000000-0010-0000-0600-00000E000000}" uniqueName="14" name="EffortOnBacklog" queryTableFieldId="88" dataDxfId="312"/>
    <tableColumn id="48" xr3:uid="{00000000-0010-0000-0600-000030000000}" uniqueName="48" name="CycleOnBacklog" queryTableFieldId="93" dataDxfId="311"/>
    <tableColumn id="31" xr3:uid="{00000000-0010-0000-0600-00001F000000}" uniqueName="31" name="BallparkEffort" queryTableFieldId="52" dataDxfId="310"/>
    <tableColumn id="30" xr3:uid="{00000000-0010-0000-0600-00001E000000}" uniqueName="30" name="PlannedEffort" queryTableFieldId="51" dataDxfId="309"/>
    <tableColumn id="25" xr3:uid="{00000000-0010-0000-0600-000019000000}" uniqueName="25" name="EffortDone" queryTableFieldId="25" dataDxfId="308"/>
    <tableColumn id="49" xr3:uid="{00000000-0010-0000-0600-000031000000}" uniqueName="49" name="CycleDone" queryTableFieldId="94" dataDxfId="307"/>
    <tableColumn id="21" xr3:uid="{00000000-0010-0000-0600-000015000000}" uniqueName="21" name="WorklogDone" queryTableFieldId="96" dataDxfId="306"/>
    <tableColumn id="27" xr3:uid="{00000000-0010-0000-0600-00001B000000}" uniqueName="27" name="WorklogDoing" queryTableFieldId="97" dataDxfId="305"/>
    <tableColumn id="37" xr3:uid="{00000000-0010-0000-0600-000025000000}" uniqueName="37" name="CountTasks" queryTableFieldId="37" dataDxfId="304"/>
    <tableColumn id="36" xr3:uid="{00000000-0010-0000-0600-000024000000}" uniqueName="36" name="CountDemands" queryTableFieldId="36" dataDxfId="303"/>
    <tableColumn id="38" xr3:uid="{00000000-0010-0000-0600-000026000000}" uniqueName="38" name="CountSubtasks" queryTableFieldId="38" dataDxfId="302"/>
    <tableColumn id="34" xr3:uid="{00000000-0010-0000-0600-000022000000}" uniqueName="34" name="SubtaskEstimativeForEEPCalculation" queryTableFieldId="34" dataDxfId="301"/>
    <tableColumn id="46" xr3:uid="{00000000-0010-0000-0600-00002E000000}" uniqueName="46" name="PlannedEffortOnBug" queryTableFieldId="57" dataDxfId="300"/>
    <tableColumn id="47" xr3:uid="{00000000-0010-0000-0600-00002F000000}" uniqueName="47" name="WorklogOnBug" queryTableFieldId="58" dataDxfId="29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A18" sqref="A18"/>
    </sheetView>
  </sheetViews>
  <sheetFormatPr defaultColWidth="53.42578125" defaultRowHeight="15" x14ac:dyDescent="0.25"/>
  <cols>
    <col min="1" max="1" width="55.5703125" customWidth="1"/>
    <col min="2" max="2" width="9.28515625" bestFit="1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5.4257812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155</v>
      </c>
    </row>
    <row r="2" spans="1:19" x14ac:dyDescent="0.25">
      <c r="A2" s="11"/>
      <c r="B2" s="11"/>
      <c r="N2" s="6" t="s">
        <v>156</v>
      </c>
      <c r="O2" s="13">
        <f>Timeline!B2</f>
        <v>42912</v>
      </c>
      <c r="Q2" s="124">
        <f ca="1">(O4-O2-1)/(O3-O2)</f>
        <v>1.9</v>
      </c>
    </row>
    <row r="3" spans="1:19" x14ac:dyDescent="0.25">
      <c r="F3" s="35"/>
      <c r="G3" s="35"/>
      <c r="H3" s="35"/>
      <c r="I3" s="35"/>
      <c r="N3" s="6" t="s">
        <v>157</v>
      </c>
      <c r="O3" s="13">
        <f>Timeline!I17</f>
        <v>42942</v>
      </c>
    </row>
    <row r="4" spans="1:19" x14ac:dyDescent="0.25">
      <c r="F4" s="35"/>
      <c r="G4" s="35"/>
      <c r="H4" s="35"/>
      <c r="I4" s="35"/>
      <c r="N4" s="6" t="s">
        <v>158</v>
      </c>
      <c r="O4" s="13">
        <f ca="1">TODAY()</f>
        <v>42970</v>
      </c>
    </row>
    <row r="5" spans="1:19" s="9" customFormat="1" x14ac:dyDescent="0.25">
      <c r="A5" s="1" t="s">
        <v>0</v>
      </c>
      <c r="B5" t="s">
        <v>188</v>
      </c>
    </row>
    <row r="6" spans="1:19" s="7" customFormat="1" x14ac:dyDescent="0.25">
      <c r="A6" s="1" t="s">
        <v>13</v>
      </c>
      <c r="B6" t="s">
        <v>188</v>
      </c>
      <c r="C6"/>
      <c r="D6"/>
      <c r="E6" s="16"/>
      <c r="F6" s="35"/>
      <c r="G6" s="35"/>
      <c r="H6" s="35"/>
    </row>
    <row r="7" spans="1:19" x14ac:dyDescent="0.25">
      <c r="A7" s="1" t="s">
        <v>11</v>
      </c>
      <c r="B7" t="s">
        <v>188</v>
      </c>
      <c r="F7" s="35"/>
      <c r="G7" s="35"/>
      <c r="H7" s="35"/>
      <c r="I7" s="35"/>
    </row>
    <row r="8" spans="1:19" x14ac:dyDescent="0.25">
      <c r="A8" s="1" t="s">
        <v>161</v>
      </c>
      <c r="B8" t="s">
        <v>186</v>
      </c>
      <c r="C8"/>
      <c r="D8"/>
      <c r="E8"/>
    </row>
    <row r="9" spans="1:19" x14ac:dyDescent="0.25">
      <c r="A9" s="1" t="s">
        <v>164</v>
      </c>
      <c r="B9" t="s">
        <v>188</v>
      </c>
    </row>
    <row r="10" spans="1:19" x14ac:dyDescent="0.25">
      <c r="A10" s="1" t="s">
        <v>169</v>
      </c>
      <c r="B10" t="s">
        <v>186</v>
      </c>
      <c r="C10"/>
      <c r="D10"/>
      <c r="E10"/>
    </row>
    <row r="11" spans="1:19" x14ac:dyDescent="0.25">
      <c r="A11" s="1" t="s">
        <v>168</v>
      </c>
      <c r="B11" t="s">
        <v>186</v>
      </c>
      <c r="C11"/>
      <c r="D11"/>
      <c r="E11"/>
    </row>
    <row r="12" spans="1:19" x14ac:dyDescent="0.25">
      <c r="A12" s="1" t="s">
        <v>171</v>
      </c>
      <c r="B12" t="s">
        <v>188</v>
      </c>
    </row>
    <row r="13" spans="1:19" s="10" customFormat="1" ht="15.75" x14ac:dyDescent="0.25">
      <c r="A13"/>
      <c r="B13"/>
      <c r="C13" s="131" t="s">
        <v>30</v>
      </c>
      <c r="D13" s="132"/>
      <c r="E13" s="133"/>
      <c r="F13" s="131" t="s">
        <v>121</v>
      </c>
      <c r="G13" s="132"/>
      <c r="H13" s="132"/>
      <c r="I13" s="133"/>
      <c r="J13" s="131" t="s">
        <v>122</v>
      </c>
      <c r="K13" s="132"/>
      <c r="L13" s="133"/>
      <c r="M13" s="129" t="s">
        <v>135</v>
      </c>
      <c r="N13" s="130"/>
      <c r="O13" s="130"/>
      <c r="P13" s="130"/>
      <c r="Q13" s="134"/>
      <c r="R13" s="129" t="s">
        <v>124</v>
      </c>
      <c r="S13" s="130"/>
    </row>
    <row r="14" spans="1:19" s="44" customFormat="1" ht="30" x14ac:dyDescent="0.25">
      <c r="A14" s="45" t="s">
        <v>32</v>
      </c>
      <c r="B14" s="32" t="s">
        <v>31</v>
      </c>
      <c r="C14" s="59" t="s">
        <v>25</v>
      </c>
      <c r="D14" s="60" t="s">
        <v>127</v>
      </c>
      <c r="E14" s="61" t="s">
        <v>126</v>
      </c>
      <c r="F14" s="60" t="s">
        <v>33</v>
      </c>
      <c r="G14" s="60" t="s">
        <v>34</v>
      </c>
      <c r="H14" s="60" t="s">
        <v>125</v>
      </c>
      <c r="I14" s="61" t="s">
        <v>35</v>
      </c>
      <c r="J14" s="60" t="s">
        <v>123</v>
      </c>
      <c r="K14" s="60" t="s">
        <v>10</v>
      </c>
      <c r="L14" s="61" t="s">
        <v>120</v>
      </c>
      <c r="M14" s="32" t="s">
        <v>4</v>
      </c>
      <c r="N14" s="32" t="s">
        <v>136</v>
      </c>
      <c r="O14" s="60" t="s">
        <v>55</v>
      </c>
      <c r="P14" s="60" t="s">
        <v>128</v>
      </c>
      <c r="Q14" s="60" t="s">
        <v>74</v>
      </c>
      <c r="R14" s="59" t="s">
        <v>39</v>
      </c>
      <c r="S14" s="61" t="s">
        <v>38</v>
      </c>
    </row>
    <row r="15" spans="1:19" s="7" customFormat="1" x14ac:dyDescent="0.25">
      <c r="A15" s="2" t="s">
        <v>186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186</v>
      </c>
      <c r="B16" s="8">
        <v>0</v>
      </c>
      <c r="C16" s="52">
        <v>0</v>
      </c>
      <c r="D16" s="53">
        <v>0</v>
      </c>
      <c r="E16" s="54">
        <v>0</v>
      </c>
      <c r="F16" s="47">
        <v>0</v>
      </c>
      <c r="G16" s="40" t="e">
        <v>#DIV/0!</v>
      </c>
      <c r="H16" s="47">
        <v>0</v>
      </c>
      <c r="I16" s="41" t="e">
        <v>#DIV/0!</v>
      </c>
      <c r="J16" s="47">
        <v>0</v>
      </c>
      <c r="K16" s="47">
        <v>0</v>
      </c>
      <c r="L16" s="48">
        <v>0</v>
      </c>
      <c r="M16" s="4">
        <v>0</v>
      </c>
      <c r="N16" s="25">
        <v>0</v>
      </c>
      <c r="O16" s="29">
        <v>0</v>
      </c>
      <c r="P16" s="58">
        <v>0</v>
      </c>
      <c r="Q16" s="29">
        <v>0</v>
      </c>
      <c r="R16" s="46">
        <v>0</v>
      </c>
      <c r="S16" s="48">
        <v>0</v>
      </c>
    </row>
    <row r="17" spans="1:19" s="7" customFormat="1" x14ac:dyDescent="0.25">
      <c r="A17" s="118" t="s">
        <v>186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186</v>
      </c>
      <c r="B18" s="8">
        <v>0</v>
      </c>
      <c r="C18" s="52">
        <v>0</v>
      </c>
      <c r="D18" s="53">
        <v>0</v>
      </c>
      <c r="E18" s="54">
        <v>0</v>
      </c>
      <c r="F18" s="47">
        <v>0</v>
      </c>
      <c r="G18" s="40" t="e">
        <v>#DIV/0!</v>
      </c>
      <c r="H18" s="47">
        <v>0</v>
      </c>
      <c r="I18" s="41" t="e">
        <v>#DIV/0!</v>
      </c>
      <c r="J18" s="47">
        <v>0</v>
      </c>
      <c r="K18" s="47">
        <v>0</v>
      </c>
      <c r="L18" s="48">
        <v>0</v>
      </c>
      <c r="M18" s="4">
        <v>0</v>
      </c>
      <c r="N18" s="25">
        <v>0</v>
      </c>
      <c r="O18" s="29">
        <v>0</v>
      </c>
      <c r="P18" s="58">
        <v>0</v>
      </c>
      <c r="Q18" s="29">
        <v>0</v>
      </c>
      <c r="R18" s="46">
        <v>0</v>
      </c>
      <c r="S18" s="48">
        <v>0</v>
      </c>
    </row>
    <row r="19" spans="1:19" x14ac:dyDescent="0.25">
      <c r="A19" s="123" t="s">
        <v>186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128" t="s">
        <v>186</v>
      </c>
      <c r="B20" s="8">
        <v>0</v>
      </c>
      <c r="C20" s="52">
        <v>0</v>
      </c>
      <c r="D20" s="53">
        <v>0</v>
      </c>
      <c r="E20" s="54">
        <v>0</v>
      </c>
      <c r="F20" s="47">
        <v>0</v>
      </c>
      <c r="G20" s="40" t="e">
        <v>#DIV/0!</v>
      </c>
      <c r="H20" s="47">
        <v>0</v>
      </c>
      <c r="I20" s="41" t="e">
        <v>#DIV/0!</v>
      </c>
      <c r="J20" s="47">
        <v>0</v>
      </c>
      <c r="K20" s="47">
        <v>0</v>
      </c>
      <c r="L20" s="48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6">
        <v>0</v>
      </c>
      <c r="S20" s="48">
        <v>0</v>
      </c>
    </row>
    <row r="21" spans="1:19" x14ac:dyDescent="0.25">
      <c r="A21" s="2" t="s">
        <v>187</v>
      </c>
      <c r="B21" s="8">
        <v>0</v>
      </c>
      <c r="C21" s="55">
        <v>0</v>
      </c>
      <c r="D21" s="56">
        <v>0</v>
      </c>
      <c r="E21" s="57">
        <v>0</v>
      </c>
      <c r="F21" s="50">
        <v>0</v>
      </c>
      <c r="G21" s="42" t="e">
        <v>#DIV/0!</v>
      </c>
      <c r="H21" s="50">
        <v>0</v>
      </c>
      <c r="I21" s="43" t="e">
        <v>#DIV/0!</v>
      </c>
      <c r="J21" s="50">
        <v>0</v>
      </c>
      <c r="K21" s="50">
        <v>0</v>
      </c>
      <c r="L21" s="51">
        <v>0</v>
      </c>
      <c r="M21" s="4">
        <v>0</v>
      </c>
      <c r="N21" s="25">
        <v>0</v>
      </c>
      <c r="O21" s="29">
        <v>0</v>
      </c>
      <c r="P21" s="58">
        <v>0</v>
      </c>
      <c r="Q21" s="29">
        <v>0</v>
      </c>
      <c r="R21" s="49">
        <v>0</v>
      </c>
      <c r="S21" s="51">
        <v>0</v>
      </c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1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2060"/>
  </sheetPr>
  <dimension ref="A1:G837"/>
  <sheetViews>
    <sheetView zoomScaleNormal="100" zoomScalePageLayoutView="130" workbookViewId="0">
      <selection activeCell="A7" sqref="A7"/>
    </sheetView>
  </sheetViews>
  <sheetFormatPr defaultColWidth="10.7109375" defaultRowHeight="15" x14ac:dyDescent="0.25"/>
  <cols>
    <col min="1" max="1" width="40" bestFit="1" customWidth="1"/>
    <col min="2" max="2" width="18.28515625" style="37" bestFit="1" customWidth="1"/>
    <col min="3" max="3" width="10.7109375" style="37" bestFit="1" customWidth="1"/>
    <col min="4" max="4" width="42.7109375" style="37" bestFit="1" customWidth="1"/>
    <col min="5" max="5" width="45" style="37" bestFit="1" customWidth="1"/>
    <col min="6" max="6" width="11.7109375" style="37" customWidth="1"/>
    <col min="7" max="7" width="5.5703125" style="37" customWidth="1"/>
    <col min="8" max="8" width="11.28515625" customWidth="1"/>
    <col min="9" max="9" width="11.85546875" customWidth="1"/>
    <col min="10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B1"/>
    </row>
    <row r="2" spans="1:7" x14ac:dyDescent="0.25">
      <c r="A2" s="1" t="s">
        <v>0</v>
      </c>
      <c r="B2" s="125" t="s">
        <v>188</v>
      </c>
    </row>
    <row r="3" spans="1:7" x14ac:dyDescent="0.25">
      <c r="A3" s="1" t="s">
        <v>12</v>
      </c>
      <c r="B3" t="s">
        <v>188</v>
      </c>
    </row>
    <row r="4" spans="1:7" x14ac:dyDescent="0.25">
      <c r="B4"/>
      <c r="C4"/>
      <c r="D4"/>
      <c r="E4"/>
      <c r="F4"/>
      <c r="G4"/>
    </row>
    <row r="5" spans="1:7" x14ac:dyDescent="0.25">
      <c r="A5" s="38" t="s">
        <v>190</v>
      </c>
      <c r="B5" s="38" t="s">
        <v>117</v>
      </c>
      <c r="C5" s="125"/>
      <c r="D5"/>
      <c r="E5"/>
      <c r="F5"/>
      <c r="G5"/>
    </row>
    <row r="6" spans="1:7" x14ac:dyDescent="0.25">
      <c r="A6" s="38" t="s">
        <v>185</v>
      </c>
      <c r="B6" s="32" t="s">
        <v>186</v>
      </c>
      <c r="C6" s="32" t="s">
        <v>187</v>
      </c>
      <c r="D6"/>
      <c r="E6"/>
      <c r="F6"/>
      <c r="G6"/>
    </row>
    <row r="7" spans="1:7" x14ac:dyDescent="0.25">
      <c r="A7" s="2" t="s">
        <v>186</v>
      </c>
      <c r="B7" s="39">
        <v>0</v>
      </c>
      <c r="C7" s="39">
        <v>0</v>
      </c>
      <c r="D7"/>
      <c r="E7"/>
      <c r="F7"/>
      <c r="G7"/>
    </row>
    <row r="8" spans="1:7" x14ac:dyDescent="0.25">
      <c r="A8" s="2" t="s">
        <v>187</v>
      </c>
      <c r="B8" s="39">
        <v>0</v>
      </c>
      <c r="C8" s="39">
        <v>0</v>
      </c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2060"/>
  </sheetPr>
  <dimension ref="A1:AR133"/>
  <sheetViews>
    <sheetView workbookViewId="0">
      <selection activeCell="I17" sqref="I17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77</v>
      </c>
      <c r="B1" s="68">
        <v>0.2</v>
      </c>
      <c r="K1" s="21" t="s">
        <v>42</v>
      </c>
      <c r="L1" s="22" t="s">
        <v>43</v>
      </c>
      <c r="N1" s="75" t="s">
        <v>93</v>
      </c>
      <c r="O1" s="75" t="s">
        <v>86</v>
      </c>
      <c r="P1" t="s">
        <v>92</v>
      </c>
      <c r="T1" t="s">
        <v>87</v>
      </c>
      <c r="U1" t="s">
        <v>48</v>
      </c>
      <c r="V1" t="s">
        <v>88</v>
      </c>
      <c r="W1" t="s">
        <v>56</v>
      </c>
    </row>
    <row r="2" spans="1:26" x14ac:dyDescent="0.25">
      <c r="A2" s="16" t="s">
        <v>145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179</v>
      </c>
      <c r="T2" t="s">
        <v>154</v>
      </c>
      <c r="U2" t="s">
        <v>151</v>
      </c>
      <c r="V2" s="13">
        <v>42912</v>
      </c>
      <c r="W2">
        <v>0</v>
      </c>
    </row>
    <row r="3" spans="1:26" x14ac:dyDescent="0.25">
      <c r="A3" s="70" t="s">
        <v>45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180</v>
      </c>
      <c r="T3" t="s">
        <v>183</v>
      </c>
      <c r="U3" t="s">
        <v>151</v>
      </c>
      <c r="V3" s="13">
        <v>42912</v>
      </c>
      <c r="W3">
        <v>0</v>
      </c>
    </row>
    <row r="4" spans="1:26" x14ac:dyDescent="0.25">
      <c r="A4" s="16" t="s">
        <v>44</v>
      </c>
      <c r="B4" s="72">
        <f>Timeline[[#Totals],[Working Days]]</f>
        <v>0</v>
      </c>
      <c r="K4" s="111"/>
      <c r="L4" s="112"/>
      <c r="N4" s="114"/>
      <c r="O4" s="114"/>
      <c r="P4" s="115"/>
      <c r="T4" t="s">
        <v>85</v>
      </c>
      <c r="U4" t="s">
        <v>54</v>
      </c>
      <c r="V4" s="13">
        <v>42912</v>
      </c>
      <c r="W4">
        <v>0</v>
      </c>
    </row>
    <row r="5" spans="1:26" x14ac:dyDescent="0.25">
      <c r="A5" s="16" t="s">
        <v>46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47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48</v>
      </c>
      <c r="B9" s="32" t="s">
        <v>49</v>
      </c>
      <c r="C9" s="32" t="s">
        <v>50</v>
      </c>
      <c r="D9" s="32" t="s">
        <v>51</v>
      </c>
      <c r="E9" s="32" t="s">
        <v>132</v>
      </c>
      <c r="F9" s="32" t="s">
        <v>77</v>
      </c>
      <c r="G9" s="32" t="s">
        <v>55</v>
      </c>
      <c r="H9" s="32" t="s">
        <v>52</v>
      </c>
      <c r="I9" s="32" t="s">
        <v>53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151</v>
      </c>
      <c r="B10" s="28">
        <v>1</v>
      </c>
      <c r="C10" s="28">
        <v>8</v>
      </c>
      <c r="D10" s="28">
        <f>B10*C10</f>
        <v>8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54</v>
      </c>
      <c r="B11" s="28">
        <v>2</v>
      </c>
      <c r="C11" s="28">
        <v>8</v>
      </c>
      <c r="D11" s="28">
        <f t="shared" ref="D11" si="1">B11*C11</f>
        <v>16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ht="15.75" thickBot="1" x14ac:dyDescent="0.3">
      <c r="A16" t="s">
        <v>2</v>
      </c>
      <c r="B16" s="65">
        <f>SUBTOTAL(109,Timeline[People])</f>
        <v>3</v>
      </c>
      <c r="C16" s="65"/>
      <c r="D16" s="65">
        <f>SUBTOTAL(109,Timeline[Team Daily Capability])</f>
        <v>24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ht="15.75" thickTop="1" x14ac:dyDescent="0.25">
      <c r="E17" s="30"/>
      <c r="H17" s="126" t="s">
        <v>184</v>
      </c>
      <c r="I17" s="127">
        <v>42942</v>
      </c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conditionalFormatting sqref="I17">
    <cfRule type="cellIs" dxfId="404" priority="1" operator="lessThan">
      <formula>$I$16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8" tint="-0.499984740745262"/>
  </sheetPr>
  <dimension ref="A1:AV8"/>
  <sheetViews>
    <sheetView zoomScale="115" zoomScaleNormal="115" zoomScalePageLayoutView="115" workbookViewId="0">
      <selection activeCell="A7" sqref="A7"/>
    </sheetView>
  </sheetViews>
  <sheetFormatPr defaultColWidth="8.85546875" defaultRowHeight="15" x14ac:dyDescent="0.25"/>
  <cols>
    <col min="1" max="1" width="20.28515625" bestFit="1" customWidth="1"/>
    <col min="2" max="2" width="21.85546875" bestFit="1" customWidth="1"/>
    <col min="3" max="3" width="8.85546875" bestFit="1" customWidth="1"/>
    <col min="4" max="4" width="5.28515625" bestFit="1" customWidth="1"/>
    <col min="5" max="8" width="6.28515625" bestFit="1" customWidth="1"/>
    <col min="9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15</v>
      </c>
      <c r="B1" t="s">
        <v>188</v>
      </c>
    </row>
    <row r="2" spans="1:48" x14ac:dyDescent="0.25">
      <c r="A2" s="1" t="s">
        <v>48</v>
      </c>
      <c r="B2" t="s">
        <v>188</v>
      </c>
      <c r="J2" s="34"/>
    </row>
    <row r="3" spans="1:48" s="88" customFormat="1" x14ac:dyDescent="0.25">
      <c r="A3" s="1" t="s">
        <v>84</v>
      </c>
      <c r="B3" t="s">
        <v>188</v>
      </c>
    </row>
    <row r="4" spans="1:48" s="88" customFormat="1" ht="40.5" x14ac:dyDescent="0.25">
      <c r="D4" s="88" t="s">
        <v>179</v>
      </c>
      <c r="F4" s="88" t="s">
        <v>180</v>
      </c>
    </row>
    <row r="5" spans="1:48" x14ac:dyDescent="0.25">
      <c r="A5" s="99" t="s">
        <v>150</v>
      </c>
      <c r="B5" s="38" t="s">
        <v>189</v>
      </c>
      <c r="C5" s="78"/>
    </row>
    <row r="6" spans="1:48" s="96" customFormat="1" x14ac:dyDescent="0.25">
      <c r="A6" s="95" t="s">
        <v>185</v>
      </c>
      <c r="B6" s="97" t="s">
        <v>186</v>
      </c>
      <c r="C6" s="98" t="s">
        <v>187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186</v>
      </c>
      <c r="B7" s="25"/>
      <c r="C7" s="25"/>
    </row>
    <row r="8" spans="1:48" x14ac:dyDescent="0.25">
      <c r="A8" s="2" t="s">
        <v>187</v>
      </c>
      <c r="B8" s="25"/>
      <c r="C8" s="25"/>
    </row>
  </sheetData>
  <conditionalFormatting pivot="1" sqref="B7:C8">
    <cfRule type="cellIs" dxfId="379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6" tint="-0.249977111117893"/>
  </sheetPr>
  <dimension ref="A1:L42"/>
  <sheetViews>
    <sheetView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60</v>
      </c>
      <c r="B1" s="78" t="s">
        <v>101</v>
      </c>
      <c r="C1" s="78" t="s">
        <v>59</v>
      </c>
      <c r="D1" s="78" t="s">
        <v>48</v>
      </c>
      <c r="E1" s="78" t="s">
        <v>75</v>
      </c>
      <c r="F1" s="100" t="s">
        <v>76</v>
      </c>
      <c r="G1" s="101" t="s">
        <v>129</v>
      </c>
      <c r="H1" s="101" t="s">
        <v>130</v>
      </c>
      <c r="I1" s="78" t="s">
        <v>110</v>
      </c>
      <c r="K1" s="99" t="s">
        <v>60</v>
      </c>
      <c r="L1" s="78" t="s">
        <v>178</v>
      </c>
    </row>
    <row r="2" spans="1:12" s="78" customFormat="1" x14ac:dyDescent="0.25">
      <c r="A2" t="s">
        <v>178</v>
      </c>
      <c r="B2" s="23" t="str">
        <f t="shared" ref="B2" si="0">IF(ISERROR(FIND("BALLPARK",C2)), "Plan", "BALLPARK")</f>
        <v>BALLPARK</v>
      </c>
      <c r="C2" s="23" t="s">
        <v>69</v>
      </c>
      <c r="D2" t="s">
        <v>151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178</v>
      </c>
      <c r="B3" s="23" t="str">
        <f t="shared" ref="B3:B33" si="1">IF(ISERROR(FIND("BALLPARK",C3)), "Plan", "BALLPARK")</f>
        <v>BALLPARK</v>
      </c>
      <c r="C3" s="23" t="s">
        <v>69</v>
      </c>
      <c r="D3" t="s">
        <v>54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185</v>
      </c>
      <c r="L3" s="78" t="s">
        <v>131</v>
      </c>
    </row>
    <row r="4" spans="1:12" s="78" customFormat="1" x14ac:dyDescent="0.25">
      <c r="A4" t="s">
        <v>178</v>
      </c>
      <c r="B4" s="23" t="str">
        <f t="shared" si="1"/>
        <v>BALLPARK</v>
      </c>
      <c r="C4" s="23" t="s">
        <v>70</v>
      </c>
      <c r="D4" t="s">
        <v>54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182</v>
      </c>
      <c r="L4" s="106"/>
    </row>
    <row r="5" spans="1:12" s="78" customFormat="1" x14ac:dyDescent="0.25">
      <c r="A5" t="s">
        <v>178</v>
      </c>
      <c r="B5" s="23" t="str">
        <f t="shared" si="1"/>
        <v>BALLPARK</v>
      </c>
      <c r="C5" s="23" t="s">
        <v>70</v>
      </c>
      <c r="D5" t="s">
        <v>151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69</v>
      </c>
      <c r="L5" s="106" t="e">
        <v>#DIV/0!</v>
      </c>
    </row>
    <row r="6" spans="1:12" s="78" customFormat="1" x14ac:dyDescent="0.25">
      <c r="A6" t="s">
        <v>178</v>
      </c>
      <c r="B6" s="23" t="str">
        <f t="shared" si="1"/>
        <v>BALLPARK</v>
      </c>
      <c r="C6" s="23" t="s">
        <v>68</v>
      </c>
      <c r="D6" t="s">
        <v>54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70</v>
      </c>
      <c r="L6" s="106" t="e">
        <v>#DIV/0!</v>
      </c>
    </row>
    <row r="7" spans="1:12" s="78" customFormat="1" x14ac:dyDescent="0.25">
      <c r="A7" t="s">
        <v>178</v>
      </c>
      <c r="B7" s="23" t="str">
        <f t="shared" si="1"/>
        <v>BALLPARK</v>
      </c>
      <c r="C7" s="23" t="s">
        <v>68</v>
      </c>
      <c r="D7" t="s">
        <v>151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68</v>
      </c>
      <c r="L7" s="106" t="e">
        <v>#DIV/0!</v>
      </c>
    </row>
    <row r="8" spans="1:12" s="78" customFormat="1" x14ac:dyDescent="0.25">
      <c r="A8" t="s">
        <v>178</v>
      </c>
      <c r="B8" s="23" t="str">
        <f t="shared" si="1"/>
        <v>BALLPARK</v>
      </c>
      <c r="C8" s="23" t="s">
        <v>109</v>
      </c>
      <c r="D8" t="s">
        <v>54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109</v>
      </c>
      <c r="L8" s="106" t="e">
        <v>#DIV/0!</v>
      </c>
    </row>
    <row r="9" spans="1:12" s="78" customFormat="1" x14ac:dyDescent="0.25">
      <c r="A9" t="s">
        <v>178</v>
      </c>
      <c r="B9" s="23" t="str">
        <f t="shared" si="1"/>
        <v>BALLPARK</v>
      </c>
      <c r="C9" s="23" t="s">
        <v>109</v>
      </c>
      <c r="D9" t="s">
        <v>151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66</v>
      </c>
      <c r="L9" s="106" t="e">
        <v>#DIV/0!</v>
      </c>
    </row>
    <row r="10" spans="1:12" s="78" customFormat="1" x14ac:dyDescent="0.25">
      <c r="A10" t="s">
        <v>178</v>
      </c>
      <c r="B10" s="23" t="str">
        <f t="shared" si="1"/>
        <v>BALLPARK</v>
      </c>
      <c r="C10" s="23" t="s">
        <v>66</v>
      </c>
      <c r="D10" t="s">
        <v>151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181</v>
      </c>
      <c r="L10" s="106" t="e">
        <v>#DIV/0!</v>
      </c>
    </row>
    <row r="11" spans="1:12" s="78" customFormat="1" x14ac:dyDescent="0.25">
      <c r="A11" t="s">
        <v>178</v>
      </c>
      <c r="B11" s="23" t="str">
        <f t="shared" si="1"/>
        <v>BALLPARK</v>
      </c>
      <c r="C11" s="23" t="s">
        <v>181</v>
      </c>
      <c r="D11" t="s">
        <v>54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108</v>
      </c>
      <c r="L11" s="106" t="e">
        <v>#DIV/0!</v>
      </c>
    </row>
    <row r="12" spans="1:12" s="78" customFormat="1" x14ac:dyDescent="0.25">
      <c r="A12" t="s">
        <v>178</v>
      </c>
      <c r="B12" s="23" t="str">
        <f t="shared" si="1"/>
        <v>BALLPARK</v>
      </c>
      <c r="C12" s="23" t="s">
        <v>181</v>
      </c>
      <c r="D12" t="s">
        <v>151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67</v>
      </c>
      <c r="L12" s="106" t="e">
        <v>#DIV/0!</v>
      </c>
    </row>
    <row r="13" spans="1:12" s="78" customFormat="1" x14ac:dyDescent="0.25">
      <c r="A13" t="s">
        <v>178</v>
      </c>
      <c r="B13" s="23" t="str">
        <f t="shared" si="1"/>
        <v>BALLPARK</v>
      </c>
      <c r="C13" s="23" t="s">
        <v>108</v>
      </c>
      <c r="D13" t="s">
        <v>54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65</v>
      </c>
      <c r="L13" s="106"/>
    </row>
    <row r="14" spans="1:12" s="78" customFormat="1" x14ac:dyDescent="0.25">
      <c r="A14" t="s">
        <v>178</v>
      </c>
      <c r="B14" s="23" t="str">
        <f t="shared" si="1"/>
        <v>BALLPARK</v>
      </c>
      <c r="C14" s="23" t="s">
        <v>108</v>
      </c>
      <c r="D14" t="s">
        <v>151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6</v>
      </c>
      <c r="L14" s="106" t="e">
        <v>#DIV/0!</v>
      </c>
    </row>
    <row r="15" spans="1:12" s="78" customFormat="1" x14ac:dyDescent="0.25">
      <c r="A15" t="s">
        <v>178</v>
      </c>
      <c r="B15" s="23" t="str">
        <f t="shared" si="1"/>
        <v>BALLPARK</v>
      </c>
      <c r="C15" s="23" t="s">
        <v>67</v>
      </c>
      <c r="D15" t="s">
        <v>54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23</v>
      </c>
      <c r="L15" s="106" t="e">
        <v>#DIV/0!</v>
      </c>
    </row>
    <row r="16" spans="1:12" s="78" customFormat="1" x14ac:dyDescent="0.25">
      <c r="A16" t="s">
        <v>178</v>
      </c>
      <c r="B16" s="23" t="str">
        <f t="shared" ref="B16" si="2">IF(ISERROR(FIND("BALLPARK",C16)), "Plan", "BALLPARK")</f>
        <v>Plan</v>
      </c>
      <c r="C16" t="s">
        <v>6</v>
      </c>
      <c r="D16" t="s">
        <v>151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9</v>
      </c>
      <c r="L16" s="106" t="e">
        <v>#DIV/0!</v>
      </c>
    </row>
    <row r="17" spans="1:12" s="78" customFormat="1" x14ac:dyDescent="0.25">
      <c r="A17" t="s">
        <v>178</v>
      </c>
      <c r="B17" s="23" t="str">
        <f t="shared" si="1"/>
        <v>Plan</v>
      </c>
      <c r="C17" t="s">
        <v>6</v>
      </c>
      <c r="D17" t="s">
        <v>54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5</v>
      </c>
      <c r="L17" s="106" t="e">
        <v>#DIV/0!</v>
      </c>
    </row>
    <row r="18" spans="1:12" s="78" customFormat="1" x14ac:dyDescent="0.25">
      <c r="A18" t="s">
        <v>178</v>
      </c>
      <c r="B18" s="23" t="str">
        <f t="shared" si="1"/>
        <v>Plan</v>
      </c>
      <c r="C18" t="s">
        <v>23</v>
      </c>
      <c r="D18" t="s">
        <v>54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57</v>
      </c>
      <c r="L18" s="106" t="e">
        <v>#DIV/0!</v>
      </c>
    </row>
    <row r="19" spans="1:12" s="78" customFormat="1" x14ac:dyDescent="0.25">
      <c r="A19" t="s">
        <v>178</v>
      </c>
      <c r="B19" s="23" t="str">
        <f t="shared" si="1"/>
        <v>Plan</v>
      </c>
      <c r="C19" t="s">
        <v>9</v>
      </c>
      <c r="D19" t="s">
        <v>151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7</v>
      </c>
      <c r="L19" s="106" t="e">
        <v>#DIV/0!</v>
      </c>
    </row>
    <row r="20" spans="1:12" s="78" customFormat="1" x14ac:dyDescent="0.25">
      <c r="A20" t="s">
        <v>178</v>
      </c>
      <c r="B20" s="23" t="str">
        <f t="shared" si="1"/>
        <v>Plan</v>
      </c>
      <c r="C20" t="s">
        <v>9</v>
      </c>
      <c r="D20" t="s">
        <v>54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58</v>
      </c>
      <c r="L20" s="106" t="e">
        <v>#DIV/0!</v>
      </c>
    </row>
    <row r="21" spans="1:12" s="78" customFormat="1" x14ac:dyDescent="0.25">
      <c r="A21" t="s">
        <v>178</v>
      </c>
      <c r="B21" s="23" t="str">
        <f t="shared" si="1"/>
        <v>Plan</v>
      </c>
      <c r="C21" t="s">
        <v>5</v>
      </c>
      <c r="D21" t="s">
        <v>151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1</v>
      </c>
      <c r="L21" s="106" t="e">
        <v>#DIV/0!</v>
      </c>
    </row>
    <row r="22" spans="1:12" s="78" customFormat="1" x14ac:dyDescent="0.25">
      <c r="A22" t="s">
        <v>178</v>
      </c>
      <c r="B22" s="23" t="str">
        <f t="shared" si="1"/>
        <v>Plan</v>
      </c>
      <c r="C22" t="s">
        <v>5</v>
      </c>
      <c r="D22" t="s">
        <v>54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8</v>
      </c>
      <c r="L22" s="106" t="e">
        <v>#DIV/0!</v>
      </c>
    </row>
    <row r="23" spans="1:12" s="78" customFormat="1" x14ac:dyDescent="0.25">
      <c r="A23" t="s">
        <v>178</v>
      </c>
      <c r="B23" s="23" t="str">
        <f t="shared" si="1"/>
        <v>Plan</v>
      </c>
      <c r="C23" t="s">
        <v>57</v>
      </c>
      <c r="D23" t="s">
        <v>151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24</v>
      </c>
      <c r="L23" s="106" t="e">
        <v>#DIV/0!</v>
      </c>
    </row>
    <row r="24" spans="1:12" s="78" customFormat="1" x14ac:dyDescent="0.25">
      <c r="A24" t="s">
        <v>178</v>
      </c>
      <c r="B24" s="23" t="str">
        <f t="shared" si="1"/>
        <v>Plan</v>
      </c>
      <c r="C24" t="s">
        <v>7</v>
      </c>
      <c r="D24" t="s">
        <v>54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3</v>
      </c>
      <c r="L24" s="106" t="e">
        <v>#DIV/0!</v>
      </c>
    </row>
    <row r="25" spans="1:12" s="78" customFormat="1" x14ac:dyDescent="0.25">
      <c r="A25" t="s">
        <v>178</v>
      </c>
      <c r="B25" s="23" t="str">
        <f t="shared" si="1"/>
        <v>Plan</v>
      </c>
      <c r="C25" t="s">
        <v>58</v>
      </c>
      <c r="D25" t="s">
        <v>151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187</v>
      </c>
      <c r="L25" s="106" t="e">
        <v>#DIV/0!</v>
      </c>
    </row>
    <row r="26" spans="1:12" s="78" customFormat="1" x14ac:dyDescent="0.25">
      <c r="A26" t="s">
        <v>178</v>
      </c>
      <c r="B26" s="23" t="str">
        <f t="shared" si="1"/>
        <v>Plan</v>
      </c>
      <c r="C26" t="s">
        <v>58</v>
      </c>
      <c r="D26" t="s">
        <v>54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178</v>
      </c>
      <c r="B27" s="23" t="str">
        <f t="shared" si="1"/>
        <v>Plan</v>
      </c>
      <c r="C27" t="s">
        <v>1</v>
      </c>
      <c r="D27" t="s">
        <v>151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178</v>
      </c>
      <c r="B28" s="23" t="str">
        <f t="shared" si="1"/>
        <v>Plan</v>
      </c>
      <c r="C28" t="s">
        <v>1</v>
      </c>
      <c r="D28" t="s">
        <v>54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178</v>
      </c>
      <c r="B29" s="23" t="str">
        <f t="shared" si="1"/>
        <v>Plan</v>
      </c>
      <c r="C29" t="s">
        <v>8</v>
      </c>
      <c r="D29" t="s">
        <v>54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178</v>
      </c>
      <c r="B30" s="23" t="str">
        <f t="shared" si="1"/>
        <v>Plan</v>
      </c>
      <c r="C30" t="s">
        <v>8</v>
      </c>
      <c r="D30" t="s">
        <v>151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178</v>
      </c>
      <c r="B31" s="23" t="str">
        <f t="shared" si="1"/>
        <v>Plan</v>
      </c>
      <c r="C31" t="s">
        <v>24</v>
      </c>
      <c r="D31" t="s">
        <v>151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178</v>
      </c>
      <c r="B32" s="23" t="str">
        <f t="shared" si="1"/>
        <v>Plan</v>
      </c>
      <c r="C32" t="s">
        <v>24</v>
      </c>
      <c r="D32" t="s">
        <v>54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178</v>
      </c>
      <c r="B33" s="23" t="str">
        <f t="shared" si="1"/>
        <v>Plan</v>
      </c>
      <c r="C33" t="s">
        <v>3</v>
      </c>
      <c r="D33" t="s">
        <v>54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55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64</v>
      </c>
      <c r="B1" s="5" t="s">
        <v>16</v>
      </c>
      <c r="C1" s="5" t="s">
        <v>15</v>
      </c>
      <c r="D1" s="36" t="s">
        <v>17</v>
      </c>
      <c r="E1" s="120" t="s">
        <v>107</v>
      </c>
      <c r="G1" t="s">
        <v>101</v>
      </c>
      <c r="H1" t="s">
        <v>102</v>
      </c>
      <c r="I1" s="24" t="s">
        <v>103</v>
      </c>
      <c r="J1" t="s">
        <v>104</v>
      </c>
    </row>
    <row r="2" spans="1:10" x14ac:dyDescent="0.25">
      <c r="A2" t="s">
        <v>6</v>
      </c>
      <c r="B2" t="s">
        <v>18</v>
      </c>
      <c r="C2" t="s">
        <v>71</v>
      </c>
      <c r="D2" s="85">
        <v>1.0638297872340425</v>
      </c>
      <c r="E2" s="121">
        <f>Clusters[[#This Row],[Effort]]*1.2</f>
        <v>1.2765957446808509</v>
      </c>
      <c r="G2" t="s">
        <v>33</v>
      </c>
      <c r="H2" t="s">
        <v>69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6</v>
      </c>
      <c r="B3" t="s">
        <v>19</v>
      </c>
      <c r="C3" t="s">
        <v>71</v>
      </c>
      <c r="D3" s="85">
        <v>2.1276595744680851</v>
      </c>
      <c r="E3" s="121">
        <f>Clusters[[#This Row],[Effort]]*1.2</f>
        <v>2.5531914893617018</v>
      </c>
      <c r="G3" t="s">
        <v>33</v>
      </c>
      <c r="H3" s="23" t="s">
        <v>70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6</v>
      </c>
      <c r="B4" t="s">
        <v>20</v>
      </c>
      <c r="C4" t="s">
        <v>71</v>
      </c>
      <c r="D4" s="85">
        <v>4.2553191489361701</v>
      </c>
      <c r="E4" s="121">
        <f>Clusters[[#This Row],[Effort]]*1.2</f>
        <v>5.1063829787234036</v>
      </c>
      <c r="G4" t="s">
        <v>33</v>
      </c>
      <c r="H4" t="s">
        <v>68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6</v>
      </c>
      <c r="B5" t="s">
        <v>21</v>
      </c>
      <c r="C5" t="s">
        <v>71</v>
      </c>
      <c r="D5" s="85">
        <v>8.5106382978723403</v>
      </c>
      <c r="E5" s="121">
        <f>Clusters[[#This Row],[Effort]]*1.2</f>
        <v>10.212765957446807</v>
      </c>
      <c r="G5" t="s">
        <v>33</v>
      </c>
      <c r="H5" t="s">
        <v>66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6</v>
      </c>
      <c r="B6" t="s">
        <v>22</v>
      </c>
      <c r="C6" t="s">
        <v>71</v>
      </c>
      <c r="D6" s="85">
        <v>16</v>
      </c>
      <c r="E6" s="121">
        <f>Clusters[[#This Row],[Effort]]*1.2</f>
        <v>19.2</v>
      </c>
      <c r="G6" t="s">
        <v>33</v>
      </c>
      <c r="H6" t="s">
        <v>109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40</v>
      </c>
      <c r="B7" t="s">
        <v>18</v>
      </c>
      <c r="C7" t="s">
        <v>71</v>
      </c>
      <c r="D7" s="85">
        <v>1.0638297872340425</v>
      </c>
      <c r="E7" s="121">
        <f>Clusters[[#This Row],[Effort]]*1.2</f>
        <v>1.2765957446808509</v>
      </c>
      <c r="G7" t="s">
        <v>33</v>
      </c>
      <c r="H7" s="23" t="s">
        <v>106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40</v>
      </c>
      <c r="B8" t="s">
        <v>19</v>
      </c>
      <c r="C8" t="s">
        <v>71</v>
      </c>
      <c r="D8" s="85">
        <v>2.1276595744680851</v>
      </c>
      <c r="E8" s="121">
        <f>Clusters[[#This Row],[Effort]]*1.2</f>
        <v>2.5531914893617018</v>
      </c>
      <c r="G8" t="s">
        <v>33</v>
      </c>
      <c r="H8" t="s">
        <v>108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40</v>
      </c>
      <c r="B9" t="s">
        <v>20</v>
      </c>
      <c r="C9" t="s">
        <v>71</v>
      </c>
      <c r="D9" s="85">
        <v>3.191489361702128</v>
      </c>
      <c r="E9" s="121">
        <f>Clusters[[#This Row],[Effort]]*1.2</f>
        <v>3.8297872340425534</v>
      </c>
      <c r="G9" t="s">
        <v>33</v>
      </c>
      <c r="H9" t="s">
        <v>67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40</v>
      </c>
      <c r="B10" t="s">
        <v>21</v>
      </c>
      <c r="C10" t="s">
        <v>71</v>
      </c>
      <c r="D10" s="85">
        <v>4.2553191489361701</v>
      </c>
      <c r="E10" s="121">
        <f>Clusters[[#This Row],[Effort]]*1.2</f>
        <v>5.1063829787234036</v>
      </c>
      <c r="G10" t="s">
        <v>33</v>
      </c>
      <c r="H10" t="s">
        <v>111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40</v>
      </c>
      <c r="B11" t="s">
        <v>22</v>
      </c>
      <c r="C11" t="s">
        <v>71</v>
      </c>
      <c r="D11" s="85">
        <v>5.3191489361702127</v>
      </c>
      <c r="E11" s="121">
        <f>Clusters[[#This Row],[Effort]]*1.2</f>
        <v>6.3829787234042552</v>
      </c>
      <c r="G11" t="s">
        <v>65</v>
      </c>
      <c r="H11" s="24" t="s">
        <v>40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9</v>
      </c>
      <c r="B12" t="s">
        <v>18</v>
      </c>
      <c r="C12" t="s">
        <v>71</v>
      </c>
      <c r="D12" s="85">
        <v>4</v>
      </c>
      <c r="E12" s="121">
        <f>Clusters[[#This Row],[Effort]]*1.2</f>
        <v>4.8</v>
      </c>
      <c r="G12" t="s">
        <v>65</v>
      </c>
      <c r="H12" s="24" t="s">
        <v>6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9</v>
      </c>
      <c r="B13" t="s">
        <v>19</v>
      </c>
      <c r="C13" t="s">
        <v>71</v>
      </c>
      <c r="D13" s="85">
        <v>16</v>
      </c>
      <c r="E13" s="121">
        <f>Clusters[[#This Row],[Effort]]*1.2</f>
        <v>19.2</v>
      </c>
      <c r="G13" t="s">
        <v>65</v>
      </c>
      <c r="H13" t="s">
        <v>9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9</v>
      </c>
      <c r="B14" t="s">
        <v>20</v>
      </c>
      <c r="C14" t="s">
        <v>71</v>
      </c>
      <c r="D14" s="85">
        <v>24</v>
      </c>
      <c r="E14" s="121">
        <f>Clusters[[#This Row],[Effort]]*1.2</f>
        <v>28.799999999999997</v>
      </c>
      <c r="G14" t="s">
        <v>65</v>
      </c>
      <c r="H14" t="s">
        <v>5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9</v>
      </c>
      <c r="B15" t="s">
        <v>21</v>
      </c>
      <c r="C15" t="s">
        <v>71</v>
      </c>
      <c r="D15" s="85">
        <v>40</v>
      </c>
      <c r="E15" s="121">
        <f>Clusters[[#This Row],[Effort]]*1.2</f>
        <v>48</v>
      </c>
      <c r="G15" t="s">
        <v>65</v>
      </c>
      <c r="H15" t="s">
        <v>57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9</v>
      </c>
      <c r="B16" t="s">
        <v>22</v>
      </c>
      <c r="C16" t="s">
        <v>71</v>
      </c>
      <c r="D16" s="85">
        <v>48</v>
      </c>
      <c r="E16" s="121">
        <f>Clusters[[#This Row],[Effort]]*1.2</f>
        <v>57.599999999999994</v>
      </c>
      <c r="G16" t="s">
        <v>65</v>
      </c>
      <c r="H16" t="s">
        <v>7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5</v>
      </c>
      <c r="B17" t="s">
        <v>18</v>
      </c>
      <c r="C17" t="s">
        <v>71</v>
      </c>
      <c r="D17" s="85">
        <v>1.0638297872340425</v>
      </c>
      <c r="E17" s="121">
        <f>Clusters[[#This Row],[Effort]]*1.2</f>
        <v>1.2765957446808509</v>
      </c>
      <c r="G17" t="s">
        <v>65</v>
      </c>
      <c r="H17" s="24" t="s">
        <v>58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5</v>
      </c>
      <c r="B18" t="s">
        <v>19</v>
      </c>
      <c r="C18" t="s">
        <v>71</v>
      </c>
      <c r="D18" s="85">
        <v>2.1276595744680851</v>
      </c>
      <c r="E18" s="121">
        <f>Clusters[[#This Row],[Effort]]*1.2</f>
        <v>2.5531914893617018</v>
      </c>
      <c r="G18" t="s">
        <v>65</v>
      </c>
      <c r="H18" t="s">
        <v>1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5</v>
      </c>
      <c r="B19" t="s">
        <v>20</v>
      </c>
      <c r="C19" t="s">
        <v>71</v>
      </c>
      <c r="D19" s="85">
        <v>4.2553191489361701</v>
      </c>
      <c r="E19" s="121">
        <f>Clusters[[#This Row],[Effort]]*1.2</f>
        <v>5.1063829787234036</v>
      </c>
      <c r="G19" t="s">
        <v>65</v>
      </c>
      <c r="H19" t="s">
        <v>8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5</v>
      </c>
      <c r="B20" t="s">
        <v>21</v>
      </c>
      <c r="C20" t="s">
        <v>71</v>
      </c>
      <c r="D20" s="85">
        <v>8.5106382978723403</v>
      </c>
      <c r="E20" s="121">
        <f>Clusters[[#This Row],[Effort]]*1.2</f>
        <v>10.212765957446807</v>
      </c>
      <c r="G20" t="s">
        <v>65</v>
      </c>
      <c r="H20" s="24" t="s">
        <v>3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5</v>
      </c>
      <c r="B21" t="s">
        <v>22</v>
      </c>
      <c r="C21" t="s">
        <v>71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57</v>
      </c>
      <c r="B22" t="s">
        <v>18</v>
      </c>
      <c r="C22" t="s">
        <v>71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57</v>
      </c>
      <c r="B23" t="s">
        <v>19</v>
      </c>
      <c r="C23" t="s">
        <v>71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57</v>
      </c>
      <c r="B24" t="s">
        <v>20</v>
      </c>
      <c r="C24" t="s">
        <v>71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57</v>
      </c>
      <c r="B25" t="s">
        <v>21</v>
      </c>
      <c r="C25" t="s">
        <v>71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57</v>
      </c>
      <c r="B26" t="s">
        <v>22</v>
      </c>
      <c r="C26" t="s">
        <v>71</v>
      </c>
      <c r="D26" s="85">
        <v>8</v>
      </c>
      <c r="E26" s="121">
        <f>Clusters[[#This Row],[Effort]]*1.2</f>
        <v>9.6</v>
      </c>
    </row>
    <row r="27" spans="1:10" x14ac:dyDescent="0.25">
      <c r="A27" t="s">
        <v>7</v>
      </c>
      <c r="B27" t="s">
        <v>18</v>
      </c>
      <c r="C27" t="s">
        <v>71</v>
      </c>
      <c r="D27" s="85">
        <v>4</v>
      </c>
      <c r="E27" s="121">
        <f>Clusters[[#This Row],[Effort]]*1.2</f>
        <v>4.8</v>
      </c>
    </row>
    <row r="28" spans="1:10" x14ac:dyDescent="0.25">
      <c r="A28" t="s">
        <v>7</v>
      </c>
      <c r="B28" t="s">
        <v>19</v>
      </c>
      <c r="C28" t="s">
        <v>71</v>
      </c>
      <c r="D28" s="85">
        <v>16</v>
      </c>
      <c r="E28" s="121">
        <f>Clusters[[#This Row],[Effort]]*1.2</f>
        <v>19.2</v>
      </c>
    </row>
    <row r="29" spans="1:10" x14ac:dyDescent="0.25">
      <c r="A29" t="s">
        <v>7</v>
      </c>
      <c r="B29" t="s">
        <v>20</v>
      </c>
      <c r="C29" t="s">
        <v>71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7</v>
      </c>
      <c r="B30" t="s">
        <v>21</v>
      </c>
      <c r="C30" t="s">
        <v>71</v>
      </c>
      <c r="D30" s="85">
        <v>40</v>
      </c>
      <c r="E30" s="121">
        <f>Clusters[[#This Row],[Effort]]*1.2</f>
        <v>48</v>
      </c>
    </row>
    <row r="31" spans="1:10" x14ac:dyDescent="0.25">
      <c r="A31" t="s">
        <v>7</v>
      </c>
      <c r="B31" t="s">
        <v>22</v>
      </c>
      <c r="C31" t="s">
        <v>71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1</v>
      </c>
      <c r="B32" t="s">
        <v>18</v>
      </c>
      <c r="C32" t="s">
        <v>71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1</v>
      </c>
      <c r="B33" t="s">
        <v>19</v>
      </c>
      <c r="C33" t="s">
        <v>71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1</v>
      </c>
      <c r="B34" t="s">
        <v>20</v>
      </c>
      <c r="C34" t="s">
        <v>71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1</v>
      </c>
      <c r="B35" t="s">
        <v>21</v>
      </c>
      <c r="C35" t="s">
        <v>71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1</v>
      </c>
      <c r="B36" t="s">
        <v>22</v>
      </c>
      <c r="C36" t="s">
        <v>71</v>
      </c>
      <c r="D36" s="85">
        <v>35</v>
      </c>
      <c r="E36" s="121">
        <f>Clusters[[#This Row],[Effort]]*1.2</f>
        <v>42</v>
      </c>
    </row>
    <row r="37" spans="1:5" x14ac:dyDescent="0.25">
      <c r="A37" t="s">
        <v>8</v>
      </c>
      <c r="B37" t="s">
        <v>18</v>
      </c>
      <c r="C37" t="s">
        <v>71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8</v>
      </c>
      <c r="B38" t="s">
        <v>19</v>
      </c>
      <c r="C38" t="s">
        <v>71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8</v>
      </c>
      <c r="B39" t="s">
        <v>20</v>
      </c>
      <c r="C39" t="s">
        <v>71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8</v>
      </c>
      <c r="B40" t="s">
        <v>21</v>
      </c>
      <c r="C40" t="s">
        <v>71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8</v>
      </c>
      <c r="B41" t="s">
        <v>22</v>
      </c>
      <c r="C41" t="s">
        <v>71</v>
      </c>
      <c r="D41" s="85">
        <v>16</v>
      </c>
      <c r="E41" s="121">
        <f>Clusters[[#This Row],[Effort]]*1.2</f>
        <v>19.2</v>
      </c>
    </row>
    <row r="42" spans="1:5" x14ac:dyDescent="0.25">
      <c r="A42" t="s">
        <v>24</v>
      </c>
      <c r="B42" t="s">
        <v>18</v>
      </c>
      <c r="C42" t="s">
        <v>71</v>
      </c>
      <c r="D42" s="85">
        <v>2</v>
      </c>
      <c r="E42" s="121">
        <f>Clusters[[#This Row],[Effort]]*1.2</f>
        <v>2.4</v>
      </c>
    </row>
    <row r="43" spans="1:5" x14ac:dyDescent="0.25">
      <c r="A43" t="s">
        <v>24</v>
      </c>
      <c r="B43" t="s">
        <v>19</v>
      </c>
      <c r="C43" t="s">
        <v>71</v>
      </c>
      <c r="D43" s="85">
        <v>4</v>
      </c>
      <c r="E43" s="121">
        <f>Clusters[[#This Row],[Effort]]*1.2</f>
        <v>4.8</v>
      </c>
    </row>
    <row r="44" spans="1:5" x14ac:dyDescent="0.25">
      <c r="A44" t="s">
        <v>24</v>
      </c>
      <c r="B44" t="s">
        <v>20</v>
      </c>
      <c r="C44" t="s">
        <v>71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24</v>
      </c>
      <c r="B45" t="s">
        <v>21</v>
      </c>
      <c r="C45" t="s">
        <v>71</v>
      </c>
      <c r="D45" s="85">
        <v>10</v>
      </c>
      <c r="E45" s="121">
        <f>Clusters[[#This Row],[Effort]]*1.2</f>
        <v>12</v>
      </c>
    </row>
    <row r="46" spans="1:5" x14ac:dyDescent="0.25">
      <c r="A46" t="s">
        <v>24</v>
      </c>
      <c r="B46" t="s">
        <v>22</v>
      </c>
      <c r="C46" t="s">
        <v>71</v>
      </c>
      <c r="D46" s="85">
        <v>16</v>
      </c>
      <c r="E46" s="121">
        <f>Clusters[[#This Row],[Effort]]*1.2</f>
        <v>19.2</v>
      </c>
    </row>
    <row r="47" spans="1:5" x14ac:dyDescent="0.25">
      <c r="A47" t="s">
        <v>3</v>
      </c>
      <c r="B47" t="s">
        <v>18</v>
      </c>
      <c r="C47" t="s">
        <v>71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3</v>
      </c>
      <c r="B48" t="s">
        <v>19</v>
      </c>
      <c r="C48" t="s">
        <v>71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3</v>
      </c>
      <c r="B49" t="s">
        <v>20</v>
      </c>
      <c r="C49" t="s">
        <v>71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3</v>
      </c>
      <c r="B50" t="s">
        <v>21</v>
      </c>
      <c r="C50" t="s">
        <v>71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3</v>
      </c>
      <c r="B51" t="s">
        <v>22</v>
      </c>
      <c r="C51" t="s">
        <v>71</v>
      </c>
      <c r="D51" s="85">
        <v>35</v>
      </c>
      <c r="E51" s="121">
        <f>Clusters[[#This Row],[Effort]]*1.2</f>
        <v>42</v>
      </c>
    </row>
    <row r="52" spans="1:5" x14ac:dyDescent="0.25">
      <c r="A52" t="s">
        <v>58</v>
      </c>
      <c r="B52" t="s">
        <v>18</v>
      </c>
      <c r="C52" t="s">
        <v>71</v>
      </c>
      <c r="D52" s="85">
        <v>2</v>
      </c>
      <c r="E52" s="121">
        <f>Clusters[[#This Row],[Effort]]*1.2</f>
        <v>2.4</v>
      </c>
    </row>
    <row r="53" spans="1:5" x14ac:dyDescent="0.25">
      <c r="A53" t="s">
        <v>58</v>
      </c>
      <c r="B53" t="s">
        <v>19</v>
      </c>
      <c r="C53" t="s">
        <v>71</v>
      </c>
      <c r="D53" s="85">
        <v>4</v>
      </c>
      <c r="E53" s="121">
        <f>Clusters[[#This Row],[Effort]]*1.2</f>
        <v>4.8</v>
      </c>
    </row>
    <row r="54" spans="1:5" x14ac:dyDescent="0.25">
      <c r="A54" t="s">
        <v>58</v>
      </c>
      <c r="B54" t="s">
        <v>20</v>
      </c>
      <c r="C54" t="s">
        <v>71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58</v>
      </c>
      <c r="B55" t="s">
        <v>21</v>
      </c>
      <c r="C55" t="s">
        <v>71</v>
      </c>
      <c r="D55" s="85">
        <v>10</v>
      </c>
      <c r="E55" s="121">
        <f>Clusters[[#This Row],[Effort]]*1.2</f>
        <v>12</v>
      </c>
    </row>
    <row r="56" spans="1:5" x14ac:dyDescent="0.25">
      <c r="A56" t="s">
        <v>58</v>
      </c>
      <c r="B56" t="s">
        <v>22</v>
      </c>
      <c r="C56" t="s">
        <v>71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177</v>
      </c>
      <c r="B57" t="s">
        <v>18</v>
      </c>
      <c r="C57" t="s">
        <v>71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177</v>
      </c>
      <c r="B58" t="s">
        <v>19</v>
      </c>
      <c r="C58" t="s">
        <v>71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177</v>
      </c>
      <c r="B59" t="s">
        <v>20</v>
      </c>
      <c r="C59" t="s">
        <v>71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177</v>
      </c>
      <c r="B60" t="s">
        <v>21</v>
      </c>
      <c r="C60" t="s">
        <v>71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177</v>
      </c>
      <c r="B61" t="s">
        <v>22</v>
      </c>
      <c r="C61" t="s">
        <v>71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66</v>
      </c>
      <c r="B62" t="s">
        <v>18</v>
      </c>
      <c r="C62" t="s">
        <v>152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66</v>
      </c>
      <c r="B63" t="s">
        <v>19</v>
      </c>
      <c r="C63" t="s">
        <v>152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66</v>
      </c>
      <c r="B64" t="s">
        <v>20</v>
      </c>
      <c r="C64" t="s">
        <v>152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66</v>
      </c>
      <c r="B65" t="s">
        <v>21</v>
      </c>
      <c r="C65" t="s">
        <v>152</v>
      </c>
      <c r="D65" s="85">
        <v>5</v>
      </c>
      <c r="E65" s="121">
        <f>Clusters[[#This Row],[Effort]]*1.2</f>
        <v>6</v>
      </c>
    </row>
    <row r="66" spans="1:5" x14ac:dyDescent="0.25">
      <c r="A66" s="23" t="s">
        <v>66</v>
      </c>
      <c r="B66" t="s">
        <v>22</v>
      </c>
      <c r="C66" t="s">
        <v>152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67</v>
      </c>
      <c r="B67" t="s">
        <v>18</v>
      </c>
      <c r="C67" t="s">
        <v>71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67</v>
      </c>
      <c r="B68" t="s">
        <v>19</v>
      </c>
      <c r="C68" t="s">
        <v>71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67</v>
      </c>
      <c r="B69" t="s">
        <v>20</v>
      </c>
      <c r="C69" t="s">
        <v>71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67</v>
      </c>
      <c r="B70" t="s">
        <v>21</v>
      </c>
      <c r="C70" t="s">
        <v>71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67</v>
      </c>
      <c r="B71" t="s">
        <v>22</v>
      </c>
      <c r="C71" t="s">
        <v>71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108</v>
      </c>
      <c r="B72" t="s">
        <v>18</v>
      </c>
      <c r="C72" t="s">
        <v>71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108</v>
      </c>
      <c r="B73" t="s">
        <v>19</v>
      </c>
      <c r="C73" t="s">
        <v>71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108</v>
      </c>
      <c r="B74" t="s">
        <v>20</v>
      </c>
      <c r="C74" t="s">
        <v>71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108</v>
      </c>
      <c r="B75" t="s">
        <v>21</v>
      </c>
      <c r="C75" t="s">
        <v>71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108</v>
      </c>
      <c r="B76" t="s">
        <v>22</v>
      </c>
      <c r="C76" t="s">
        <v>71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68</v>
      </c>
      <c r="B77" t="s">
        <v>18</v>
      </c>
      <c r="C77" t="s">
        <v>71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68</v>
      </c>
      <c r="B78" t="s">
        <v>19</v>
      </c>
      <c r="C78" t="s">
        <v>71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68</v>
      </c>
      <c r="B79" t="s">
        <v>20</v>
      </c>
      <c r="C79" t="s">
        <v>71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68</v>
      </c>
      <c r="B80" t="s">
        <v>21</v>
      </c>
      <c r="C80" t="s">
        <v>71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68</v>
      </c>
      <c r="B81" t="s">
        <v>22</v>
      </c>
      <c r="C81" t="s">
        <v>71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69</v>
      </c>
      <c r="B82" t="s">
        <v>18</v>
      </c>
      <c r="C82" t="s">
        <v>71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69</v>
      </c>
      <c r="B83" t="s">
        <v>19</v>
      </c>
      <c r="C83" t="s">
        <v>71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69</v>
      </c>
      <c r="B84" t="s">
        <v>20</v>
      </c>
      <c r="C84" t="s">
        <v>71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69</v>
      </c>
      <c r="B85" t="s">
        <v>21</v>
      </c>
      <c r="C85" t="s">
        <v>71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69</v>
      </c>
      <c r="B86" t="s">
        <v>22</v>
      </c>
      <c r="C86" t="s">
        <v>71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70</v>
      </c>
      <c r="B87" t="s">
        <v>18</v>
      </c>
      <c r="C87" t="s">
        <v>153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70</v>
      </c>
      <c r="B88" t="s">
        <v>19</v>
      </c>
      <c r="C88" t="s">
        <v>153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70</v>
      </c>
      <c r="B89" t="s">
        <v>20</v>
      </c>
      <c r="C89" t="s">
        <v>153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70</v>
      </c>
      <c r="B90" t="s">
        <v>21</v>
      </c>
      <c r="C90" t="s">
        <v>153</v>
      </c>
      <c r="D90" s="85">
        <v>5</v>
      </c>
      <c r="E90" s="121">
        <f>Clusters[[#This Row],[Effort]]*1.2</f>
        <v>6</v>
      </c>
    </row>
    <row r="91" spans="1:5" x14ac:dyDescent="0.25">
      <c r="A91" s="23" t="s">
        <v>70</v>
      </c>
      <c r="B91" t="s">
        <v>22</v>
      </c>
      <c r="C91" t="s">
        <v>153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181</v>
      </c>
      <c r="B92" t="s">
        <v>18</v>
      </c>
      <c r="C92" t="s">
        <v>152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181</v>
      </c>
      <c r="B93" t="s">
        <v>19</v>
      </c>
      <c r="C93" t="s">
        <v>152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181</v>
      </c>
      <c r="B94" t="s">
        <v>20</v>
      </c>
      <c r="C94" t="s">
        <v>152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181</v>
      </c>
      <c r="B95" t="s">
        <v>21</v>
      </c>
      <c r="C95" t="s">
        <v>152</v>
      </c>
      <c r="D95" s="85">
        <v>5</v>
      </c>
      <c r="E95" s="121">
        <f>Clusters[[#This Row],[Effort]]*1.2</f>
        <v>6</v>
      </c>
    </row>
    <row r="96" spans="1:5" x14ac:dyDescent="0.25">
      <c r="A96" s="23" t="s">
        <v>181</v>
      </c>
      <c r="B96" t="s">
        <v>22</v>
      </c>
      <c r="C96" t="s">
        <v>152</v>
      </c>
      <c r="D96" s="85">
        <v>8</v>
      </c>
      <c r="E96" s="121">
        <f>Clusters[[#This Row],[Effort]]*1.2</f>
        <v>9.6</v>
      </c>
    </row>
    <row r="97" spans="1:5" x14ac:dyDescent="0.25">
      <c r="A97" t="s">
        <v>176</v>
      </c>
      <c r="B97" t="s">
        <v>18</v>
      </c>
      <c r="C97" t="s">
        <v>71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176</v>
      </c>
      <c r="B98" t="s">
        <v>19</v>
      </c>
      <c r="C98" t="s">
        <v>71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176</v>
      </c>
      <c r="B99" t="s">
        <v>20</v>
      </c>
      <c r="C99" t="s">
        <v>71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176</v>
      </c>
      <c r="B100" t="s">
        <v>21</v>
      </c>
      <c r="C100" t="s">
        <v>71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176</v>
      </c>
      <c r="B101" t="s">
        <v>22</v>
      </c>
      <c r="C101" t="s">
        <v>71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S97"/>
  <sheetViews>
    <sheetView topLeftCell="I4" workbookViewId="0">
      <selection activeCell="O1" sqref="O1"/>
    </sheetView>
  </sheetViews>
  <sheetFormatPr defaultColWidth="8.7109375" defaultRowHeight="15" x14ac:dyDescent="0.25"/>
  <cols>
    <col min="1" max="1" width="35.28515625" bestFit="1" customWidth="1"/>
    <col min="2" max="2" width="15.7109375" bestFit="1" customWidth="1"/>
    <col min="3" max="3" width="17" bestFit="1" customWidth="1"/>
    <col min="4" max="4" width="15.7109375" bestFit="1" customWidth="1"/>
    <col min="5" max="5" width="47.5703125" bestFit="1" customWidth="1"/>
    <col min="6" max="6" width="54.28515625" bestFit="1" customWidth="1"/>
    <col min="7" max="7" width="17.42578125" bestFit="1" customWidth="1"/>
    <col min="8" max="8" width="24.7109375" bestFit="1" customWidth="1"/>
    <col min="9" max="9" width="17.42578125" bestFit="1" customWidth="1"/>
    <col min="10" max="10" width="81.140625" customWidth="1"/>
    <col min="11" max="12" width="81.140625" hidden="1" customWidth="1"/>
    <col min="13" max="13" width="28.7109375" bestFit="1" customWidth="1"/>
    <col min="14" max="14" width="24.7109375" customWidth="1"/>
    <col min="15" max="15" width="17.42578125" bestFit="1" customWidth="1"/>
    <col min="16" max="16" width="81.140625" customWidth="1"/>
    <col min="17" max="18" width="81.140625" hidden="1" customWidth="1"/>
    <col min="19" max="19" width="14.28515625" hidden="1" customWidth="1"/>
    <col min="20" max="20" width="10.5703125" hidden="1" customWidth="1"/>
    <col min="21" max="21" width="14.140625" hidden="1" customWidth="1"/>
    <col min="22" max="22" width="16.140625" hidden="1" customWidth="1"/>
    <col min="23" max="23" width="14.42578125" customWidth="1"/>
    <col min="24" max="24" width="10.42578125" customWidth="1"/>
    <col min="25" max="25" width="17.140625" style="25" customWidth="1"/>
    <col min="26" max="26" width="19" customWidth="1"/>
    <col min="27" max="27" width="17.7109375" customWidth="1"/>
    <col min="28" max="28" width="12.42578125" customWidth="1"/>
    <col min="29" max="29" width="19.28515625" customWidth="1"/>
    <col min="30" max="30" width="16.140625" customWidth="1"/>
    <col min="31" max="31" width="15.85546875" customWidth="1"/>
    <col min="32" max="32" width="17.7109375" bestFit="1" customWidth="1"/>
    <col min="33" max="33" width="17.42578125" bestFit="1" customWidth="1"/>
    <col min="34" max="34" width="15.5703125" bestFit="1" customWidth="1"/>
    <col min="35" max="35" width="15.7109375" bestFit="1" customWidth="1"/>
    <col min="36" max="36" width="13" bestFit="1" customWidth="1"/>
    <col min="37" max="37" width="12.7109375" bestFit="1" customWidth="1"/>
    <col min="38" max="38" width="15.7109375" bestFit="1" customWidth="1"/>
    <col min="39" max="39" width="16.140625" bestFit="1" customWidth="1"/>
    <col min="40" max="40" width="13.28515625" bestFit="1" customWidth="1"/>
    <col min="41" max="41" width="17" bestFit="1" customWidth="1"/>
    <col min="42" max="42" width="16.42578125" bestFit="1" customWidth="1"/>
    <col min="43" max="43" width="36.140625" bestFit="1" customWidth="1"/>
    <col min="44" max="44" width="24" bestFit="1" customWidth="1"/>
    <col min="45" max="45" width="20.28515625" bestFit="1" customWidth="1"/>
    <col min="46" max="46" width="23.28515625" bestFit="1" customWidth="1"/>
    <col min="47" max="47" width="81.140625" customWidth="1"/>
    <col min="48" max="48" width="21.7109375" bestFit="1" customWidth="1"/>
    <col min="49" max="49" width="16.85546875" bestFit="1" customWidth="1"/>
    <col min="50" max="51" width="16.85546875" customWidth="1"/>
    <col min="52" max="52" width="22.140625" bestFit="1" customWidth="1"/>
    <col min="53" max="53" width="80.7109375" bestFit="1" customWidth="1"/>
    <col min="54" max="54" width="13.42578125" bestFit="1" customWidth="1"/>
    <col min="55" max="55" width="20.7109375" bestFit="1" customWidth="1"/>
    <col min="56" max="56" width="16.140625" bestFit="1" customWidth="1"/>
    <col min="57" max="57" width="22.140625" bestFit="1" customWidth="1"/>
    <col min="58" max="58" width="17.42578125" bestFit="1" customWidth="1"/>
    <col min="59" max="59" width="22.7109375" bestFit="1" customWidth="1"/>
    <col min="60" max="60" width="19.140625" bestFit="1" customWidth="1"/>
    <col min="61" max="61" width="22.140625" bestFit="1" customWidth="1"/>
    <col min="62" max="62" width="80.7109375" bestFit="1" customWidth="1"/>
    <col min="63" max="63" width="13.42578125" bestFit="1" customWidth="1"/>
    <col min="64" max="64" width="20.7109375" bestFit="1" customWidth="1"/>
    <col min="65" max="65" width="16.140625" bestFit="1" customWidth="1"/>
    <col min="66" max="66" width="22.140625" bestFit="1" customWidth="1"/>
    <col min="67" max="68" width="17.42578125" bestFit="1" customWidth="1"/>
    <col min="69" max="69" width="11.42578125" bestFit="1" customWidth="1"/>
    <col min="70" max="71" width="80.7109375" bestFit="1" customWidth="1"/>
    <col min="72" max="72" width="11.42578125" customWidth="1"/>
    <col min="73" max="73" width="15.28515625" customWidth="1"/>
    <col min="74" max="74" width="19.7109375" bestFit="1" customWidth="1"/>
    <col min="75" max="75" width="16.7109375" bestFit="1" customWidth="1"/>
    <col min="76" max="76" width="13.28515625" bestFit="1" customWidth="1"/>
    <col min="77" max="77" width="15" customWidth="1"/>
    <col min="78" max="78" width="16.28515625" customWidth="1"/>
    <col min="79" max="79" width="15.140625" customWidth="1"/>
    <col min="80" max="80" width="45.42578125" customWidth="1"/>
    <col min="81" max="81" width="52.28515625" customWidth="1"/>
    <col min="82" max="82" width="20.28515625" customWidth="1"/>
    <col min="83" max="83" width="21.7109375" customWidth="1"/>
    <col min="84" max="84" width="15.28515625" bestFit="1" customWidth="1"/>
    <col min="85" max="85" width="11.42578125" bestFit="1" customWidth="1"/>
    <col min="86" max="87" width="80.7109375" bestFit="1" customWidth="1"/>
    <col min="88" max="89" width="57.28515625" bestFit="1" customWidth="1"/>
    <col min="90" max="90" width="80.7109375" bestFit="1" customWidth="1"/>
    <col min="91" max="91" width="24.140625" bestFit="1" customWidth="1"/>
    <col min="92" max="92" width="80.7109375" bestFit="1" customWidth="1"/>
    <col min="93" max="93" width="22.7109375" bestFit="1" customWidth="1"/>
    <col min="94" max="94" width="10.7109375" bestFit="1" customWidth="1"/>
    <col min="95" max="95" width="15.7109375" bestFit="1" customWidth="1"/>
    <col min="96" max="96" width="10.140625" bestFit="1" customWidth="1"/>
    <col min="97" max="97" width="22.7109375" bestFit="1" customWidth="1"/>
    <col min="98" max="98" width="14.7109375" bestFit="1" customWidth="1"/>
  </cols>
  <sheetData>
    <row r="1" spans="1:45" x14ac:dyDescent="0.25">
      <c r="A1" s="6" t="s">
        <v>0</v>
      </c>
      <c r="B1" t="s">
        <v>11</v>
      </c>
      <c r="C1" t="s">
        <v>12</v>
      </c>
      <c r="D1" t="s">
        <v>13</v>
      </c>
      <c r="E1" t="s">
        <v>160</v>
      </c>
      <c r="F1" t="s">
        <v>14</v>
      </c>
      <c r="G1" t="s">
        <v>161</v>
      </c>
      <c r="H1" t="s">
        <v>162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171</v>
      </c>
      <c r="P1" t="s">
        <v>172</v>
      </c>
      <c r="Q1" t="s">
        <v>173</v>
      </c>
      <c r="R1" t="s">
        <v>174</v>
      </c>
      <c r="S1" s="6" t="s">
        <v>159</v>
      </c>
      <c r="T1" s="6" t="s">
        <v>163</v>
      </c>
      <c r="U1" s="6" t="s">
        <v>170</v>
      </c>
      <c r="V1" s="6" t="s">
        <v>61</v>
      </c>
      <c r="W1" s="6" t="s">
        <v>62</v>
      </c>
      <c r="X1" s="6" t="s">
        <v>63</v>
      </c>
      <c r="Y1" s="6" t="s">
        <v>73</v>
      </c>
      <c r="Z1" s="6" t="s">
        <v>78</v>
      </c>
      <c r="AA1" s="6" t="s">
        <v>175</v>
      </c>
      <c r="AB1" s="6" t="s">
        <v>79</v>
      </c>
      <c r="AC1" s="6" t="s">
        <v>105</v>
      </c>
      <c r="AD1" s="6" t="s">
        <v>114</v>
      </c>
      <c r="AE1" s="6" t="s">
        <v>116</v>
      </c>
      <c r="AF1" s="6" t="s">
        <v>112</v>
      </c>
      <c r="AG1" s="6" t="s">
        <v>113</v>
      </c>
      <c r="AH1" s="6" t="s">
        <v>118</v>
      </c>
      <c r="AI1" s="6" t="s">
        <v>119</v>
      </c>
      <c r="AJ1" t="s">
        <v>72</v>
      </c>
      <c r="AK1" t="s">
        <v>115</v>
      </c>
      <c r="AL1" t="s">
        <v>133</v>
      </c>
      <c r="AM1" t="s">
        <v>134</v>
      </c>
      <c r="AN1" t="s">
        <v>28</v>
      </c>
      <c r="AO1" t="s">
        <v>27</v>
      </c>
      <c r="AP1" t="s">
        <v>29</v>
      </c>
      <c r="AQ1" t="s">
        <v>26</v>
      </c>
      <c r="AR1" t="s">
        <v>36</v>
      </c>
      <c r="AS1" t="s">
        <v>37</v>
      </c>
    </row>
    <row r="2" spans="1:45" x14ac:dyDescent="0.25">
      <c r="Y2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</row>
    <row r="3" spans="1:45" x14ac:dyDescent="0.25">
      <c r="Y3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</row>
    <row r="4" spans="1:45" x14ac:dyDescent="0.25">
      <c r="Y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45" x14ac:dyDescent="0.25">
      <c r="Y5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</row>
    <row r="6" spans="1:45" x14ac:dyDescent="0.25">
      <c r="Y6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</row>
    <row r="7" spans="1:45" x14ac:dyDescent="0.25">
      <c r="Y7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</row>
    <row r="8" spans="1:45" x14ac:dyDescent="0.25">
      <c r="Y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</row>
    <row r="9" spans="1:45" x14ac:dyDescent="0.25">
      <c r="Y9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</row>
    <row r="10" spans="1:45" x14ac:dyDescent="0.25">
      <c r="Y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</row>
    <row r="11" spans="1:45" x14ac:dyDescent="0.25">
      <c r="Y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</row>
    <row r="12" spans="1:45" x14ac:dyDescent="0.25">
      <c r="Y1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</row>
    <row r="13" spans="1:45" x14ac:dyDescent="0.25">
      <c r="Y13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</row>
    <row r="14" spans="1:45" x14ac:dyDescent="0.25">
      <c r="Y1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</row>
    <row r="15" spans="1:45" x14ac:dyDescent="0.25">
      <c r="Y15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</row>
    <row r="16" spans="1:45" x14ac:dyDescent="0.25">
      <c r="Y1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</row>
    <row r="17" spans="25:45" x14ac:dyDescent="0.25">
      <c r="Y1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</row>
    <row r="18" spans="25:45" x14ac:dyDescent="0.25">
      <c r="Y1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25:45" x14ac:dyDescent="0.25">
      <c r="Y19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25:45" x14ac:dyDescent="0.25">
      <c r="Y2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25:45" x14ac:dyDescent="0.25">
      <c r="Y2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25:45" x14ac:dyDescent="0.25">
      <c r="Y2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</row>
    <row r="23" spans="25:45" x14ac:dyDescent="0.25">
      <c r="Y23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</row>
    <row r="24" spans="25:45" x14ac:dyDescent="0.25">
      <c r="Y2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</row>
    <row r="25" spans="25:45" x14ac:dyDescent="0.25">
      <c r="Y25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25:45" x14ac:dyDescent="0.25">
      <c r="Y2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25:45" x14ac:dyDescent="0.25">
      <c r="Y2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</row>
    <row r="28" spans="25:45" x14ac:dyDescent="0.25">
      <c r="Y2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</row>
    <row r="29" spans="25:45" x14ac:dyDescent="0.25">
      <c r="Y29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</row>
    <row r="30" spans="25:45" x14ac:dyDescent="0.25">
      <c r="Y3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</row>
    <row r="31" spans="25:45" x14ac:dyDescent="0.25">
      <c r="Y3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</row>
    <row r="32" spans="25:45" x14ac:dyDescent="0.25">
      <c r="Y3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</row>
    <row r="33" spans="25:45" x14ac:dyDescent="0.25">
      <c r="Y33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</row>
    <row r="34" spans="25:45" x14ac:dyDescent="0.25">
      <c r="Y3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</row>
    <row r="35" spans="25:45" x14ac:dyDescent="0.25">
      <c r="Y35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</row>
    <row r="36" spans="25:45" x14ac:dyDescent="0.25">
      <c r="Y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</row>
    <row r="37" spans="25:45" x14ac:dyDescent="0.25">
      <c r="Y3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</row>
    <row r="38" spans="25:45" x14ac:dyDescent="0.25">
      <c r="Y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</row>
    <row r="39" spans="25:45" x14ac:dyDescent="0.25">
      <c r="Y3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</row>
    <row r="40" spans="25:45" x14ac:dyDescent="0.25">
      <c r="Y4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</row>
    <row r="41" spans="25:45" x14ac:dyDescent="0.25">
      <c r="Y4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</row>
    <row r="42" spans="25:45" x14ac:dyDescent="0.25">
      <c r="Y4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</row>
    <row r="43" spans="25:45" x14ac:dyDescent="0.25">
      <c r="Y43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</row>
    <row r="44" spans="25:45" x14ac:dyDescent="0.25">
      <c r="Y4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</row>
    <row r="45" spans="25:45" x14ac:dyDescent="0.25">
      <c r="Y4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</row>
    <row r="46" spans="25:45" x14ac:dyDescent="0.25">
      <c r="Y4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</row>
    <row r="47" spans="25:45" x14ac:dyDescent="0.25">
      <c r="Y47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</row>
    <row r="48" spans="25:45" x14ac:dyDescent="0.25">
      <c r="Y48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</row>
    <row r="49" spans="25:45" x14ac:dyDescent="0.25">
      <c r="Y49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</row>
    <row r="50" spans="25:45" x14ac:dyDescent="0.25">
      <c r="Y5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</row>
    <row r="51" spans="25:45" x14ac:dyDescent="0.25">
      <c r="Y51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</row>
    <row r="52" spans="25:45" x14ac:dyDescent="0.25">
      <c r="Y52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</row>
    <row r="53" spans="25:45" x14ac:dyDescent="0.25">
      <c r="Y53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</row>
    <row r="54" spans="25:45" x14ac:dyDescent="0.25">
      <c r="Y5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</row>
    <row r="55" spans="25:45" x14ac:dyDescent="0.25">
      <c r="Y55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</row>
    <row r="56" spans="25:45" x14ac:dyDescent="0.25">
      <c r="Y5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</row>
    <row r="57" spans="25:45" x14ac:dyDescent="0.25">
      <c r="Y57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</row>
    <row r="58" spans="25:45" x14ac:dyDescent="0.25">
      <c r="Y58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</row>
    <row r="59" spans="25:45" x14ac:dyDescent="0.25">
      <c r="Y59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</row>
    <row r="60" spans="25:45" x14ac:dyDescent="0.25">
      <c r="Y6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</row>
    <row r="61" spans="25:45" x14ac:dyDescent="0.25">
      <c r="Y61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</row>
    <row r="62" spans="25:45" x14ac:dyDescent="0.25">
      <c r="Y62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</row>
    <row r="63" spans="25:45" x14ac:dyDescent="0.25">
      <c r="Y63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</row>
    <row r="64" spans="25:45" x14ac:dyDescent="0.25">
      <c r="Y6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</row>
    <row r="65" spans="25:45" x14ac:dyDescent="0.25">
      <c r="Y65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</row>
    <row r="66" spans="25:45" x14ac:dyDescent="0.25">
      <c r="Y66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</row>
    <row r="67" spans="25:45" x14ac:dyDescent="0.25">
      <c r="Y67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</row>
    <row r="68" spans="25:45" x14ac:dyDescent="0.25">
      <c r="Y68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</row>
    <row r="69" spans="25:45" x14ac:dyDescent="0.25">
      <c r="Y69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</row>
    <row r="70" spans="25:45" x14ac:dyDescent="0.25">
      <c r="Y7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</row>
    <row r="71" spans="25:45" x14ac:dyDescent="0.25">
      <c r="Y71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</row>
    <row r="72" spans="25:45" x14ac:dyDescent="0.25">
      <c r="Y72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</row>
    <row r="73" spans="25:45" x14ac:dyDescent="0.25">
      <c r="Y73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</row>
    <row r="74" spans="25:45" x14ac:dyDescent="0.25">
      <c r="Y7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</row>
    <row r="75" spans="25:45" x14ac:dyDescent="0.25">
      <c r="Y75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</row>
    <row r="76" spans="25:45" x14ac:dyDescent="0.25">
      <c r="Y7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</row>
    <row r="77" spans="25:45" x14ac:dyDescent="0.25">
      <c r="Y77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</row>
    <row r="78" spans="25:45" x14ac:dyDescent="0.25">
      <c r="Y78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</row>
    <row r="79" spans="25:45" x14ac:dyDescent="0.25">
      <c r="Y79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</row>
    <row r="80" spans="25:45" x14ac:dyDescent="0.25">
      <c r="Y8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</row>
    <row r="81" spans="25:45" x14ac:dyDescent="0.25">
      <c r="Y81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</row>
    <row r="82" spans="25:45" x14ac:dyDescent="0.25">
      <c r="Y82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</row>
    <row r="83" spans="25:45" x14ac:dyDescent="0.25">
      <c r="Y83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</row>
    <row r="84" spans="25:45" x14ac:dyDescent="0.25">
      <c r="Y8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</row>
    <row r="85" spans="25:45" x14ac:dyDescent="0.25">
      <c r="Y85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</row>
    <row r="86" spans="25:45" x14ac:dyDescent="0.25">
      <c r="Y8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</row>
    <row r="87" spans="25:45" x14ac:dyDescent="0.25">
      <c r="Y87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</row>
    <row r="88" spans="25:45" x14ac:dyDescent="0.25">
      <c r="Y88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</row>
    <row r="89" spans="25:45" x14ac:dyDescent="0.25">
      <c r="Y89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25:45" x14ac:dyDescent="0.25">
      <c r="Y9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</row>
    <row r="91" spans="25:45" x14ac:dyDescent="0.25">
      <c r="Y91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</row>
    <row r="92" spans="25:45" x14ac:dyDescent="0.25">
      <c r="Y92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</row>
    <row r="93" spans="25:45" x14ac:dyDescent="0.25">
      <c r="Y93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</row>
    <row r="94" spans="25:45" x14ac:dyDescent="0.25">
      <c r="Y9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</row>
    <row r="95" spans="25:45" x14ac:dyDescent="0.25">
      <c r="Y95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</row>
    <row r="96" spans="25:45" x14ac:dyDescent="0.25">
      <c r="Y9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</row>
    <row r="97" spans="25:45" x14ac:dyDescent="0.25">
      <c r="Y97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90</v>
      </c>
      <c r="B1" s="79" t="s">
        <v>82</v>
      </c>
      <c r="C1" s="79" t="s">
        <v>83</v>
      </c>
      <c r="D1" s="79" t="s">
        <v>89</v>
      </c>
      <c r="E1" s="79" t="s">
        <v>91</v>
      </c>
      <c r="F1" s="79" t="s">
        <v>15</v>
      </c>
      <c r="G1" s="79" t="s">
        <v>48</v>
      </c>
      <c r="H1" s="79" t="s">
        <v>80</v>
      </c>
      <c r="I1" s="79" t="s">
        <v>17</v>
      </c>
      <c r="J1" s="79" t="s">
        <v>140</v>
      </c>
      <c r="K1" s="80" t="s">
        <v>143</v>
      </c>
      <c r="L1" s="79" t="s">
        <v>84</v>
      </c>
      <c r="M1" s="81" t="s">
        <v>86</v>
      </c>
      <c r="N1" s="82" t="s">
        <v>81</v>
      </c>
      <c r="O1" s="89" t="s">
        <v>97</v>
      </c>
      <c r="P1" s="83" t="s">
        <v>147</v>
      </c>
      <c r="Q1" s="67" t="s">
        <v>148</v>
      </c>
      <c r="R1" s="67" t="s">
        <v>149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1"/>
  </sheetPr>
  <dimension ref="A1:V1"/>
  <sheetViews>
    <sheetView workbookViewId="0">
      <selection activeCell="C17" sqref="C17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137</v>
      </c>
      <c r="B1" s="26" t="s">
        <v>41</v>
      </c>
      <c r="C1" s="26" t="s">
        <v>138</v>
      </c>
      <c r="D1" s="26" t="s">
        <v>139</v>
      </c>
      <c r="E1" s="26" t="s">
        <v>94</v>
      </c>
      <c r="F1" s="26" t="s">
        <v>80</v>
      </c>
      <c r="G1" s="26" t="s">
        <v>17</v>
      </c>
      <c r="H1" s="26" t="s">
        <v>107</v>
      </c>
      <c r="I1" s="26" t="s">
        <v>48</v>
      </c>
      <c r="J1" s="26" t="s">
        <v>95</v>
      </c>
      <c r="K1" s="26" t="s">
        <v>56</v>
      </c>
      <c r="L1" s="26" t="s">
        <v>142</v>
      </c>
      <c r="M1" s="26" t="s">
        <v>77</v>
      </c>
      <c r="N1" s="26" t="s">
        <v>141</v>
      </c>
      <c r="O1" s="26" t="s">
        <v>96</v>
      </c>
      <c r="P1" s="26" t="s">
        <v>87</v>
      </c>
      <c r="Q1" s="27" t="s">
        <v>97</v>
      </c>
      <c r="R1" s="27" t="s">
        <v>144</v>
      </c>
      <c r="S1" s="27" t="s">
        <v>98</v>
      </c>
      <c r="T1" s="27" t="s">
        <v>99</v>
      </c>
      <c r="U1" s="27" t="s">
        <v>100</v>
      </c>
      <c r="V1" s="27" t="s">
        <v>146</v>
      </c>
    </row>
  </sheetData>
  <sortState ref="A2:V90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Progress by Demand</vt:lpstr>
      <vt:lpstr>Demands by Status</vt:lpstr>
      <vt:lpstr>Timeline</vt:lpstr>
      <vt:lpstr>Gantt</vt:lpstr>
      <vt:lpstr>Role Mapping &amp; Issue Type</vt:lpstr>
      <vt:lpstr>T-shirt Size</vt:lpstr>
      <vt:lpstr>From Jira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Administrador</cp:lastModifiedBy>
  <dcterms:created xsi:type="dcterms:W3CDTF">2016-10-03T16:19:42Z</dcterms:created>
  <dcterms:modified xsi:type="dcterms:W3CDTF">2017-08-23T20:24:04Z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