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bookViews>
    <workbookView xWindow="0" yWindow="0" windowWidth="15240" windowHeight="8340"/>
  </bookViews>
  <sheets>
    <sheet name="Progress by Demand" sheetId="8" r:id="rId1"/>
    <sheet name="Demands by Status" sheetId="20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GanttBase" sheetId="17" r:id="rId8"/>
    <sheet name="Activities" sheetId="16" r:id="rId9"/>
  </sheets>
  <functionGroups builtInGroupCount="18"/>
  <definedNames>
    <definedName name="_">'T-shirt Size'!$H$3</definedName>
    <definedName name="_xlnm._FilterDatabase" localSheetId="8" hidden="1">Activities!$A$1:$U$1</definedName>
    <definedName name="_xlnm._FilterDatabase" localSheetId="7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0" r:id="rId10"/>
    <pivotCache cacheId="41" r:id="rId11"/>
    <pivotCache cacheId="61" r:id="rId12"/>
    <pivotCache cacheId="77" r:id="rId1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G2" i="13"/>
  <c r="G5" i="13"/>
  <c r="G7" i="13"/>
  <c r="G9" i="13"/>
  <c r="G3" i="13"/>
  <c r="G4" i="13"/>
  <c r="G6" i="13"/>
  <c r="G8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E10" i="11"/>
  <c r="F10" i="11"/>
  <c r="G10" i="11"/>
  <c r="D10" i="11"/>
  <c r="H10" i="11"/>
  <c r="I10" i="11"/>
  <c r="E11" i="11"/>
  <c r="F11" i="11"/>
  <c r="G11" i="11"/>
  <c r="D11" i="11"/>
  <c r="H11" i="11"/>
  <c r="I11" i="11"/>
  <c r="I12" i="11"/>
  <c r="I13" i="11"/>
  <c r="I14" i="11"/>
  <c r="I15" i="11"/>
  <c r="I16" i="11"/>
  <c r="O2" i="8"/>
  <c r="H16" i="13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F12" i="13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2" i="11"/>
  <c r="H12" i="11"/>
  <c r="D13" i="11"/>
  <c r="H13" i="11"/>
  <c r="D14" i="11"/>
  <c r="H14" i="11"/>
  <c r="D15" i="11"/>
  <c r="H15" i="11"/>
  <c r="O2" i="11"/>
  <c r="B3" i="11"/>
  <c r="F16" i="11"/>
  <c r="B16" i="11"/>
  <c r="D16" i="11"/>
  <c r="B5" i="11"/>
  <c r="H16" i="11"/>
  <c r="B4" i="11"/>
  <c r="G34" i="13"/>
  <c r="J10" i="3"/>
  <c r="J8" i="3"/>
  <c r="B34" i="13"/>
  <c r="H34" i="13"/>
  <c r="F6" i="13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F5" i="13"/>
  <c r="F20" i="13"/>
  <c r="F4" i="13"/>
  <c r="F3" i="13"/>
  <c r="F7" i="13"/>
  <c r="F8" i="13"/>
  <c r="F10" i="13"/>
  <c r="F11" i="13"/>
  <c r="F13" i="13"/>
  <c r="F14" i="13"/>
  <c r="F17" i="13"/>
  <c r="F33" i="13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<sst xmlns="http://schemas.openxmlformats.org/spreadsheetml/2006/main" count="676" uniqueCount="192">
  <si>
    <t>project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</si>
  <si>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</si>
  <si>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</si>
  <si>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</si>
  <si>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</si>
  <si>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</si>
  <si>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</si>
  <si>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</si>
  <si>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Tech Planning</t>
  </si>
  <si>
    <t>Backend Development</t>
  </si>
  <si>
    <t>Done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</si>
  <si>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</si>
  <si>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</si>
  <si>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</si>
  <si>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</si>
  <si>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</si>
  <si>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</si>
  <si>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</si>
  <si>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</si>
  <si>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</si>
  <si>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</si>
  <si>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</si>
  <si>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</si>
  <si>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</si>
  <si>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</si>
  <si>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Demands</t>
  </si>
  <si>
    <t>SubtaskEstimativeForEEPCalculation</t>
  </si>
  <si>
    <t>CountDemands</t>
  </si>
  <si>
    <t>CountTasks</t>
  </si>
  <si>
    <t>CountSubtasks</t>
  </si>
  <si>
    <t>Quantity</t>
  </si>
  <si>
    <t>Progress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</si>
  <si>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</si>
  <si>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</si>
  <si>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</si>
  <si>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</si>
  <si>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</si>
  <si>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</si>
  <si>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</si>
  <si>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</si>
  <si>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</si>
  <si>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</si>
  <si>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</si>
  <si>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</si>
  <si>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</si>
  <si>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</si>
  <si>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</si>
  <si>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</si>
  <si>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</si>
  <si>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</si>
  <si>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</si>
  <si>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</si>
  <si>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</si>
  <si>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</si>
  <si>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</si>
  <si>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</si>
  <si>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</si>
  <si>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</si>
  <si>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</si>
  <si>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</si>
  <si>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</si>
  <si>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</si>
  <si>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</si>
  <si>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</si>
  <si>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</si>
  <si>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</si>
  <si>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</si>
  <si>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</si>
  <si>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</si>
  <si>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</si>
  <si>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</si>
  <si>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</si>
  <si>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</si>
  <si>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</si>
  <si>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</si>
  <si>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</si>
  <si>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</si>
  <si>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</si>
  <si>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</si>
  <si>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</si>
  <si>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</si>
  <si>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</si>
  <si>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</si>
  <si>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</si>
  <si>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</si>
  <si>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</si>
  <si>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</si>
  <si>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</si>
  <si>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</si>
  <si>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</si>
  <si>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</si>
  <si>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</si>
  <si>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</si>
  <si>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</si>
  <si>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</si>
  <si>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</si>
  <si>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</si>
  <si>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</si>
  <si>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</si>
  <si>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</si>
  <si>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</si>
  <si>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</si>
  <si>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</si>
  <si>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</si>
  <si>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</si>
  <si>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Query_Type</t>
  </si>
  <si>
    <t>BALLPARK - QA/UAT Support</t>
  </si>
  <si>
    <t>Cycle</t>
  </si>
  <si>
    <t>BALLPARK - Tech Planning</t>
  </si>
  <si>
    <t>BALLPARK - Feature Planning</t>
  </si>
  <si>
    <t>Group %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</si>
  <si>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</si>
  <si>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</si>
  <si>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</si>
  <si>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</si>
  <si>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</si>
  <si>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</si>
  <si>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</si>
  <si>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</si>
  <si>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</si>
  <si>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</si>
  <si>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</si>
  <si>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</si>
  <si>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</si>
  <si>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</si>
  <si>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</si>
  <si>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</si>
  <si>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</si>
  <si>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</si>
  <si>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</si>
  <si>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</si>
  <si>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</si>
  <si>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</si>
  <si>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</si>
  <si>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</si>
  <si>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</si>
  <si>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</si>
  <si>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</si>
  <si>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</si>
  <si>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</si>
  <si>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</si>
  <si>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</si>
  <si>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</si>
  <si>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</si>
  <si>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</si>
  <si>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</si>
  <si>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</si>
  <si>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</si>
  <si>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</si>
  <si>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</si>
  <si>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</si>
  <si>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Tech Lead</t>
  </si>
  <si>
    <t>% Of (Dev + Alpha)</t>
  </si>
  <si>
    <t>% Of Dev</t>
  </si>
  <si>
    <t>Tech Lead1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</si>
  <si>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</si>
  <si>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</si>
  <si>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</si>
  <si>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</si>
  <si>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</si>
  <si>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</si>
  <si>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</si>
  <si>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</si>
  <si>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</si>
  <si>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</si>
  <si>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</si>
  <si>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</si>
  <si>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</si>
  <si>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</si>
  <si>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</si>
  <si>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</si>
  <si>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</si>
  <si>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</si>
  <si>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</si>
  <si>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</si>
  <si>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</si>
  <si>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BALLPARK - Subtask</t>
  </si>
  <si>
    <t>BALLPARK - Planning</t>
  </si>
  <si>
    <t>Row Labels</t>
  </si>
  <si>
    <t>PROJECT - Suez</t>
  </si>
  <si>
    <t>Sprint 1</t>
  </si>
  <si>
    <t>Sprint 2</t>
  </si>
  <si>
    <t>BALLPARK - QA Support</t>
  </si>
  <si>
    <t>BALLPARK</t>
  </si>
  <si>
    <t>Tech Lead2</t>
  </si>
  <si>
    <t>Project Deadline</t>
  </si>
  <si>
    <t>Rótulos de Linha</t>
  </si>
  <si>
    <t>(vazio)</t>
  </si>
  <si>
    <t>Total Geral</t>
  </si>
  <si>
    <t>(Tudo)</t>
  </si>
  <si>
    <t>Rótulos de Coluna</t>
  </si>
  <si>
    <t>Contagem de SUBTASK_FULL_DESCRIPTION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</si>
</sst>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9" tint="0.59999389629810485"/>
        <bgColor theme="8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70" fontId="11" fillId="3" borderId="16" xfId="0" applyNumberFormat="1" applyFont="1" applyFill="1" applyBorder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67"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  <fill>
        <patternFill>
          <fgColor indexed="64"/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</font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6"/>
      <tableStyleElement type="headerRow" dxfId="1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33.693175925924" createdVersion="6" refreshedVersion="6" minRefreshableVersion="3" recordCount="32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Administrador" refreshedDate="42957.796060532404" createdVersion="6" refreshedVersion="6" minRefreshableVersion="3" recordCount="10000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3">
        <m/>
        <s v="00004 - Google LMS Integration" u="1"/>
        <s v=" 00003 - OpenID Connect SSO Support " u="1"/>
        <s v=" 00015 - JIRA Customizations/Automations" u="1"/>
        <s v=" 00016 - Media Center" u="1"/>
        <s v=" 00054 - Our Story" u="1"/>
        <s v=" 00142 - Ethics and compliance page" u="1"/>
        <s v=" 00139 - Global sites" u="1"/>
        <s v=" 00443 - Buyer views Customer and User Profiles" u="1"/>
        <s v=" 00002 - User Activity Tracking" u="1"/>
        <s v="00001 - Azure Base" u="1"/>
        <s v=" 01570 - Enhancement - Buyer Reports" u="1"/>
        <s v=" 00004 - Google LMS Integration" u="1"/>
        <s v="00069 - UI &amp; Theme" u="1"/>
        <s v=" 00539 - Buyer - Inventory Management" u="1"/>
        <s v="00002 - User Activity Tracking" u="1"/>
        <s v=" | 00002 - User Activity Tracking" u="1"/>
        <s v=" 00444 - CSR - Customer and User Profile" u="1"/>
        <s v="00005 - System Architecture" u="1"/>
        <s v="00003 - OpenID Connect SSO Support " u="1"/>
        <s v=" 00523 - CSR - Portal Foundations" u="1"/>
        <s v=" 00533 - Bemis CP Theme" u="1"/>
        <s v=" 00008 - Homepage" u="1"/>
        <s v=" | 00004 - Google LMS Integration" u="1"/>
        <s v=" | 00005 - System Architecture" u="1"/>
        <s v=" 00016 - Stories" u="1"/>
        <s v=" | 00001 - Enhanced Group Functionality (Site)" u="1"/>
        <s v=" 00056 - Sustainability" u="1"/>
        <s v=" 01439 - Enhanced Portal Foundation Settings" u="1"/>
        <s v=" 00006 - Theme" u="1"/>
        <s v=" 00055 - Products + Service" u="1"/>
        <s v="00004 - Define strategy around docker and Azure" u="1"/>
        <s v=" 00501 - IBB Integration" u="1"/>
        <s v=" 00531 - System Architecture" u="1"/>
        <s v="00026 - Install on Production" u="1"/>
        <s v=" 01437 - Enhancement - Buyer Shipment Management" u="1"/>
        <s v=" 01429 - Enhancement - Buyer Order Management" u="1"/>
        <s v=" 00017 - Investor Center" u="1"/>
        <s v=" 00065 - Roles Configuration" u="1"/>
        <s v=" 00001 - Objective Taskboard" u="1"/>
        <s v=" 00005 - System Architecture" u="1"/>
        <s v="00001 - Enhanced Group Functionality (Site)" u="1"/>
        <s v="00013 - Azure Cluster" u="1"/>
        <s v=" 00420 - Buyer - Shipment Management" u="1"/>
        <s v=" 00001 - Enhanced Group Functionality (Site)" u="1"/>
        <s v="00024 - Lfieray Governance" u="1"/>
        <s v=" 00519 - Buyer - Portal Foundations" u="1"/>
        <s v=" 00510 - Buyer - Release Management" u="1"/>
        <s v=" 00065 - Permissions" u="1"/>
        <s v=" 01438 - Enhancement - Buyer Inventory Management " u="1"/>
        <s v=" 00032 - Content Workflow" u="1"/>
        <s v=" 00540 - Buyer - Dashboard" u="1"/>
        <s v=" 00366 - Buyer - Order Management" u="1"/>
        <s v=" | 00003 - OpenID Connect SSO Support " u="1"/>
        <s v=" 01657 - Enhancement - Buyer Portal Foundations" u="1"/>
        <s v="00016 - Web Sermubeniel" u="1"/>
        <s v=" 00055 - Products" u="1"/>
        <s v=" 00151 - Management Team" u="1"/>
        <s v=" 00017 - Investors" u="1"/>
        <s v=" 00538 - Buyer - Reports" u="1"/>
        <s v=" | 00069 - UI &amp; Theme" u="1"/>
        <s v=" 00054 - About Us" u="1"/>
        <s v=" 00149 - Company profile page" u="1"/>
      </sharedItems>
    </cacheField>
    <cacheField name="Feature Name" numFmtId="0">
      <sharedItems containsNonDate="0" containsBlank="1" count="418">
        <m/>
        <s v="Bug |  01307 - BIT-90 Report Landing Page- Open Order Status Report- remove parameters from selection screen" u="1"/>
        <s v="Feature | 00014 - Capture user info" u="1"/>
        <s v="Task |  00905 - Add History and Start dates to a number of Fields" u="1"/>
        <s v="Task |  00266 - Create data sync process to bulk upload data from IBB" u="1"/>
        <s v="Feature |  00146 - Two Factor Authentication" u="1"/>
        <s v="Bug |  02880 - User navigates to blank portal page  " u="1"/>
        <s v="Feature |  01661 - Update default settings for locations filter" u="1"/>
        <s v="Bug |  02964 - 487 (BDT) - Issues with ship to filter" u="1"/>
        <s v="Feature |  02864 - CR45 - Shipment Deletes" u="1"/>
        <s v="Feature |  00166 - Add behaviour to Homepage links" u="1"/>
        <s v="Bug |  02959 - BDT 483- Forgot Password error message" u="1"/>
        <s v="Feature |  00033 - Content Workflow" u="1"/>
        <s v="Bug |  01256 - BOL and INVOICE Hyperlink fails to load PDF" u="1"/>
        <s v="Bug |  02962 - Pinnacle Foods Bemis Order# 40009316 Shipment Missing (BDT 486)" u="1"/>
        <s v="Feature |  00144 - Our story page without timeline section" u="1"/>
        <s v="Bug |  01451 - BIT-159 CSR- editing buyer profile" u="1"/>
        <s v="Bug |  00128 - Adjust homepage layout in different screen resolutions" u="1"/>
        <s v="Bug |  01316 - All Reports- Default Column Fields " u="1"/>
        <s v="Task |  00020 - Create Google Local Environment" u="1"/>
        <s v="Feature |  00537 - Link from Portal Logo" u="1"/>
        <s v="Bug |  01290 - Pinnacle Foods/Ethicon Inc SAP Orders missing in Orders Page" u="1"/>
        <s v="Bug |  01198 - Customer Address does not display on Customer Profile" u="1"/>
        <s v="Feature |  00230 - Products Overview" u="1"/>
        <s v="Bug |  01257 - Missing Address should be empty" u="1"/>
        <s v="Bug |  01418 - Release PO and Customer PO are wrapping on the same line" u="1"/>
        <s v="Feature |  01575 - User friendly error messaging for CSR and Buyers" u="1"/>
        <s v="Feature |  | 00007 - Add expiration date" u="1"/>
        <s v="Feature | 00006 - Add version" u="1"/>
        <s v="Feature | 00006 - Create docker image for Elasticsearch" u="1"/>
        <s v="Feature |  00018 - Create Google CI" u="1"/>
        <s v="Feature |  00513 - Release Search" u="1"/>
        <s v="Bug |  01423 - BIT-46 Cards on Page incorrect" u="1"/>
        <s v="Feature |  01861 - Remove Buyer access to edit display settings" u="1"/>
        <s v="Task |  01775 - Theme Dependency needs to be updated due to core changes" u="1"/>
        <s v="Bug |  00905 - Update On Hand Inv data fields to allow for decimals " u="1"/>
        <s v="Task |  01102 - Export to SIMPS enhancements required" u="1"/>
        <s v="Bug |  01270 - Column picks disappear in report form" u="1"/>
        <s v="Bug |  01307 - Report Landing Page- Open Order Status Report- remove parameters from selection screen" u="1"/>
        <s v="Bug |  01311 - BIT-94 All Reports from Reports Landing Page- Optional column formatting" u="1"/>
        <s v="Bug |  01139 - Padding issues with left nav menu" u="1"/>
        <s v="Feature |  00167 - Add behaviour to concrete incubator link" u="1"/>
        <s v="Ballpark - Demand |  00000 - Dummy Feature of Permissions" u="1"/>
        <s v="Feature |  00143 - Ethics and compliance page" u="1"/>
        <s v="Bug |  02935 - Documents page- title running off of screen box" u="1"/>
        <s v="Task |  00220 - Research: Error when creating a WebContent with nested WebContent" u="1"/>
        <s v="Task |  00593 - Change country menu cut off vertically" u="1"/>
        <s v="Feature |  00723 - Add content for Portal dashboard landing page" u="1"/>
        <s v="Feature |  01440 - Update search criteria on Orders Landing Pag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Bug |  00115 - Ajustments in full stories layout" u="1"/>
        <s v="Feature |  02957 - 482 BDT - Optimizing report performance to 4 sec" u="1"/>
        <s v="Bug |  01324 - BIT-134 Hide Edit options that Buyers do not have access to " u="1"/>
        <s v="Feature |  01127 - Create Page for CSRs to View Customer Locations " u="1"/>
        <s v="Feature |  | 00033 - REST service for Enhanced Groups" u="1"/>
        <s v="Feature |  00033 - REST service for Enhanced Groups" u="1"/>
        <s v="Feature | 00018 - Install theme and layouts" u="1"/>
        <s v="Feature |  00016 - Capture learning events" u="1"/>
        <s v="Feature |  00326 - Search &amp; browse - customer &amp; user profiles - Sales restricted view" u="1"/>
        <s v="Ballpark - Demand |  00000 - Dummy Feature of Our Story" u="1"/>
        <s v="Feature |  00446 - CSR View of Customer Profile" u="1"/>
        <s v="Feature |  00254 - View/Edit my User Profile" u="1"/>
        <s v="Bug |  01534 - Customer Data Sync is checking wrong address for validity" u="1"/>
        <s v="Feature |  00535 - User Profile Dropdown" u="1"/>
        <s v="Bug |  01296 - Improve data sync logging to capture invalid data" u="1"/>
        <s v="Task |  01019 - Update page What We Do" u="1"/>
        <s v="Feature |  00512 - Release expanded view" u="1"/>
        <s v="Bug |  00906 - Update Scheduled Releases data fields to allow for decimals " u="1"/>
        <s v="Feature |  00370 - Order updates from IBB" u="1"/>
        <s v="Feature |  01475 - Update default Sort Order and Add Sort Functioanlity on Orders Landing Page " u="1"/>
        <s v="Feature |  00233 - Investors - Contact Us" u="1"/>
        <s v="Bug |  00903 - Update Releases data fields to allow for decimals " u="1"/>
        <s v="Task |  00584 - Make the user Jose Alberto as a site admin" u="1"/>
        <s v="Bug |  01272 - Fix sort order column names" u="1"/>
        <s v="Feature |  00088 - Customer Org Hierarchy" u="1"/>
        <s v="Feature |  00010 - Modern tile with &quot;MORE&quot; animation" u="1"/>
        <s v="Feature |  | 00016 - Capture learning events" u="1"/>
        <s v="Feature | 00021 - Adjust styles of basic Liferay DXP components" u="1"/>
        <s v="Bug |  01292 - The 'Bemis QA Portal Data' spreadsheet shows inventory data but the sales order is not on the orders tab" u="1"/>
        <s v="Bug |  00832 - Interface between SIMPS and IPS - issues that have been identified" u="1"/>
        <s v="Bug |  00585 - Page Fix for Careers page" u="1"/>
        <s v="Bug |  01068 - Do not display Schedule Lines when confirmedQty = 0 on Orders Landing  Page" u="1"/>
        <s v="Task |  00525 - As a privileged user, I can add image (urls) to a Ministry" u="1"/>
        <s v="Bug |  00634 - Orders -  Bemis Order # (line No) should be moved below Bemis ProductID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1396 - Allow Buyers to update display settings " u="1"/>
        <s v="Bug |  01297 - Data Issue on Bemis QA Environment" u="1"/>
        <s v="Feature |  00208 - Press Releases Page" u="1"/>
        <s v="Task |  | 00034 - Setup Dev Infrasctructure" u="1"/>
        <s v="Task |  00547 - Automated tests for Sprint 3" u="1"/>
        <s v="Feature | 00002 - Create docker image for Liferay installation" u="1"/>
        <s v="Bug |  01309 - BIT-92 Report Landing Page- Inventory Detail Report" u="1"/>
        <s v="Feature | 00056 - Implement Celsus sync job to index Liferay Sites" u="1"/>
        <s v="Bug |  01267 - Cancel button on Locations filter does not cancel " u="1"/>
        <s v="Feature |  00514 - Release Report" u="1"/>
        <s v="Feature | 00019 - Create different pages to show layouts" u="1"/>
        <s v="Feature |  01669 - Refactor Inventory Sync/WS Classes for data refresh calls." u="1"/>
        <s v="Feature |  00286 - Global search" u="1"/>
        <s v="Feature |  00302 - Filter Data by Customer Location" u="1"/>
        <s v="Feature |  00017 - Workflows Customizations" u="1"/>
        <s v="Bug |  02426 - 378 (BDT) - No pagination on the Reports Download page " u="1"/>
        <s v="Feature |  00006 - Add version" u="1"/>
        <s v="Bug |  01450 - BIT-157 Wording on Dynamic Reports preview page needs to be changed to improve usability" u="1"/>
        <s v="Feature |  00023 - Add SCORM support" u="1"/>
        <s v="Bug |  00892 - LDAP bulk import cannot be disable if 2FA is enabled" u="1"/>
        <s v="Bug |  01266 - Welcome Name Banner" u="1"/>
        <s v="Bug |  01257 - BIT-60 Missing Address should be empty" u="1"/>
        <s v="Feature |  00236 - Global Solutions" u="1"/>
        <s v="Feature |  01473 - Switch to SOAP calls" u="1"/>
        <s v="Feature |  01442 - Update search criteria on Release Landing Page " u="1"/>
        <s v="Feature | 00010 - Configure Elasticsearch with Azure local instance storage" u="1"/>
        <s v="Feature |  00011 - Carousel with three images and timer" u="1"/>
        <s v="Task |  00710 - Automated Tests" u="1"/>
        <s v="Task |  01254 - Automated Tests" u="1"/>
        <s v="Feature |  00124 - View closed orders in Order Views" u="1"/>
        <s v="Feature | 00099 - Add sorting capability to Site REST API" u="1"/>
        <s v="Feature |  00249 - Shipment Search" u="1"/>
        <s v="Bug |  01420 - Time, status and report freezes" u="1"/>
        <s v="Feature |  00162 - Render iframe to show old content" u="1"/>
        <s v="Feature | 00159 - Feature without assignee GOOGLE" u="1"/>
        <s v="Feature |  00021 - Asset publisher filter" u="1"/>
        <s v="Task |  00678 - Adjust BeL to the BG Security Team recommendations" u="1"/>
        <s v="Feature |  00227 - Add ExpandAll option to Orders Summaries." u="1"/>
        <s v="Feature |  00015 - Place remaining Webcontents on Homepage" u="1"/>
        <s v="Bug |  02918 - BDT 474 Reporting errors for Customer id 0138680" u="1"/>
        <s v="Feature |  00152 - Management Team" u="1"/>
        <s v="Feature |  00022 - Webcontent - Investors to Key Statistics" u="1"/>
        <s v="Bug |  01261 - Optional fields not correctly formatted or are missing in open and closed order report" u="1"/>
        <s v="Bug |  00633 - Orders - Add &quot;cust&quot; before PO label" u="1"/>
        <s v="Feature | 00007 - Add expiration date" u="1"/>
        <s v="Bug |  00196 - Adjust company profile page" u="1"/>
        <s v="Feature |  | 00014 - Capture user info" u="1"/>
        <s v="Feature |  01211 - Wildcard search for certain fields" u="1"/>
        <s v="Feature | 00016 - Capture learning events" u="1"/>
        <s v="Feature |  00175 - Order Status Report" u="1"/>
        <s v="Bug |  02638 - BDT 428 -ID 4191- Documents should not be using File Entry LocalService" u="1"/>
        <s v="Task |  00956 - Creation of 3 Queries" u="1"/>
        <s v="Feature |  01344 - Update decimals display on Bemis Portal Landing pages" u="1"/>
        <s v="Feature |  00262 - On-Hand Inventory View for a specific item" u="1"/>
        <s v="Feature |  00024 - Questions Portlet" u="1"/>
        <s v="Feature |  00172 - Password Policy" u="1"/>
        <s v="Feature |  00308 - Customer - Org - Permissions" u="1"/>
        <s v="Bug |  00830 - Two Factor authentication configuration is in the wrong category" u="1"/>
        <s v="Task |  01065 - Have a way to restrict permissions in Receiving role" u="1"/>
        <s v="Feature |  01180 - Updates to Bemis Portal Navigation" u="1"/>
        <s v="Bug |  01491 - Customer Site Template was not updated correctly" u="1"/>
        <s v="Bug |  01426 - On Hand Inventory Details shows a Total Qty but there are no details " u="1"/>
        <s v="Bug |  00902 - BIT-42 Update orders data fields to allow for decimals " u="1"/>
        <s v="Task |  01291 - Automated Tests SP6 PQ3" u="1"/>
        <s v="Bug |  02239 - Zip code is missing from Inventory Layout" u="1"/>
        <s v="Task |  00057 - Management work" u="1"/>
        <s v="Feature |  00389 - Create a sign in page" u="1"/>
        <s v="Feature |  01526 - Update the report that is called from the Open Order Landing Page" u="1"/>
        <s v="Bug |  00822 - UI Navigation bar" u="1"/>
        <s v="Task |  00228 - Allow patches to be source-controlled and installed into bundle by workspace" u="1"/>
        <s v="Task |  00102 - OSGI Dependencies" u="1"/>
        <s v="Bug |  00808 - Arrow Font Size on Releases Page is too small" u="1"/>
        <s v="Feature |  00174 - Corporate Governance Page" u="1"/>
        <s v="Feature |  01113 - Redesign for product description display" u="1"/>
        <s v="Task |  00511 - Identify .lpkg files in default bundle which we don't need to speepup the initial Tomcat start" u="1"/>
        <s v="Bug |  01417 - The Company logo will not populate on Welcome page" u="1"/>
        <s v="Feature |  00237 - Trading" u="1"/>
        <s v="Task |  00013 - BEMISCP-11 Terms &amp; Condition docs (site)(by customer specific)" u="1"/>
        <s v="Feature |  01668 - Refactor Shipment Sync/WS Classes for data refresh calls." u="1"/>
        <s v="Bug |  01212 - Clicking on Shipped Qty or Scheduled Releases throws an error" u="1"/>
        <s v="Task |  01013 - Update home page issues" u="1"/>
        <s v="Bug |  01310 - Report Landing Page- Inventory Detail Report- remove unnecessary Parameters" u="1"/>
        <s v="Feature |  00353 - Sort Orders by Specific Fields" u="1"/>
        <s v="Bug |  01054 - Entries on the Release Page are not displaying " u="1"/>
        <s v="Feature |  00365 - Left Navigation Expand / Collapse on all pages" u="1"/>
        <s v="Task |  00218 - As a user, I can see the Cemex stock price for NYSE and BMV" u="1"/>
        <s v="Bug |  01043 - Issues within IPS PROD at this time that need to be cleared up." u="1"/>
        <s v="Task |  00003 - Setup LCS activation" u="1"/>
        <s v="Bug |  00902 - Update orders data fields to allow for decimals " u="1"/>
        <s v="Feature |  01692 - Update the Footer Content " u="1"/>
        <s v="Task |  00824 - Architectural document for Sprint 6" u="1"/>
        <s v="Bug |  00753 - Fix Gradle theme build " u="1"/>
        <s v="Feature |  00002 - Multi-criteria search" u="1"/>
        <s v="Feature | 00008 - Connect Liferay Docker with BBDD" u="1"/>
        <s v="Task |  00818 - Need to Simplify the way to add a Candidate Photo" u="1"/>
        <s v="Feature |  00239 - Hide Pricing Fields for Logistics, Co-Packer, and Quality roles" u="1"/>
        <s v="Bug |  00805 - On the Customer profile page format is incorrect" u="1"/>
        <s v="Feature | 00009 - Connect Liferay with Azure File Storage " u="1"/>
        <s v="Feature | 00020 - Creation of content structures and templates" u="1"/>
        <s v="Feature |  01687 - Create a hook so that CSR users can see which users have completed setup" u="1"/>
        <s v="Bug |  00854 - Orders Page - Quantity Fields Show 0 Value" u="1"/>
        <s v="Bug |  01262 - BIT-143 Sub-header font color on Reports Landing page are incorrect" u="1"/>
        <s v="Feature |  02692 - ID 4191/4190 Update the CSR permissions to be organization based" u="1"/>
        <s v="Task |  00034 - Setup Project Infrasctructure" u="1"/>
        <s v="Feature |  | 00022 - Add support for OpenID Connect Single Sign-on" u="1"/>
        <s v="Feature |  01250 - Update Sales Order to take in different order statuses" u="1"/>
        <s v="Bug |  01088 - Carrier Link is not working " u="1"/>
        <s v="Bug |  00168 - Redirect Not Allowed" u="1"/>
        <s v="Bug |  00194 - Make bootstrap grid match theme media widths" u="1"/>
        <s v="Feature |  00063 - Show full story on Media Center" u="1"/>
        <s v="Bug |  01218 - Landing page redirection does not work when impersonating" u="1"/>
        <s v="Feature |  00101 - Product landing page" u="1"/>
        <s v="Bug |  02633 - 387 (BDT) - Missing any Shipments for Premium Waters" u="1"/>
        <s v="Feature |  02853 - Upgrade liferay bundle to DE fix-pack 13" u="1"/>
        <s v="Feature |  00297 - Browser compatibility" u="1"/>
        <s v="Feature |  00172 - Debt Information" u="1"/>
        <s v="Feature |  00270 - Browse Customer Profiles" u="1"/>
        <s v="Feature |  00211 - Stock Information page" u="1"/>
        <s v="Bug |  01068 - BIT-112 Do not display Schedule Lines when confirmedQty = 0 on Orders Landing  Page" u="1"/>
        <s v="Task |  00297 - Install fixes for PDF preview on QA env" u="1"/>
        <s v="Feature |  00242 - Link Product Id in Orders Detail to Product Spec Page." u="1"/>
        <s v="Bug |  01177 - BIT-136 Importing Orgs from UAT generates exception" u="1"/>
        <s v="Feature |  00536 - Remove Top Bar for External User" u="1"/>
        <s v="Bug |  01151 - CSR should have access to limited control panel " u="1"/>
        <s v="Bug |  01316 - BIT-78 All Reports- Default Column Fields " u="1"/>
        <s v="Feature |  00029 - Stock ticker portlet" u="1"/>
        <s v="Ballpark - Demand |  00000 - Dummy Feature of Roles Configuration" u="1"/>
        <s v="Feature |  00071 - Full story version 2" u="1"/>
        <s v="Feature | 00023 - Add SCORM support" u="1"/>
        <s v="Bug |  00804 - User Customer Name (Employer) is incorrect" u="1"/>
        <s v="Feature |  00083 - Manage DL folder &amp; files" u="1"/>
        <s v="Feature |  00018 - Concrete Incubator webcontent" u="1"/>
        <s v="Bug |  00806 - Ship To Filter Issue with Name Format and number of items" u="1"/>
        <s v="Bug |  01414 - BIT-121 Report time range selection box sizing - Shipments and Releases Report Test" u="1"/>
        <s v="Bug |  01177 - Importing Orgs from UAT generates exception" u="1"/>
        <s v="Bug |  02904 - Premium Waters Index Issue" u="1"/>
        <s v="Feature |  00072 - Full story version 4" u="1"/>
        <s v="Bug |  01310 - BIT-93 Report Landing Page- Inventory Detail Report- remove unnecessary Parameters" u="1"/>
        <s v="Feature |  00009 - Place webcontent in the grid acording to wireframe" u="1"/>
        <s v="Bug |  00954 - Import of Organizations fails due to a NoSuchListTypeException" u="1"/>
        <s v="Bug |  01348 - BIT-107 Order Report URL too long " u="1"/>
        <s v="Bug |  00554 - Notifications Configuration does not include Country Documents yet." u="1"/>
        <s v="Feature |  00358 - Co-Packer - orders Ship to no pricing" u="1"/>
        <s v="Bug |  00632 - Orders - Move view details link below order Date" u="1"/>
        <s v="Feature |  00022 - Investors - Overview" u="1"/>
        <s v="Feature |  00235 - Building Solutions" u="1"/>
        <s v="Task |  00316 - Install Audience Targeting on QA servers" u="1"/>
        <s v="Bug |  01364 - Scheduled Releases Customer PO" u="1"/>
        <s v="Feature |  00011 - All Projects Configuration" u="1"/>
        <s v="Feature |  00406 - Adjust forms layouts" u="1"/>
        <s v="Bug |  00225 - In Cemex, fix where the theme gets placed in the bundle by workspace" u="1"/>
        <s v="Bug |  02934 - BIN Doc Service Test Invoice URL Parameters" u="1"/>
        <s v="Feature | 00011 - Configure Liferay with LCS Activation" u="1"/>
        <s v="Feature |  00080 - All external users are re-directed to the  dashboard" u="1"/>
        <s v="Feature | 00025 - Notify Google LMS of User activity" u="1"/>
        <s v="Feature |  | 00025 - Notify Google LMS of User activity" u="1"/>
        <s v="Task |  00975 - Sprint Documentation SP10" u="1"/>
        <s v="Task |  00425 - Architectural design document - Sprint 2" u="1"/>
        <s v="Task |  01504 - Automated Tests SP7 PQ3" u="1"/>
        <s v="Feature | 00070 - Create Theme" u="1"/>
        <s v="Feature |  | 00056 - Implement Celsus sync job to index Liferay Sites" u="1"/>
        <s v="Feature |  00020 - Asset publisher layout" u="1"/>
        <s v="Feature |  00136 - Choose the section of the image to show" u="1"/>
        <s v="Bug |  01448 - BIT-154 User Agreement Link " u="1"/>
        <s v="Feature |  00375 - Buyer - Reports Landing Page" u="1"/>
        <s v="Bug |  01324 - Hide Edit options that Buyers do not have access to " u="1"/>
        <s v="Feature |  02976 - Schedule Line Deletes" u="1"/>
        <s v="Bug |  02453 - 375 (BDT) - Inventory Report - URL too long error " u="1"/>
        <s v="Bug |  01309 - Report Landing Page- Inventory Detail Report" u="1"/>
        <s v="Bug |  01198 - BIT-146 Customer Address does not display on Customer Profile" u="1"/>
        <s v="Feature |  01480 - Performance Testing and Tuning" u="1"/>
        <s v="Task |  01331 - Trocar chamadas fake pelos Serviços SUC / Testar o retorno dos dados e corrigir incosistências" u="1"/>
        <s v="Feature |  00645 - Buyer - Security" u="1"/>
        <s v="Bug |  01030 - Add open condition to Search Orders" u="1"/>
        <s v="Bug |  01005 - Do not show Scheduled Releases with a Confirmed Qty =  0" u="1"/>
        <s v="Bug |  01256 - BOL Hyperlink fails to load PDF" u="1"/>
        <s v="Task |  00370 - Common and specific infrastructure to the angular-portlet" u="1"/>
        <s v="Feature |  00161 - Format text and add links to image description" u="1"/>
        <s v="Bug |  01139 - BIT-48 Padding issues with left nav menu " u="1"/>
        <s v="Feature | 00022 - Add support for OpenID Connect Single Sign-on" u="1"/>
        <s v="Feature |  00184 - Key Company Data" u="1"/>
        <s v="Feature | 00010 - Add status: draft, published, archived, invisible " u="1"/>
        <s v="Feature |  00225 - Search Orders by Indexed fields" u="1"/>
        <s v="Feature |  00007 - Design menus" u="1"/>
        <s v="Feature |  00016 - Required Fields" u="1"/>
        <s v="Bug |  01195 -  Icons do not display properly on the Global Search Results Page" u="1"/>
        <s v="Bug |  01267 - Cancel button on Locations filter does not work 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Feature |  00511 - Releases landing page" u="1"/>
        <s v="Feature |  00352 - Location selection persists between logout and login" u="1"/>
        <s v="Feature |  00138 - Carrousel for full story pages" u="1"/>
        <s v="Feature |  02407 - Change date field used for selecting invoices" u="1"/>
        <s v="Bug |  01548 - Customer logo is not displayed on parent or child location dashboards" u="1"/>
        <s v="Task |  01089 - Analyse test coverage and improve it if necessary (Controllers and Services)" u="1"/>
        <s v="Feature |  00296 - Mobile compatibility &amp; responsive design" u="1"/>
        <s v="Feature |  00077 - Import Users and Groups from AD" u="1"/>
        <s v="Feature |  00359 - Batch details in on-hand inventory" u="1"/>
        <s v="Bug |  01684 - Add dependency in Theme for freemarker contributor" u="1"/>
        <s v="Bug |  01338 - Shipment Card Item Detail Box Scrolling Bar" u="1"/>
        <s v="Bug |  01183 - Reports Landing Page - Report Header is not aligned properly" u="1"/>
        <s v="Task |  00481 - UAT/Prod Deployment" u="1"/>
        <s v="Feature |  00141 - Country micro site subpages" u="1"/>
        <s v="Task |  00834 - Automated tests for Sprint 6" u="1"/>
        <s v="Feature | 00025 - Liferay Governance" u="1"/>
        <s v="Bug |  00541 - Stock Ticker portlet has content that is not localiz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Feature |  01527 - Updates for all Report " u="1"/>
        <s v="Feature |  00014 - Language selection functionality" u="1"/>
        <s v="Feature |  00328 - Custom 404 page" u="1"/>
        <s v="Feature |  00347 - Product values in different currencies" u="1"/>
        <s v="Feature |  00144 - Our history page without timeline section" u="1"/>
        <s v="Feature |  00058 - Carrier List CRUD" u="1"/>
        <s v="Task |  00670 - Automated tests for Sprint 4" u="1"/>
        <s v="Bug |  01414 - Report time range selection box sizing - Shipments and Releases Report Test" u="1"/>
        <s v="Task |  02939 - Update LDAP configs now that FP 13 has fixed automatic loading of configs" u="1"/>
        <s v="Feature |  01622 - Menu position does not remain closed when navigating from one page to another " u="1"/>
        <s v="Bug |  00716 - When an order is deleted, the associated AssetEntries are not removed" u="1"/>
        <s v="Feature |  01643 - Update Sales Order Data Sync logic" u="1"/>
        <s v="Bug |  01020 - Checkboxes for Locations in filter do not show " u="1"/>
        <s v="Bug |  01348 - Order Report URL too long " u="1"/>
        <s v="Feature |  00023 - Events + Calendar Portlet" u="1"/>
        <s v="Bug |  00578 - Image Animations do not match mockups for Stories" u="1"/>
        <s v="Bug |  01194 - 'Show More' link missing from Report description" u="1"/>
        <s v="Bug |  01415 - Invoice Report Field" u="1"/>
        <s v="Bug |  01639 - BIT-159 Create Access Path for CSRs to Customer and User Profiles" u="1"/>
        <s v="Bug |  00175 - Sprint 2 minor fixes" u="1"/>
        <s v="Feature |  00025 - Notify Google LMS of User activity" u="1"/>
        <s v="Feature |  00074 - Related articles" u="1"/>
        <s v="Feature |  00256 - Buyer View of Customer Profile" u="1"/>
        <s v="Task |  00839 - Sprint Documentation" u="1"/>
        <s v="Feature |  00230 - Create/edit Order Note" u="1"/>
        <s v="Task |  00058 - Update SendEmail Jobs" u="1"/>
        <s v="Task |  00372 - E2.1 Login - Use SoapUI to validate WSDL/WS" u="1"/>
        <s v="Feature |  00377 - Generate Shipping Reports" u="1"/>
        <s v="Task |  00587 - Register Device adjustments" u="1"/>
        <s v="Feature |  00007 - Add expiration date" u="1"/>
        <s v="Feature |  00371 - Customer Profile updates from IBB" u="1"/>
        <s v="Feature |  00073 - Unified boiler plate text" u="1"/>
        <s v="Bug |  00784 - Modify default date range for shipment, release, and order screens" u="1"/>
        <s v="Feature |  00013 - Footer" u="1"/>
        <s v="Feature |  00361 - Footer" u="1"/>
        <s v="Feature |  01476 - Remove default e-mail suffix from login page" u="1"/>
        <s v="Bug |  01421 - Bemis Logo displayed on Bemis' QA is incorrect" u="1"/>
        <s v="Task | 00005 - Define strategy around docker and Azure" u="1"/>
        <s v="Feature |  00218 - Customer site template" u="1"/>
        <s v="Bug |  01240 - Formatting Error when Resizing" u="1"/>
        <s v="Feature |  00150 - Company profile page" u="1"/>
        <s v="Feature | 00027 - Install on Azure Production" u="1"/>
        <s v="Bug |  02885 - (BDT 467) - Releases and Shipments do not display for new customer setup " u="1"/>
        <s v="Bug |  01364 - BIT-114 Scheduled Releases Customer PO" u="1"/>
        <s v="Bug |  01056 - Location and ShipTo filter dropdowns are missing a border in FF and IE" u="1"/>
        <s v="Feature |  00223 - View Orders by PO" u="1"/>
        <s v="Bug |  00855 - Orders Page - Marshal Orders with NULL Statuses Displayed" u="1"/>
        <s v="Task |  | 00020 - Create Google Local Environment" u="1"/>
        <s v="Feature |  01007 - Requirement changes for Reports" u="1"/>
        <s v="Feature |  | 00006 - Add version" u="1"/>
        <s v="Bug |  01057 - User profile editing is accessible to users other than the profile owner." u="1"/>
        <s v="Feature |  00305 - Co-Packer - Role by Ship To" u="1"/>
        <s v="Task | 00020 - Create Google Local Environ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Feature |  01480 - Performance Testing and Tunning" u="1"/>
        <s v="Ballpark - Demand |  00000 - Dummy Feature of Products" u="1"/>
        <s v="Feature |  00211 - Style and colors" u="1"/>
        <s v="Feature |  00014 - Capture user info" u="1"/>
        <s v="Task |  01732 - Automated Tests SP9 - Functional tests" u="1"/>
        <s v="Bug |  01323 - Add documents button is inside the footer" u="1"/>
        <s v="Bug |  00836 - Logon with incorrect password doesn't fail immediately with 2FA enabled" u="1"/>
        <s v="Bug |  01297 - BIT-84 Data Issue on Bemis QA Environment" u="1"/>
        <s v="Bug |  00069 - Menu not working when on mobile mode" u="1"/>
        <s v="Task |  00025 - Configuração da infraestrutura de DevOps" u="1"/>
        <s v="Feature |  00066 - Investor center effects" u="1"/>
        <s v="Feature |  00019 - Asset publisher - Simple version" u="1"/>
        <s v="Bug |  01338 - BIT-99 Shipment Card Item Detail Box Scrolling Bar" u="1"/>
        <s v="Feature |  00010 - Add status: draft, published, archived, invisible " u="1"/>
        <s v="Bug |  01265 - Bemis Logo Compression/Crowding" u="1"/>
        <s v="Feature |  02886 - Always display BOL and Invoice links" u="1"/>
        <s v="Feature |  | 00070 - Create Theme" u="1"/>
        <s v="Feature |  | 00010 - Add status: draft, published, archived, invisible " u="1"/>
        <s v="Task |  01606 - Automated Tests SP8 PQ3" u="1"/>
        <s v="Ballpark - Demand |  00000 - Dummy Feature of Sustainability" u="1"/>
        <s v="Task |  00913 - Automated test sprint 7" u="1"/>
        <s v="Feature |  01891 - Add Google Analytics to the Customer Portal Sites" u="1"/>
        <s v="Feature | 00014 - Configure Liferay clustering " u="1"/>
        <s v="Bug |  01261 - BIT-68 Optional fields not correctly formatted or are missing in open and closed order report" u="1"/>
        <s v="Feature |  00224 - Order Detail in Orders by PO" u="1"/>
        <s v="Bug |  00371 - RDR sync failing halfway through ORG sync" u="1"/>
        <s v="Task |  00965 - Part of Phase 1.5 - A number of small changes" u="1"/>
        <s v="Feature |  00145 - Sustainability Overview" u="1"/>
        <s v="Feature |  00445 -  View/Edit User Profile" u="1"/>
        <s v="Feature |  00234 - Services Page" u="1"/>
        <s v="Task |  00971 - Automated test sprint 9" u="1"/>
        <s v="Bug |  00915 - Increase size limit for profile picture" u="1"/>
        <s v="Feature |  00110 - Buyer - Show Expanded Shipment View" u="1"/>
        <s v="Task |  00171 - Replace stock images with real images from Bank of America" u="1"/>
        <s v="Feature | 00015 - Configure Docker Swarm to auto scale Liferay" u="1"/>
        <s v="Feature |  00118 - Include videos on the full story page" u="1"/>
        <s v="Bug |  00860 - Date Format is incorrect on all Pages" u="1"/>
        <s v="Feature | 00033 - Enhanced Group REST Service" u="1"/>
        <s v="Bug |  00576 - Home page &quot;More&quot; button does not work for Internet Explorer 10 or 11" u="1"/>
        <s v="Feature | 00007 - Create repository for software images" u="1"/>
        <s v="Task |  00596 - Anchor tags not working for some pages" u="1"/>
        <s v="Feature |  00341 - User agreement - BNA" u="1"/>
        <s v="Feature |  02878 - Update Carrier list for portal " u="1"/>
        <s v="Feature |  00140 - Country micro site single page" u="1"/>
        <s v="Feature |  00107 - Shipments Landing Page" u="1"/>
        <s v="Bug |  02593 - Report Preview UI issues " u="1"/>
        <s v="Bug |  00904 - Update Shipments data fields to allow for decimals " u="1"/>
        <s v="Bug |  01088 - BIT-17 Carrier Link is not working " u="1"/>
        <s v="Feature |  01784 - Improve data display on all pages " u="1"/>
        <s v="Feature |  00232 - Reports Page" u="1"/>
        <s v="Feature |  00156 - Create and assign customer Roles" u="1"/>
        <s v="Bug |  00672 - Items per Page does not allow you to return to default setting" u="1"/>
        <s v="Feature |  00802 - List Releases of specifc Order" u="1"/>
        <s v="Feature |  | 00023 - Add SCORM support" u="1"/>
        <s v="Bug |  00829 - Order Description not wrapping correctly" u="1"/>
        <s v="Feature |  00008 - Check graphics record (to monitor order progress)" u="1"/>
        <s v="Bug |  00444 - Deleting record/site" u="1"/>
        <s v="Bug |  00120 - Story carrousel on homepage does not animate (zoom)" u="1"/>
        <s v="Bug |  00188 - Fix java script errors" u="1"/>
        <s v="Feature | 00017 - Design concepts, site creation, roles and users" u="1"/>
        <s v="Bug |  01181 - My Locations navigation on Mobile view is not working" u="1"/>
        <s v="Feature |  00012 - Country Selection content" u="1"/>
      </sharedItems>
    </cacheField>
    <cacheField name="SubtaskName" numFmtId="0">
      <sharedItems containsNonDate="0" containsBlank="1" count="1026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Frontend Development | XS | 00032 - Create content structure and template for Genérico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Frontend Development | XS | 00035 - Create content structure and template for Avisos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Tech Planning | XS | 00036 - Analize the search configura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Frontend Development | XS | 00033 - Create content structure and template for Noticia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Frontend Development | XS | 00034 - Create content structure and template for Preguntas frecuentes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Backend Development | S | 00031 - Create docker image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Tech Planning | XS | 00028 - Analysis" u="1"/>
        <s v="Tech Planning | XS | 00029 - Analysis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1.Reviewing" u="1"/>
        <s v="2.To Review" u="1"/>
        <e v="#N/A" u="1"/>
        <s v="5.Open" u="1"/>
        <s v="3.Do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Coach" u="1"/>
        <s v="Developer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9">
        <m/>
        <s v="Developer4" u="1"/>
        <s v="Developer5" u="1"/>
        <s v="Coach1" u="1"/>
        <s v="Developer1" u="1"/>
        <s v="Tech Lead1" u="1"/>
        <s v="Developer2" u="1"/>
        <s v="Tech Lead2" u="1"/>
        <s v="Developer3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ministrador" refreshedDate="42957.79885590278" createdVersion="6" refreshedVersion="6" minRefreshableVersion="3" recordCount="10000">
  <cacheSource type="worksheet">
    <worksheetSource ref="A1:AS1048576" sheet="From Jira"/>
  </cacheSource>
  <cacheFields count="46">
    <cacheField name="project" numFmtId="0">
      <sharedItems containsNonDate="0" containsString="0" containsBlank="1" count="1">
        <m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 count="1">
        <m/>
      </sharedItems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String="0" containsBlank="1" count="1">
        <m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String="0" containsBlank="1" count="1">
        <m/>
      </sharedItems>
    </cacheField>
    <cacheField name="SUBTASK_TYPE" numFmtId="0">
      <sharedItems containsNonDate="0" containsString="0" containsBlank="1" count="1">
        <m/>
      </sharedItems>
    </cacheField>
    <cacheField name="SUBTASK_STATUS" numFmtId="0">
      <sharedItems containsNonDate="0" containsString="0" containsBlank="1" count="1">
        <m/>
      </sharedItems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String="0" containsBlank="1" count="1">
        <m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Administrador" refreshedDate="42957.798911458332" createdVersion="6" refreshedVersion="6" minRefreshableVersion="3" recordCount="9999">
  <cacheSource type="worksheet">
    <worksheetSource name="AllIssues"/>
  </cacheSource>
  <cacheFields count="49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Queued for Review" u="1"/>
        <s v="Cancelled" u="1"/>
        <s v="Complete" u="1"/>
        <s v="Deferred" u="1"/>
        <s v="Doing" u="1"/>
        <s v="Done" u="1"/>
        <s v="Open" u="1"/>
        <s v="QAing" u="1"/>
        <s v="To Do" u="1"/>
        <s v="To UAT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11">
        <m/>
        <s v=" 00151 - Management Team" u="1"/>
        <s v="00501  - IBB Integration" u="1"/>
        <s v=" 00029 - Stock ticker portlet" u="1"/>
        <s v="00006 - Theme" u="1"/>
        <s v="00016 - Web Sermubeniel" u="1"/>
        <s v="00265 - Suppliers Section" u="1"/>
        <s v="00510  - Buyer - Release Management" u="1"/>
        <s v="M | 03231 - Demand without assignee BEMISCP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M | 00118 - Jira 7 sdlc tools validation" u="1"/>
        <s v=" 00002 - User Activity Tracking" u="1"/>
        <s v="M | 00110 - Demand without assignee GSSDLC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00531 - System Architecture" u="1"/>
        <s v=" | 00055 - Products + Service" u="1"/>
        <s v=" 00006 - Theme" u="1"/>
        <s v="00112 - Security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00539 - Buyer - Inventory Management" u="1"/>
        <s v=" | 00006 - Theme" u="1"/>
        <s v="M | 00056 - Tools - Worklogger" u="1"/>
        <s v=" 00538 - Buyer - Reports" u="1"/>
        <s v="01527 - Updates for all Report " u="1"/>
        <s v="00087 - SDLC Process" u="1"/>
        <s v="00057 - Tools - Sizing" u="1"/>
        <s v=" 00533 - Bemis CP Theme" u="1"/>
        <s v=" | 00003 - OpenID Connect SSO Support " u="1"/>
        <s v="00024 - Lfieray Governance" u="1"/>
        <s v="00043 - Review accesibility" u="1"/>
        <s v="00005 - System Architecture" u="1"/>
        <s v="00523 - CSR - Portal Foundations" u="1"/>
        <s v=" 00146 - Two Factor Authentication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M | 00113 - Cancel task test" u="1"/>
        <s v="00510 - Buyer - Release Management" u="1"/>
        <s v=" 00171 - Debt Information" u="1"/>
        <s v="00366  - Buyer - Order Management" u="1"/>
        <s v=" 00443 - Buyer views Customer and User Profiles" u="1"/>
        <s v="00001 - Azure Base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M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0004 - Define strategy around docker and Azure" u="1"/>
        <s v=" 00420 - Buyer - Shipment" u="1"/>
        <s v="01439 - Enhanced Portal Foundation Settings" u="1"/>
        <s v=" 00055 - Tools - Sonar" u="1"/>
        <s v="M | 00065 - Roles Configuration" u="1"/>
        <s v="00013 - Azure Cluster" u="1"/>
        <s v=" 00055 - Products + Service" u="1"/>
        <s v=" 00691 - Liferay Workspace Maintenance and Improvements" u="1"/>
        <s v=" 00531 - System Architecture" u="1"/>
        <s v="00026 - Install on Production" u="1"/>
        <s v="00519 - Buyer - Portal Founda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00017 - Investors" u="1"/>
        <s v=" 00054 - Tools - Indicators" u="1"/>
        <s v=" | 00265 - Suppliers Section" u="1"/>
        <s v="M | 00541 - CSR - Dashboard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M | 00057 - Tools - Sizing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53 - Tools - Dashboard" u="1"/>
        <s v="00092 - Content Management" u="1"/>
        <s v=" | 02870 - Off-boarding Tasks" u="1"/>
        <s v="00523  - CSR - Portal Foundation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M | 00691 - Liferay Workspace Maintenance and Improvements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M | 00110 - Prepare acceptance environment" u="1"/>
        <s v="00443 - Buyer views Customer and User Profiles" u="1"/>
        <s v="00443 - Buyer - Access Customer and User Profile Information" u="1"/>
      </sharedItems>
    </cacheField>
    <cacheField name="TASK_TYPE" numFmtId="0">
      <sharedItems containsNonDate="0" containsBlank="1" count="6">
        <m/>
        <s v="Dummy Feature" u="1"/>
        <s v="Bug" u="1"/>
        <s v="Task" u="1"/>
        <s v="Feature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3020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Bug | 01563 - SAP Order 541116 Missing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00455 - Media &gt; Over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Task |  00044 - BEMISCP-11 When to onboard new customer - What to do when onboarding new cust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Task | 00015 - BEMISCP-11 Use Case: Workflow - Reject Shipment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00156 - Test to Done" u="1"/>
        <s v="Task |  00095 - SMS Spec Detail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3191 - BDT 597- Production issue- internal user being asked to validate device " u="1"/>
        <s v="Task |  00064 - BEMISCP-11 CSR hierarchy" u="1"/>
        <s v="Feature | 00175 - Buyer View of Order Report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3059 - 532 BDT - Search Box on order screen not allowing entry" u="1"/>
        <s v="Feature | 00198 - (UX) As a CSR, I can view a list of customers and select one or more, so that I can selectively view information pertaining to a specific customer or sub-organization within the customer.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667 - Apply ADT fix for FP 15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Feature | 00006 - Create docker image for Elasticsearch" u="1"/>
        <s v="Bug |  | 00175 - Sprint 2 minor fixes" u="1"/>
        <s v="Feature | 02875 - Deployment Documentation 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Feature | 00059 - One Click Deploy V2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Bug | 03290 - BDT625 - Ellipse Tooltip and Menu overlap (z-index) UI bug" u="1"/>
        <s v="Feature |  00513 - Release Search" u="1"/>
        <s v="Feature | 00513  - Release Search" u="1"/>
        <s v="Feature | 00099 - MySQL Jira Database Replica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Bug | 03292 - Control Pantl Menu icon is not visible for Internal users on first-time login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03332 - Global Search - Possible exception when entry not in DB.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448 - CSR - Search for All User Profiles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03170 - Mars Inventory Total Location Qty UOM Incorrect (BDT 588)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104 - Jenkins permissions" u="1"/>
        <s v="Bug | 02593 - Report Preview UI issues 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Bug | 03248 - 618 BDT - Portal Passwords display in plain text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00143 - Potential security vulnerability related to Apache Struts version 2.3.32 / 2.5.10.1 or later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03379 - BDT626 - Ellipsis Toggle Functionality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ALLPARK - Demand | M | 00000 - Roles Configuration" u="1"/>
        <s v="Task |  00067 - BEMISCP-11 Document Metadata Extraction Strategy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Bug | 00892 - LDAP bulk import cannot be disable if 2FA is enabled" u="1"/>
        <s v="Feature | 00018 - Install theme and layouts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BALLPARK - Demand | M | 00000 - CSR - Dashboard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02880 - User navigates to blank portal page  " u="1"/>
        <s v="Feature | 03308 - Rotate GC Logs for better managemen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03090 - Add node visibility property for all environment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BALLPARK - Demand | M | 00000 - Demand without assignee GSSDLC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Feature | 03215 - (606 BDT/CR59) K-C Rejected Release displayed in Portal" u="1"/>
        <s v="Task | 01291 - Automated Tests SP6 PQ3" u="1"/>
        <s v="Feature |  00536 - Remove Top Bar for Regular User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021 - Adjust styles of basic Liferay DXP components" u="1"/>
        <s v="Feature |  00296 - Mobile compatibility" u="1"/>
        <s v="Feature | 00297 - Browser compatibility" u="1"/>
        <s v="Bug | 02048 - 277 (BDT) - On hand Inventory page- tablet- Batch # is hyperlinked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Bug | 03254 - UAT 42- Report From and To date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3192 - BDt 598- All environments - log in screen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3187 - 595 BDT - Out of memory error" u="1"/>
        <s v="Task |  00085 - Prebill Inquiry" u="1"/>
        <s v="Bug |  00822 - UI- Navigation bar" u="1"/>
        <s v="Feature | 00221 - View Orders by Item" u="1"/>
        <s v="Feature | 00105 - Deploy docker containers in liferay-gs-sdlc account" u="1"/>
        <s v="Bug | 02959 - BDT 483- Forgot Password error message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Feature | 00401 - Careers &gt; Locations and Functions" u="1"/>
        <s v="Task | 00020 - BEMISCP-11 Portal Admin / Power Users" u="1"/>
        <s v="Feature | 03036 - On Hand Qty displayed for Doned shipment (BDT 518) CR53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00002 - Create docker image for Liferay installation" u="1"/>
        <s v="Bug | 01588 - Inventory display not correct for order 073G001269 " u="1"/>
        <s v="Bug | 01779 - After update to global web content, customer site template does not import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Feature | 00019 - Create different pages to show layouts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Bug | 01558 - BIT-166 Disabled User shows up in Members section on company profile page" u="1"/>
        <s v="Bug | 02395 - 371 (BDT) Commas missing on qty fields on Scheduled Release and Doned Shipment Page 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995 - 490 BDT - Invoice or BOL link on Doned shipments subpage does not work" u="1"/>
        <s v="Bug | 03193 - BDT 596- User directed to &quot;You are logged in as&quot; page vs. org site." u="1"/>
        <s v="Bug | 03320 - UAT 71- Bemis validation test user- change locations for user; records appearing that should not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Task | 00012 - Documentate the whole process" u="1"/>
        <s v="Task | 00022 - Documentate the whole proces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Feature | 00010 - Configure Elasticsearch with Azure local instance storag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BALLPARK - Demand | M | 00000 - Jira 7 sdlc tools validation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0159 - Feature without assignee GOOGLE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Task | 00661 - Upgrade to fixpack 15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Bug | 01860 - 202 (BDT) Remove the optional column order up and down arrows from 2 reports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 00233 - Calculation on landing page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Task | 00022 - BEMISCP-11 Graphics info/status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Feature | 00374  - Shipment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Feature |  00349 - Global search - not show pricing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Bug | 03286 - UAT66 - Global Search: Unable to Display BOL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03295 - Some Order fields not getting updated during re-sync" u="1"/>
        <s v="Bug | 03269 - Pagination Page Select Popup Bug (BDT 624)" u="1"/>
        <s v="Bug |  | 02020 - 267 (BDT) - General mobile design- menu should automatically collapse " u="1"/>
        <s v="Feature |  00214 - View Notifications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Feature | 03384 - Enable automatic patching download w/LCS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Bug | 03338 - UAT73 - Orders Page Orphaned Text not on card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00086 - Bemis style guide | Due date:  8/12/16" u="1"/>
        <s v="Task |  | 01018 - Update page Who We Are" u="1"/>
        <s v="Bug | 03315 - UAT69 - Inactive Releases Displayed on Orders/Releases Pages" u="1"/>
        <s v="Bug | 02885 - (BDT 467) - Releases and Shipments do not display for new customer setup " u="1"/>
        <s v="Feature | 01981 - Logging Updates" u="1"/>
        <s v="Feature | 00094 - Rename Taskboard levels/issueTypes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Feature | 00520  - Release updates from IBB" u="1"/>
        <s v="Bug | 02227 - IBB Data Sync Performance " u="1"/>
        <s v="Feature |  02905 - Updates to Consignment logic" u="1"/>
        <s v="Bug | 03224 - 610 BDT - DataSync process won't start in Portal Prod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Task | 00662 - Block Googlebot from doing a search " u="1"/>
        <s v="Bug |  | 01084 - Dropdwn &quot;Tipo de Correo &quot; with format for IOS" u="1"/>
        <s v="Bug | 01841 - Shipments Cust PO" u="1"/>
        <s v="Feature | 00514 - Release Report" u="1"/>
        <s v="Feature | 00447 - CSR - Search for All Customer Profiles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Bug | 01746 - Duplicate fields displayed on the Doned Shipments tab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Bug | 03257 - UI issue, reduced screen width (tablet, mobile) oddities when impersonating a user (BDT 622) 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Bug | 01874 - 213 (BDT) Theme- Assets that are light blue and should be dark blue -various portal pages" u="1"/>
        <s v="Bug | 03380 - BDT 628 - Preview Button action not working for Inventory Detail and Handling Unit Reports" u="1"/>
        <s v="Task | 01122 - [Mudança na task 1023 review sprint 15] Formatar o hint da aba de vacinas (tela de execução do processo de contratação) de acordo com a estrutura definida pela Queiroz Gavão " u="1"/>
        <s v="Task | 00669 - Investigate freemarker issues in latest prod data refresh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01335 - 3 Marshal Deliveries not showing in Doned Shipments page " u="1"/>
        <s v="Bug |  01317 - BIT-74 Report Page- Open/Closed order status report- missing parameter" u="1"/>
        <s v="BALLPARK - Demand | M | 00000 - Liferay Workspace Maintenance and Improvements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Feature | 00107 - Feature without assignee GSSDLC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BALLPARK - Demand | M | 00000 - Prepare acceptance environment" u="1"/>
        <s v="Task |  00582 - Update our database columns for simId, simTeamId, and simFamilyId to be VARCHAR" u="1"/>
        <s v="Bug |  02679 - 410 (BDT) - Change the Discovery settings in elasticsearch.yml file to use host names" u="1"/>
        <s v="Feature | 00008 - Connect Liferay Docker with BBDD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3160 - Inventory Sync Delete happens before data is processed causing 0 inventory to show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Feature | 00009 - Connect Liferay with Azure File Storage 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Feature | 00271  - Search for User Profile Details" u="1"/>
        <s v="Bug |  | 00306 - Break page buttons evenly, centered" u="1"/>
        <s v="Bug | 01534 - Customer Data Sync is checking wrong address for validity" u="1"/>
        <s v="Feature | 00363 - As a developer, I can map the internal user groups to roles in the portal, so that user permissions can then be managed through AD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00020 - Creation of content structures and templates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ALLPARK - Demand | M | 00000 - Tools - Worklogger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Task | 00717 - Manage Technical Debt" u="1"/>
        <s v="Feature |  00101 - Product landing page" u="1"/>
        <s v="Feature |  00355 - Sort on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Bug | 03209 - Carrier List not updated in The Hub Production system (BDT 605)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00114 - Feature can skip Review step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03195 - BDT 601- CSR/Admin View error and inconsistencies displaying customer profile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ALLPARK - Demand | M | 00000 - Tools - Sizing" u="1"/>
        <s v="Bug |  01414 - BIT-121 Report time range selection box sizing - Shipments and Releases Report Test" u="1"/>
        <s v="Feature | 00664 - Feature without assignee CEMEXWEB" u="1"/>
        <s v="Bug | 01314 - BIT-72 Report page- open and closed order report; parameters not expected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00264 - Shipped quantity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082 - View Customer Profiles" u="1"/>
        <s v="Feature | 00207 - Populate User Profiles" u="1"/>
        <s v="Feature |  00219 - View customer site list" u="1"/>
        <s v="Feature | 00219  - View customer site list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BALLPARK - Demand | M | 00000 - Demand without assignee BEMISCP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03209 - Carrier List not updated in The Hub Production system (BDT 609)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00011 - Configure Liferay with LCS Activation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Task | 00672 - Deploy Build including DE15 and hotfix-711 to Production 6/9/2017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Bug | 02231 - 327 (BDT) - Doned Shipments Sub-Page/Shipment Missing" u="1"/>
        <s v="Feature | 03031 - Data3 Invoice# Incorrect for a Cust Item " u="1"/>
        <s v="Bug | 02431 - 365 (BDT) - On Hand Inventory- mobile- click link on orders page takes you to Doned shipments tab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Feature | 00090 - Jira Workflow updates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218 - Select customer site template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Feature | 03374 - Adjust GC log rotation settings" u="1"/>
        <s v="Feature | 03347 - Finalize Hub Admin and Deployment Guides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511 - Releases by Item" u="1"/>
        <s v="Feature |  00645 - Buyer - Security" u="1"/>
        <s v="Feature | 00511  - Releases by Item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Bug | 03259 - UAT50 - Documents and Media temporarily unavailable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Task | 00054 - BEMISCP-11 Workflow - COC, COAs upload to portal - Quality related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Feature | 00373 - *DELETE* User Profile updates from IBB" u="1"/>
        <s v="Bug |  | 01102 - Mensaje de error al intentar hacer mas de 10 transferencias a terceros" u="1"/>
        <s v="Feature | 00016 - Required Field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219 - View customer site list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Task | 03233 - Task without assignee BEMISCP" u="1"/>
        <s v="Feature |  00511 - Releases landing page" u="1"/>
        <s v="Feature |  | 00221 - Orders Landing Page" u="1"/>
        <s v="Feature | 00107 - Shipment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Task | 00664 - Match the sizing of app servers in qa-live and qa-staging to prod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Task | 00076 - BIN Division Customer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Task | 00023 - Specific Training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3229 - Feature without assignee BEMISCP" u="1"/>
        <s v="Feature | 00231 - Show Open Demand and On Hand Qty for Item." u="1"/>
        <s v="Bug | 01076 - Red line indicating error does not appear when leaving empty the &quot;Cuenta destino&quot; field (personal transfer)." u="1"/>
        <s v="Feature | 00073 - Unified boiler plate text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03244 - BDT 619- Production UAT scripting error Documents in IE" u="1"/>
        <s v="Feature | 00025 - Liferay Governance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Feature | 00113 - Review Liferay policies to SDLC Tools Passwords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00679 - Upgrade staging servers to use 4g heap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Feature | 00103 - Operational indicators" u="1"/>
        <s v="Bug |  | 01106 - Hover background is not displaying correcly on &quot;Cuenta de destino&quot; field (3rd party transfer)" u="1"/>
        <s v="Feature | 03397 - (CR-67) Remove date parameter from open order status report - orders." u="1"/>
        <s v="Feature |  00328 - Custom 404 page" u="1"/>
        <s v="Feature | 00515 - Report Definition Parsing" u="1"/>
        <s v="Bug | 03197 - BDT 602 -  First time login doesn show the MENU on the Bemis site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Feature | 03198 - BDT 603 Production - Cust ID 0076618- no invoice and BOL PDF generates for specific order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Task |  00038 - BEMISCP-11 Quality docs - Storage and access - KMS &amp; SAP (not until Phases 2&amp;3)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03378 - UAT77 - Reports - 'From' date calendar not working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Bug | 03382 - UAT79 - Order with Inventory Missing in Portal" u="1"/>
        <s v="Feature |  00331 - Logistics - Products/Items - Pending Shipments - no pricing" u="1"/>
        <s v="Feature |  01643 - Update Sales Order Data Sync logic" u="1"/>
        <s v="Task | 00384 - Setup Bemis Development Infrastructure" u="1"/>
        <s v="Bug | 03264 - UAT 55 - _x0009_Report Preview Pane Size Issu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Feature | 01687 - Create a hook so that CSR users can see which users have Doned setup" u="1"/>
        <s v="Bug | 01264 - BIT-142 Cust Item Font color on Item detail view is incorrect" u="1"/>
        <s v="Bug |  | 02593 - Report Preview UI issues " u="1"/>
        <s v="Bug | 03179 - BDT 591- AS CSR or Admin, unable to edit user profile from profile page.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Bug | 03198 - BDT 603 Production - Cust ID 0076618- no invoice and BOL PDF generates for specific order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Bug | 00127 - Bugs can be moved to Done anytime" u="1"/>
        <s v="Feature |  01575 - User friendly error page" u="1"/>
        <s v="Bug | 02426 - 378 (BDT) - No pagination on the Reports Download page " u="1"/>
        <s v="Feature |  00363 - Map AD Groups to Roles" u="1"/>
        <s v="Feature | 00363  - Map AD Groups to Roles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 00515 - Report Definition Parsing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Task | 00005 - Define strategy around docker and Azure" u="1"/>
        <s v="Feature | 00286 - Global search" u="1"/>
        <s v="Feature | 00321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00053 - BEMISCP-11 Sales org - System view of customer data BHP/NA" u="1"/>
        <s v="Task |  | 00834 - Automated tests for Sprint 6" u="1"/>
        <s v="Bug | 00688 - DataSync background tasks are not being cleaned up from DB when successfully Doned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Dummy Feature |  00000 - Dummy Feature of  00496 - Buyer - Document Management" u="1"/>
        <s v="Bug | 02369 - Multiple threads may cause NTLM errors in DataSync" u="1"/>
        <s v="Feature | 00027 - Install on Azure Production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03229 - 609 BDT - Inventory Detail Report - Get preview but Error on Downloads screen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Dummy Feature |  00000 - Dummy Feature" u="1"/>
        <s v="Dummy Feature | 00000  - Dummy Feature" u="1"/>
        <s v="Feature |  | 01473 - Switch to SOAP calls" u="1"/>
        <s v="Task | 00686 - QA test FP15 and hotfix 815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Bug | 03180 - BDT 575 Tablet menu does not automatically collapse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BALLPARK - Demand | M | 00000 - Need Credentials for the Following Users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Feature | 00044 - Review accesibility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Feature | 00014 - Configure Liferay clustering 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Bug | 00138 - The legacy id should match the siteId created from mocked data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110  - Buyer - Show Expanded Shipment View" u="1"/>
        <s v="Feature | 02905 - 470 (BDT) Updates to Consignment logic - Doned Shipments Sub-page shipped qty mismatched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015 - Configure Docker Swarm to auto scale Liferay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00088 - SDLC Documentation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490 - Update multilocations based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Feature | 00007 - Create repository for software image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Bug | 03256 - Invoice # Strip Leading Zeroes Portal Logic Fix (BDT 621)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00286 - As a buyer, I can search globally through the system, so that I can get quick access to relevant information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Task | 03258 - Technical Spec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Task | 00665 - Refresh the QA environment data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Bug | 03193 - BDT 596- Connectivity issues in production 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ALLPARK - Demand | M | 00000 - Cancel task test" u="1"/>
        <s v="Bug | 00915 - Increase size limit for profile picture" u="1"/>
        <s v="Feature |  | 00023 - Add SCORM support" u="1"/>
        <s v="Bug | 03131 - Inventory Sync Timestamp issue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Bug | 00144 - Missing learning record events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3176 - Sales Order Schedule Line with ConfirmedQty 0 displayed (BDT 590)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Feature | 00017 - Design concepts, site creation, roles and user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Bug | 01967 - 235 (BDT) - confirmed quantity in view details shows error 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7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To QA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 count="1">
        <m/>
      </sharedItems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0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0"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999"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rogressByDemand" cacheId="77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8" colPageCount="1"/>
  <pivotFields count="49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Row" showAll="0">
      <items count="12">
        <item m="1" x="5"/>
        <item m="1" x="7"/>
        <item x="0"/>
        <item m="1" x="9"/>
        <item m="1" x="8"/>
        <item m="1" x="6"/>
        <item m="1" x="4"/>
        <item m="1" x="2"/>
        <item m="1" x="10"/>
        <item m="1" x="1"/>
        <item m="1" x="3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212">
        <item sd="0" m="1" x="26"/>
        <item m="1" x="132"/>
        <item sd="0" m="1" x="123"/>
        <item sd="0" m="1" x="59"/>
        <item sd="0" m="1" x="46"/>
        <item sd="0" m="1" x="13"/>
        <item m="1" x="52"/>
        <item m="1" x="174"/>
        <item m="1" x="188"/>
        <item m="1" x="22"/>
        <item m="1" x="27"/>
        <item m="1" x="92"/>
        <item m="1" x="83"/>
        <item m="1" x="24"/>
        <item m="1" x="178"/>
        <item m="1" x="48"/>
        <item m="1" x="32"/>
        <item m="1" x="189"/>
        <item m="1" x="42"/>
        <item m="1" x="193"/>
        <item m="1" x="96"/>
        <item m="1" x="205"/>
        <item m="1" x="11"/>
        <item sd="0" m="1" x="129"/>
        <item m="1" x="120"/>
        <item m="1" x="82"/>
        <item m="1" x="84"/>
        <item m="1" x="177"/>
        <item m="1" x="158"/>
        <item m="1" x="149"/>
        <item m="1" x="128"/>
        <item m="1" x="124"/>
        <item m="1" x="15"/>
        <item m="1" x="14"/>
        <item m="1" x="114"/>
        <item m="1" x="72"/>
        <item m="1" x="143"/>
        <item m="1" x="25"/>
        <item m="1" x="172"/>
        <item m="1" x="86"/>
        <item m="1" x="43"/>
        <item m="1" x="94"/>
        <item m="1" x="200"/>
        <item m="1" x="65"/>
        <item m="1" x="112"/>
        <item m="1" x="28"/>
        <item m="1" x="142"/>
        <item m="1" x="207"/>
        <item m="1" x="93"/>
        <item m="1" x="162"/>
        <item m="1" x="139"/>
        <item m="1" x="39"/>
        <item m="1" x="69"/>
        <item m="1" x="88"/>
        <item m="1" x="17"/>
        <item m="1" x="29"/>
        <item m="1" x="157"/>
        <item m="1" x="206"/>
        <item sd="0" m="1" x="33"/>
        <item sd="0" m="1" x="202"/>
        <item m="1" x="176"/>
        <item m="1" x="186"/>
        <item m="1" x="116"/>
        <item m="1" x="180"/>
        <item m="1" x="182"/>
        <item m="1" x="3"/>
        <item sd="0" m="1" x="71"/>
        <item m="1" x="148"/>
        <item sd="0" m="1" x="19"/>
        <item m="1" x="203"/>
        <item sd="0" m="1" x="166"/>
        <item m="1" x="119"/>
        <item sd="0" m="1" x="117"/>
        <item m="1" x="104"/>
        <item m="1" x="101"/>
        <item sd="0" m="1" x="95"/>
        <item m="1" x="197"/>
        <item m="1" x="183"/>
        <item m="1" x="73"/>
        <item sd="0" m="1" x="170"/>
        <item sd="0" m="1" x="125"/>
        <item m="1" x="163"/>
        <item m="1" x="81"/>
        <item m="1" x="64"/>
        <item sd="0" m="1" x="155"/>
        <item m="1" x="1"/>
        <item m="1" x="77"/>
        <item m="1" x="45"/>
        <item m="1" x="179"/>
        <item m="1" x="122"/>
        <item m="1" x="160"/>
        <item m="1" x="10"/>
        <item m="1" x="201"/>
        <item sd="0" m="1" x="169"/>
        <item sd="0" m="1" x="99"/>
        <item sd="0" m="1" x="49"/>
        <item sd="0" m="1" x="35"/>
        <item m="1" x="79"/>
        <item sd="0" m="1" x="68"/>
        <item sd="0" m="1" x="50"/>
        <item sd="0" m="1" x="135"/>
        <item sd="0" m="1" x="161"/>
        <item sd="0" m="1" x="90"/>
        <item sd="0" m="1" x="97"/>
        <item sd="0" m="1" x="106"/>
        <item sd="0" m="1" x="58"/>
        <item sd="0" m="1" x="54"/>
        <item sd="0" m="1" x="195"/>
        <item m="1" x="37"/>
        <item m="1" x="154"/>
        <item m="1" x="105"/>
        <item m="1" x="147"/>
        <item m="1" x="159"/>
        <item m="1" x="111"/>
        <item m="1" x="36"/>
        <item m="1" x="190"/>
        <item m="1" x="145"/>
        <item m="1" x="110"/>
        <item m="1" x="165"/>
        <item m="1" x="127"/>
        <item m="1" x="80"/>
        <item sd="0" m="1" x="167"/>
        <item m="1" x="44"/>
        <item sd="0" m="1" x="199"/>
        <item sd="0" m="1" x="141"/>
        <item m="1" x="98"/>
        <item sd="0" m="1" x="67"/>
        <item sd="0" m="1" x="62"/>
        <item m="1" x="4"/>
        <item m="1" x="144"/>
        <item m="1" x="103"/>
        <item m="1" x="126"/>
        <item m="1" x="66"/>
        <item m="1" x="5"/>
        <item m="1" x="118"/>
        <item m="1" x="60"/>
        <item m="1" x="107"/>
        <item m="1" x="89"/>
        <item m="1" x="61"/>
        <item m="1" x="171"/>
        <item m="1" x="137"/>
        <item m="1" x="41"/>
        <item m="1" x="164"/>
        <item m="1" x="23"/>
        <item m="1" x="38"/>
        <item m="1" x="204"/>
        <item m="1" x="192"/>
        <item m="1" x="57"/>
        <item m="1" x="113"/>
        <item m="1" x="198"/>
        <item sd="0" m="1" x="20"/>
        <item m="1" x="56"/>
        <item sd="0" m="1" x="138"/>
        <item sd="0" m="1" x="74"/>
        <item m="1" x="34"/>
        <item m="1" x="6"/>
        <item sd="0" m="1" x="78"/>
        <item sd="0" m="1" x="146"/>
        <item sd="0" m="1" x="175"/>
        <item sd="0" m="1" x="115"/>
        <item sd="0" m="1" x="30"/>
        <item m="1" x="187"/>
        <item sd="0" m="1" x="12"/>
        <item sd="0" m="1" x="210"/>
        <item sd="0" m="1" x="136"/>
        <item m="1" x="209"/>
        <item sd="0" m="1" x="40"/>
        <item sd="0" m="1" x="70"/>
        <item sd="0" m="1" x="85"/>
        <item sd="0" m="1" x="133"/>
        <item sd="0" m="1" x="47"/>
        <item sd="0" m="1" x="2"/>
        <item sd="0" m="1" x="91"/>
        <item sd="0" m="1" x="7"/>
        <item sd="0" m="1" x="76"/>
        <item sd="0" m="1" x="156"/>
        <item sd="0" m="1" x="108"/>
        <item sd="0" m="1" x="184"/>
        <item sd="0" m="1" x="140"/>
        <item sd="0" m="1" x="63"/>
        <item sd="0" m="1" x="131"/>
        <item m="1" x="31"/>
        <item m="1" x="151"/>
        <item m="1" x="152"/>
        <item m="1" x="51"/>
        <item m="1" x="181"/>
        <item m="1" x="168"/>
        <item m="1" x="9"/>
        <item m="1" x="109"/>
        <item m="1" x="185"/>
        <item m="1" x="134"/>
        <item m="1" x="191"/>
        <item m="1" x="194"/>
        <item m="1" x="100"/>
        <item m="1" x="55"/>
        <item m="1" x="173"/>
        <item m="1" x="153"/>
        <item m="1" x="21"/>
        <item m="1" x="150"/>
        <item m="1" x="53"/>
        <item m="1" x="130"/>
        <item m="1" x="102"/>
        <item m="1" x="18"/>
        <item m="1" x="208"/>
        <item m="1" x="75"/>
        <item m="1" x="16"/>
        <item m="1" x="121"/>
        <item m="1" x="87"/>
        <item m="1" x="196"/>
        <item m="1" x="8"/>
        <item x="0"/>
        <item t="default" sd="0"/>
      </items>
    </pivotField>
    <pivotField axis="axisPage" multipleItemSelectionAllowed="1" showAll="0">
      <items count="7">
        <item m="1" x="4"/>
        <item m="1" x="3"/>
        <item x="0"/>
        <item m="1" x="2"/>
        <item m="1" x="1"/>
        <item m="1" x="5"/>
        <item t="default"/>
      </items>
    </pivotField>
    <pivotField axis="axisRow" showAll="0">
      <items count="26">
        <item sd="0" m="1" x="10"/>
        <item m="1" x="11"/>
        <item m="1" x="14"/>
        <item m="1" x="4"/>
        <item sd="0" m="1" x="13"/>
        <item m="1" x="21"/>
        <item sd="0" m="1" x="22"/>
        <item m="1" x="16"/>
        <item x="0"/>
        <item m="1" x="12"/>
        <item m="1" x="17"/>
        <item m="1" x="20"/>
        <item m="1" x="15"/>
        <item m="1" x="2"/>
        <item m="1" x="9"/>
        <item m="1" x="8"/>
        <item m="1" x="18"/>
        <item m="1" x="3"/>
        <item m="1" x="7"/>
        <item m="1" x="24"/>
        <item m="1" x="19"/>
        <item m="1" x="23"/>
        <item m="1" x="6"/>
        <item m="1" x="5"/>
        <item m="1" x="1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3021">
        <item m="1" x="1048"/>
        <item m="1" x="1056"/>
        <item m="1" x="549"/>
        <item m="1" x="2732"/>
        <item m="1" x="177"/>
        <item m="1" x="976"/>
        <item m="1" x="925"/>
        <item m="1" x="2271"/>
        <item m="1" x="2496"/>
        <item m="1" x="1824"/>
        <item m="1" x="2831"/>
        <item m="1" x="1150"/>
        <item m="1" x="1988"/>
        <item m="1" x="2755"/>
        <item m="1" x="2612"/>
        <item sd="0" m="1" x="471"/>
        <item m="1" x="375"/>
        <item m="1" x="2602"/>
        <item m="1" x="1693"/>
        <item sd="0" m="1" x="2700"/>
        <item m="1" x="2592"/>
        <item m="1" x="2220"/>
        <item m="1" x="1453"/>
        <item m="1" x="1109"/>
        <item m="1" x="1055"/>
        <item m="1" x="247"/>
        <item m="1" x="969"/>
        <item m="1" x="1389"/>
        <item m="1" x="172"/>
        <item m="1" x="2329"/>
        <item m="1" x="2032"/>
        <item m="1" x="815"/>
        <item m="1" x="2937"/>
        <item m="1" x="465"/>
        <item m="1" x="1810"/>
        <item m="1" x="584"/>
        <item m="1" x="916"/>
        <item m="1" x="1401"/>
        <item m="1" x="2575"/>
        <item m="1" x="1438"/>
        <item m="1" x="420"/>
        <item m="1" x="1715"/>
        <item m="1" x="1576"/>
        <item m="1" x="1330"/>
        <item m="1" x="2708"/>
        <item m="1" x="1585"/>
        <item m="1" x="615"/>
        <item m="1" x="752"/>
        <item m="1" x="1720"/>
        <item sd="0" m="1" x="339"/>
        <item m="1" x="2919"/>
        <item m="1" x="2072"/>
        <item m="1" x="1340"/>
        <item m="1" x="1473"/>
        <item m="1" x="2922"/>
        <item m="1" x="2793"/>
        <item m="1" x="207"/>
        <item m="1" x="1837"/>
        <item m="1" x="2441"/>
        <item m="1" x="2716"/>
        <item m="1" x="2135"/>
        <item m="1" x="1856"/>
        <item m="1" x="1315"/>
        <item m="1" x="2696"/>
        <item m="1" x="2164"/>
        <item m="1" x="548"/>
        <item m="1" x="1483"/>
        <item m="1" x="1106"/>
        <item m="1" x="2850"/>
        <item m="1" x="1358"/>
        <item m="1" x="419"/>
        <item m="1" x="366"/>
        <item m="1" x="663"/>
        <item m="1" x="1119"/>
        <item m="1" x="1001"/>
        <item m="1" x="2360"/>
        <item m="1" x="864"/>
        <item m="1" x="1610"/>
        <item m="1" x="879"/>
        <item m="1" x="654"/>
        <item m="1" x="2423"/>
        <item m="1" x="1376"/>
        <item m="1" x="1138"/>
        <item m="1" x="1064"/>
        <item m="1" x="331"/>
        <item m="1" x="185"/>
        <item m="1" x="2947"/>
        <item m="1" x="1696"/>
        <item m="1" x="979"/>
        <item m="1" x="3004"/>
        <item m="1" x="1714"/>
        <item m="1" x="813"/>
        <item m="1" x="2933"/>
        <item m="1" x="1164"/>
        <item m="1" x="127"/>
        <item m="1" x="1246"/>
        <item m="1" x="986"/>
        <item m="1" x="226"/>
        <item m="1" x="2528"/>
        <item m="1" x="2604"/>
        <item m="1" x="1677"/>
        <item m="1" x="2804"/>
        <item m="1" x="273"/>
        <item m="1" x="1800"/>
        <item m="1" x="2488"/>
        <item m="1" x="2523"/>
        <item m="1" x="2623"/>
        <item m="1" x="1534"/>
        <item m="1" x="2410"/>
        <item m="1" x="1240"/>
        <item m="1" x="3014"/>
        <item m="1" x="757"/>
        <item m="1" x="108"/>
        <item m="1" x="932"/>
        <item m="1" x="1957"/>
        <item m="1" x="933"/>
        <item m="1" x="1691"/>
        <item m="1" x="2026"/>
        <item m="1" x="1263"/>
        <item m="1" x="276"/>
        <item m="1" x="1169"/>
        <item m="1" x="2795"/>
        <item m="1" x="996"/>
        <item m="1" x="2160"/>
        <item m="1" x="1873"/>
        <item m="1" x="1234"/>
        <item m="1" x="2816"/>
        <item m="1" x="659"/>
        <item m="1" x="2313"/>
        <item m="1" x="1939"/>
        <item m="1" x="232"/>
        <item m="1" x="1398"/>
        <item m="1" x="3000"/>
        <item m="1" x="2481"/>
        <item m="1" x="2084"/>
        <item m="1" x="1251"/>
        <item m="1" x="1040"/>
        <item m="1" x="1760"/>
        <item m="1" x="270"/>
        <item m="1" x="2315"/>
        <item m="1" x="1054"/>
        <item m="1" x="1459"/>
        <item m="1" x="2714"/>
        <item m="1" x="1526"/>
        <item m="1" x="2166"/>
        <item m="1" x="2068"/>
        <item m="1" x="594"/>
        <item m="1" x="1871"/>
        <item m="1" x="496"/>
        <item m="1" x="491"/>
        <item m="1" x="1569"/>
        <item m="1" x="786"/>
        <item m="1" x="1659"/>
        <item m="1" x="2473"/>
        <item m="1" x="1191"/>
        <item m="1" x="163"/>
        <item m="1" x="1361"/>
        <item m="1" x="97"/>
        <item m="1" x="416"/>
        <item m="1" x="1027"/>
        <item m="1" x="1299"/>
        <item m="1" x="718"/>
        <item m="1" x="2695"/>
        <item m="1" x="701"/>
        <item m="1" x="1183"/>
        <item m="1" x="948"/>
        <item m="1" x="2087"/>
        <item m="1" x="43"/>
        <item m="1" x="2157"/>
        <item m="1" x="1141"/>
        <item m="1" x="2229"/>
        <item m="1" x="719"/>
        <item m="1" x="1577"/>
        <item m="1" x="2078"/>
        <item m="1" x="288"/>
        <item m="1" x="1771"/>
        <item m="1" x="2035"/>
        <item m="1" x="572"/>
        <item m="1" x="614"/>
        <item m="1" x="2810"/>
        <item m="1" x="309"/>
        <item m="1" x="1326"/>
        <item m="1" x="2636"/>
        <item m="1" x="596"/>
        <item m="1" x="762"/>
        <item m="1" x="1772"/>
        <item m="1" x="873"/>
        <item m="1" x="201"/>
        <item m="1" x="1175"/>
        <item m="1" x="2413"/>
        <item m="1" x="302"/>
        <item m="1" x="2834"/>
        <item m="1" x="2257"/>
        <item m="1" x="955"/>
        <item m="1" x="120"/>
        <item m="1" x="2540"/>
        <item m="1" x="1011"/>
        <item m="1" x="1980"/>
        <item m="1" x="160"/>
        <item m="1" x="1596"/>
        <item m="1" x="1517"/>
        <item m="1" x="1082"/>
        <item m="1" x="2276"/>
        <item m="1" x="734"/>
        <item m="1" x="2526"/>
        <item m="1" x="149"/>
        <item m="1" x="2056"/>
        <item m="1" x="1686"/>
        <item m="1" x="1407"/>
        <item m="1" x="989"/>
        <item m="1" x="343"/>
        <item m="1" x="1932"/>
        <item m="1" x="799"/>
        <item m="1" x="2924"/>
        <item m="1" x="613"/>
        <item m="1" x="468"/>
        <item m="1" x="2846"/>
        <item m="1" x="278"/>
        <item m="1" x="738"/>
        <item m="1" x="1888"/>
        <item m="1" x="515"/>
        <item m="1" x="626"/>
        <item m="1" x="1843"/>
        <item m="1" x="2511"/>
        <item m="1" x="1000"/>
        <item m="1" x="1972"/>
        <item m="1" x="853"/>
        <item m="1" x="2589"/>
        <item m="1" x="1470"/>
        <item m="1" x="2680"/>
        <item m="1" x="2765"/>
        <item m="1" x="1921"/>
        <item m="1" x="1424"/>
        <item m="1" x="1283"/>
        <item m="1" x="1029"/>
        <item m="1" x="800"/>
        <item m="1" x="1136"/>
        <item m="1" x="248"/>
        <item m="1" x="171"/>
        <item m="1" x="333"/>
        <item m="1" x="1723"/>
        <item m="1" x="2480"/>
        <item m="1" x="583"/>
        <item m="1" x="102"/>
        <item m="1" x="539"/>
        <item m="1" x="901"/>
        <item m="1" x="1498"/>
        <item m="1" x="119"/>
        <item m="1" x="1979"/>
        <item m="1" x="197"/>
        <item m="1" x="1739"/>
        <item m="1" x="821"/>
        <item m="1" x="482"/>
        <item m="1" x="2796"/>
        <item m="1" x="1600"/>
        <item m="1" x="2688"/>
        <item m="1" x="1707"/>
        <item m="1" x="2368"/>
        <item m="1" x="265"/>
        <item m="1" x="1065"/>
        <item m="1" x="209"/>
        <item m="1" x="2316"/>
        <item m="1" x="1524"/>
        <item m="1" x="2463"/>
        <item m="1" x="50"/>
        <item m="1" x="321"/>
        <item m="1" x="2605"/>
        <item m="1" x="1033"/>
        <item m="1" x="2660"/>
        <item m="1" x="1501"/>
        <item m="1" x="561"/>
        <item m="1" x="133"/>
        <item m="1" x="907"/>
        <item m="1" x="836"/>
        <item m="1" x="410"/>
        <item m="1" x="2224"/>
        <item m="1" x="1544"/>
        <item m="1" x="2345"/>
        <item m="1" x="771"/>
        <item m="1" x="2083"/>
        <item m="1" x="2044"/>
        <item m="1" x="211"/>
        <item m="1" x="204"/>
        <item m="1" x="2103"/>
        <item m="1" x="1991"/>
        <item m="1" x="2280"/>
        <item m="1" x="2556"/>
        <item m="1" x="1189"/>
        <item m="1" x="2476"/>
        <item m="1" x="2207"/>
        <item m="1" x="829"/>
        <item m="1" x="1232"/>
        <item m="1" x="2292"/>
        <item m="1" x="2555"/>
        <item m="1" x="1127"/>
        <item m="1" x="2719"/>
        <item m="1" x="2247"/>
        <item m="1" x="2208"/>
        <item m="1" x="1712"/>
        <item m="1" x="784"/>
        <item m="1" x="2045"/>
        <item m="1" x="1869"/>
        <item m="1" x="1255"/>
        <item m="1" x="25"/>
        <item m="1" x="400"/>
        <item m="1" x="954"/>
        <item m="1" x="506"/>
        <item m="1" x="2730"/>
        <item m="1" x="1085"/>
        <item m="1" x="2417"/>
        <item m="1" x="1893"/>
        <item m="1" x="2295"/>
        <item m="1" x="1976"/>
        <item m="1" x="477"/>
        <item m="1" x="20"/>
        <item m="1" x="2497"/>
        <item m="1" x="2498"/>
        <item m="1" x="737"/>
        <item m="1" x="1132"/>
        <item m="1" x="968"/>
        <item m="1" x="1364"/>
        <item m="1" x="720"/>
        <item m="1" x="91"/>
        <item m="1" x="1356"/>
        <item m="1" x="1586"/>
        <item m="1" x="2240"/>
        <item m="1" x="1616"/>
        <item m="1" x="2077"/>
        <item m="1" x="239"/>
        <item m="1" x="1737"/>
        <item m="1" x="1911"/>
        <item m="1" x="2029"/>
        <item m="1" x="2181"/>
        <item m="1" x="2436"/>
        <item m="1" x="1471"/>
        <item m="1" x="802"/>
        <item m="1" x="807"/>
        <item m="1" x="2502"/>
        <item m="1" x="1833"/>
        <item m="1" x="1990"/>
        <item m="1" x="188"/>
        <item m="1" x="1395"/>
        <item m="1" x="1242"/>
        <item m="1" x="2028"/>
        <item m="1" x="899"/>
        <item m="1" x="13"/>
        <item m="1" x="988"/>
        <item m="1" x="523"/>
        <item m="1" x="2967"/>
        <item m="1" x="1950"/>
        <item m="1" x="287"/>
        <item m="1" x="1538"/>
        <item m="1" x="1320"/>
        <item m="1" x="1114"/>
        <item m="1" x="2018"/>
        <item m="1" x="222"/>
        <item m="1" x="1846"/>
        <item m="1" x="389"/>
        <item m="1" x="1590"/>
        <item m="1" x="914"/>
        <item m="1" x="2811"/>
        <item m="1" x="528"/>
        <item m="1" x="2308"/>
        <item m="1" x="2702"/>
        <item m="1" x="2646"/>
        <item m="1" x="2551"/>
        <item m="1" x="1629"/>
        <item m="1" x="2999"/>
        <item m="1" x="981"/>
        <item m="1" x="1513"/>
        <item m="1" x="927"/>
        <item m="1" x="2074"/>
        <item m="1" x="225"/>
        <item m="1" x="463"/>
        <item m="1" x="1083"/>
        <item m="1" x="45"/>
        <item m="1" x="2433"/>
        <item m="1" x="2180"/>
        <item m="1" x="1851"/>
        <item m="1" x="2631"/>
        <item m="1" x="2620"/>
        <item m="1" x="2183"/>
        <item m="1" x="1449"/>
        <item m="1" x="2624"/>
        <item m="1" x="76"/>
        <item m="1" x="1763"/>
        <item m="1" x="2805"/>
        <item m="1" x="2783"/>
        <item m="1" x="2981"/>
        <item m="1" x="2643"/>
        <item m="1" x="2322"/>
        <item m="1" x="2266"/>
        <item m="1" x="2283"/>
        <item m="1" x="1128"/>
        <item m="1" x="1235"/>
        <item m="1" x="2527"/>
        <item m="1" x="1599"/>
        <item m="1" x="145"/>
        <item m="1" x="2399"/>
        <item m="1" x="512"/>
        <item m="1" x="1801"/>
        <item m="1" x="692"/>
        <item m="1" x="530"/>
        <item m="1" x="1338"/>
        <item m="1" x="597"/>
        <item m="1" x="1355"/>
        <item m="1" x="755"/>
        <item m="1" x="1226"/>
        <item m="1" x="358"/>
        <item m="1" x="950"/>
        <item m="1" x="318"/>
        <item m="1" x="2842"/>
        <item m="1" x="1542"/>
        <item m="1" x="274"/>
        <item m="1" x="230"/>
        <item m="1" x="2472"/>
        <item m="1" x="348"/>
        <item m="1" x="2698"/>
        <item m="1" x="1966"/>
        <item m="1" x="3005"/>
        <item m="1" x="2998"/>
        <item m="1" x="114"/>
        <item m="1" x="237"/>
        <item m="1" x="1643"/>
        <item m="1" x="2464"/>
        <item m="1" x="417"/>
        <item m="1" x="1905"/>
        <item m="1" x="2909"/>
        <item m="1" x="1309"/>
        <item m="1" x="176"/>
        <item m="1" x="729"/>
        <item m="1" x="973"/>
        <item m="1" x="629"/>
        <item m="1" x="2425"/>
        <item m="1" x="328"/>
        <item m="1" x="2633"/>
        <item sd="0" m="1" x="409"/>
        <item sd="0" m="1" x="2969"/>
        <item m="1" x="135"/>
        <item sd="0" m="1" x="1593"/>
        <item m="1" x="2359"/>
        <item sd="0" m="1" x="472"/>
        <item sd="0" m="1" x="1887"/>
        <item sd="0" m="1" x="3"/>
        <item m="1" x="2976"/>
        <item m="1" x="1595"/>
        <item sd="0" m="1" x="1043"/>
        <item m="1" x="806"/>
        <item m="1" x="1981"/>
        <item sd="0" m="1" x="1835"/>
        <item sd="0" m="1" x="115"/>
        <item sd="0" m="1" x="2005"/>
        <item m="1" x="2735"/>
        <item m="1" x="839"/>
        <item m="1" x="2391"/>
        <item m="1" x="1372"/>
        <item m="1" x="1405"/>
        <item m="1" x="2968"/>
        <item sd="0" m="1" x="2073"/>
        <item m="1" x="2206"/>
        <item sd="0" m="1" x="1589"/>
        <item m="1" x="1766"/>
        <item m="1" x="2638"/>
        <item m="1" x="2813"/>
        <item m="1" x="2327"/>
        <item m="1" x="670"/>
        <item sd="0" m="1" x="1770"/>
        <item sd="0" m="1" x="1034"/>
        <item sd="0" m="1" x="688"/>
        <item sd="0" m="1" x="1647"/>
        <item sd="0" m="1" x="2918"/>
        <item sd="0" m="1" x="1757"/>
        <item m="1" x="2274"/>
        <item sd="0" m="1" x="1454"/>
        <item sd="0" m="1" x="2383"/>
        <item sd="0" m="1" x="631"/>
        <item sd="0" m="1" x="1429"/>
        <item sd="0" m="1" x="2930"/>
        <item m="1" x="1347"/>
        <item m="1" x="2444"/>
        <item sd="0" m="1" x="458"/>
        <item m="1" x="2712"/>
        <item sd="0" m="1" x="1702"/>
        <item m="1" x="2027"/>
        <item m="1" x="1468"/>
        <item m="1" x="1713"/>
        <item m="1" x="1268"/>
        <item m="1" x="1116"/>
        <item m="1" x="1248"/>
        <item m="1" x="707"/>
        <item sd="0" m="1" x="2944"/>
        <item m="1" x="1108"/>
        <item m="1" x="660"/>
        <item m="1" x="2618"/>
        <item m="1" x="1497"/>
        <item m="1" x="2543"/>
        <item sd="0" m="1" x="2800"/>
        <item m="1" x="2926"/>
        <item m="1" x="2801"/>
        <item m="1" x="852"/>
        <item m="1" x="1168"/>
        <item m="1" x="1418"/>
        <item m="1" x="566"/>
        <item sd="0" m="1" x="2881"/>
        <item m="1" x="275"/>
        <item m="1" x="541"/>
        <item sd="0" m="1" x="875"/>
        <item m="1" x="2756"/>
        <item m="1" x="1750"/>
        <item m="1" x="2988"/>
        <item m="1" x="2012"/>
        <item m="1" x="2300"/>
        <item m="1" x="942"/>
        <item m="1" x="2011"/>
        <item m="1" x="1404"/>
        <item m="1" x="1375"/>
        <item m="1" x="2537"/>
        <item m="1" x="2584"/>
        <item m="1" x="319"/>
        <item m="1" x="1637"/>
        <item m="1" x="675"/>
        <item m="1" x="2900"/>
        <item m="1" x="1588"/>
        <item m="1" x="2046"/>
        <item m="1" x="355"/>
        <item m="1" x="1681"/>
        <item m="1" x="1664"/>
        <item m="1" x="1721"/>
        <item m="1" x="2992"/>
        <item m="1" x="2179"/>
        <item m="1" x="2860"/>
        <item m="1" x="1024"/>
        <item m="1" x="2214"/>
        <item m="1" x="2339"/>
        <item m="1" x="2096"/>
        <item m="1" x="1960"/>
        <item m="1" x="154"/>
        <item m="1" x="694"/>
        <item m="1" x="1351"/>
        <item m="1" x="1601"/>
        <item m="1" x="1285"/>
        <item m="1" x="2492"/>
        <item m="1" x="112"/>
        <item m="1" x="2016"/>
        <item m="1" x="869"/>
        <item m="1" x="179"/>
        <item m="1" x="2710"/>
        <item m="1" x="1012"/>
        <item m="1" x="1503"/>
        <item m="1" x="90"/>
        <item m="1" x="1722"/>
        <item m="1" x="2053"/>
        <item m="1" x="2670"/>
        <item m="1" x="2104"/>
        <item m="1" x="867"/>
        <item m="1" x="777"/>
        <item m="1" x="2106"/>
        <item m="1" x="1533"/>
        <item m="1" x="1842"/>
        <item m="1" x="308"/>
        <item m="1" x="1094"/>
        <item m="1" x="607"/>
        <item m="1" x="150"/>
        <item m="1" x="2415"/>
        <item m="1" x="653"/>
        <item m="1" x="576"/>
        <item m="1" x="495"/>
        <item m="1" x="2625"/>
        <item m="1" x="727"/>
        <item m="1" x="2499"/>
        <item m="1" x="1"/>
        <item m="1" x="311"/>
        <item m="1" x="751"/>
        <item m="1" x="1954"/>
        <item m="1" x="1747"/>
        <item m="1" x="1360"/>
        <item m="1" x="2216"/>
        <item m="1" x="325"/>
        <item m="1" x="693"/>
        <item m="1" x="58"/>
        <item m="1" x="814"/>
        <item m="1" x="140"/>
        <item m="1" x="1684"/>
        <item m="1" x="1400"/>
        <item m="1" x="1525"/>
        <item m="1" x="1118"/>
        <item m="1" x="2281"/>
        <item m="1" x="2616"/>
        <item m="1" x="423"/>
        <item m="1" x="1948"/>
        <item m="1" x="2923"/>
        <item m="1" x="2652"/>
        <item m="1" x="2178"/>
        <item m="1" x="1762"/>
        <item m="1" x="2303"/>
        <item m="1" x="617"/>
        <item m="1" x="1204"/>
        <item m="1" x="2535"/>
        <item m="1" x="1793"/>
        <item m="1" x="1716"/>
        <item m="1" x="2254"/>
        <item m="1" x="606"/>
        <item m="1" x="2344"/>
        <item m="1" x="1316"/>
        <item m="1" x="186"/>
        <item m="1" x="2067"/>
        <item m="1" x="931"/>
        <item m="1" x="2456"/>
        <item m="1" x="257"/>
        <item m="1" x="1666"/>
        <item m="1" x="1142"/>
        <item m="1" x="1944"/>
        <item m="1" x="770"/>
        <item m="1" x="1025"/>
        <item m="1" x="2190"/>
        <item m="1" x="833"/>
        <item m="1" x="1657"/>
        <item m="1" x="132"/>
        <item m="1" x="1353"/>
        <item m="1" x="1135"/>
        <item m="1" x="2697"/>
        <item m="1" x="2657"/>
        <item m="1" x="1310"/>
        <item m="1" x="486"/>
        <item m="1" x="403"/>
        <item m="1" x="2154"/>
        <item m="1" x="2595"/>
        <item m="1" x="1100"/>
        <item m="1" x="2986"/>
        <item m="1" x="1522"/>
        <item m="1" x="2351"/>
        <item m="1" x="1777"/>
        <item m="1" x="2174"/>
        <item m="1" x="570"/>
        <item m="1" x="2550"/>
        <item m="1" x="2917"/>
        <item m="1" x="107"/>
        <item m="1" x="1028"/>
        <item m="1" x="364"/>
        <item m="1" x="552"/>
        <item m="1" x="1474"/>
        <item m="1" x="2121"/>
        <item m="1" x="93"/>
        <item m="1" x="1101"/>
        <item m="1" x="57"/>
        <item m="1" x="1910"/>
        <item m="1" x="949"/>
        <item m="1" x="290"/>
        <item m="1" x="2312"/>
        <item m="1" x="1139"/>
        <item m="1" x="1080"/>
        <item m="1" x="2784"/>
        <item m="1" x="1062"/>
        <item m="1" x="1506"/>
        <item m="1" x="1615"/>
        <item m="1" x="2739"/>
        <item m="1" x="1543"/>
        <item m="1" x="1996"/>
        <item m="1" x="9"/>
        <item m="1" x="1621"/>
        <item m="1" x="2726"/>
        <item m="1" x="855"/>
        <item m="1" x="1406"/>
        <item m="1" x="2641"/>
        <item m="1" x="794"/>
        <item m="1" x="1465"/>
        <item m="1" x="1174"/>
        <item m="1" x="1084"/>
        <item m="1" x="2462"/>
        <item m="1" x="283"/>
        <item m="1" x="314"/>
        <item m="1" x="1862"/>
        <item m="1" x="1003"/>
        <item m="1" x="2267"/>
        <item m="1" x="1736"/>
        <item m="1" x="1847"/>
        <item m="1" x="121"/>
        <item m="1" x="1017"/>
        <item m="1" x="344"/>
        <item m="1" x="511"/>
        <item m="1" x="2393"/>
        <item m="1" x="183"/>
        <item m="1" x="1215"/>
        <item m="1" x="1611"/>
        <item m="1" x="315"/>
        <item m="1" x="2720"/>
        <item m="1" x="347"/>
        <item m="1" x="2098"/>
        <item m="1" x="1805"/>
        <item m="1" x="652"/>
        <item m="1" x="2639"/>
        <item m="1" x="2640"/>
        <item m="1" x="1105"/>
        <item m="1" x="1897"/>
        <item m="1" x="905"/>
        <item m="1" x="190"/>
        <item m="1" x="1180"/>
        <item m="1" x="2532"/>
        <item m="1" x="261"/>
        <item m="1" x="1231"/>
        <item m="1" x="1909"/>
        <item m="1" x="934"/>
        <item m="1" x="2759"/>
        <item m="1" x="213"/>
        <item m="1" x="2209"/>
        <item m="1" x="1790"/>
        <item m="1" x="2971"/>
        <item m="1" x="323"/>
        <item m="1" x="2533"/>
        <item m="1" x="2457"/>
        <item m="1" x="1121"/>
        <item m="1" x="1648"/>
        <item m="1" x="340"/>
        <item m="1" x="123"/>
        <item m="1" x="1676"/>
        <item m="1" x="450"/>
        <item m="1" x="2711"/>
        <item m="1" x="1964"/>
        <item m="1" x="1368"/>
        <item m="1" x="1381"/>
        <item m="1" x="1413"/>
        <item m="1" x="2658"/>
        <item m="1" x="1269"/>
        <item m="1" x="271"/>
        <item m="1" x="760"/>
        <item m="1" x="2244"/>
        <item m="1" x="3003"/>
        <item m="1" x="1205"/>
        <item m="1" x="349"/>
        <item m="1" x="2440"/>
        <item m="1" x="704"/>
        <item m="1" x="327"/>
        <item m="1" x="2091"/>
        <item m="1" x="2317"/>
        <item m="1" x="2729"/>
        <item m="1" x="510"/>
        <item m="1" x="445"/>
        <item m="1" x="832"/>
        <item m="1" x="394"/>
        <item m="1" x="2877"/>
        <item m="1" x="330"/>
        <item m="1" x="2237"/>
        <item m="1" x="101"/>
        <item m="1" x="1667"/>
        <item m="1" x="376"/>
        <item m="1" x="818"/>
        <item m="1" x="2268"/>
        <item m="1" x="1002"/>
        <item m="1" x="1211"/>
        <item m="1" x="1952"/>
        <item m="1" x="462"/>
        <item m="1" x="151"/>
        <item m="1" x="335"/>
        <item m="1" x="2788"/>
        <item m="1" x="2050"/>
        <item m="1" x="1245"/>
        <item m="1" x="1147"/>
        <item m="1" x="1613"/>
        <item m="1" x="1915"/>
        <item m="1" x="1007"/>
        <item m="1" x="1331"/>
        <item m="1" x="1703"/>
        <item m="1" x="2284"/>
        <item m="1" x="2221"/>
        <item m="1" x="1830"/>
        <item m="1" x="2876"/>
        <item m="1" x="1953"/>
        <item m="1" x="1614"/>
        <item m="1" x="1487"/>
        <item m="1" x="1071"/>
        <item m="1" x="1440"/>
        <item m="1" x="1097"/>
        <item m="1" x="1219"/>
        <item m="1" x="1754"/>
        <item m="1" x="2957"/>
        <item m="1" x="2724"/>
        <item m="1" x="1816"/>
        <item m="1" x="2152"/>
        <item m="1" x="1669"/>
        <item m="1" x="1241"/>
        <item m="1" x="1392"/>
        <item m="1" x="352"/>
        <item m="1" x="2503"/>
        <item m="1" x="728"/>
        <item m="1" x="170"/>
        <item m="1" x="2235"/>
        <item m="1" x="2125"/>
        <item m="1" x="62"/>
        <item m="1" x="1469"/>
        <item m="1" x="2530"/>
        <item m="1" x="957"/>
        <item m="1" x="1724"/>
        <item m="1" x="964"/>
        <item m="1" x="1836"/>
        <item m="1" x="383"/>
        <item m="1" x="104"/>
        <item m="1" x="116"/>
        <item m="1" x="85"/>
        <item m="1" x="1759"/>
        <item m="1" x="2112"/>
        <item m="1" x="2789"/>
        <item m="1" x="485"/>
        <item m="1" x="1044"/>
        <item m="1" x="1171"/>
        <item m="1" x="884"/>
        <item sd="0" m="1" x="1042"/>
        <item sd="0" m="1" x="2818"/>
        <item sd="0" m="1" x="2246"/>
        <item m="1" x="1039"/>
        <item m="1" x="507"/>
        <item m="1" x="920"/>
        <item m="1" x="1435"/>
        <item m="1" x="2378"/>
        <item m="1" x="1123"/>
        <item m="1" x="2748"/>
        <item m="1" x="388"/>
        <item m="1" x="2949"/>
        <item m="1" x="83"/>
        <item m="1" x="1286"/>
        <item m="1" x="79"/>
        <item m="1" x="326"/>
        <item m="1" x="1924"/>
        <item m="1" x="2983"/>
        <item m="1" x="1463"/>
        <item m="1" x="1903"/>
        <item m="1" x="1203"/>
        <item m="1" x="768"/>
        <item m="1" x="469"/>
        <item m="1" x="499"/>
        <item m="1" x="921"/>
        <item m="1" x="2136"/>
        <item m="1" x="1641"/>
        <item m="1" x="138"/>
        <item m="1" x="1217"/>
        <item m="1" x="1818"/>
        <item m="1" x="632"/>
        <item m="1" x="2594"/>
        <item m="1" x="200"/>
        <item m="1" x="992"/>
        <item sd="0" m="1" x="518"/>
        <item m="1" x="2568"/>
        <item m="1" x="2597"/>
        <item m="1" x="527"/>
        <item m="1" x="686"/>
        <item m="1" x="2411"/>
        <item m="1" x="1348"/>
        <item m="1" x="1725"/>
        <item m="1" x="284"/>
        <item m="1" x="2637"/>
        <item m="1" x="1892"/>
        <item m="1" x="2397"/>
        <item m="1" x="1558"/>
        <item m="1" x="2110"/>
        <item m="1" x="2213"/>
        <item m="1" x="1339"/>
        <item m="1" x="972"/>
        <item m="1" x="1935"/>
        <item m="1" x="2707"/>
        <item m="1" x="1352"/>
        <item m="1" x="2507"/>
        <item m="1" x="1965"/>
        <item m="1" x="1970"/>
        <item m="1" x="1415"/>
        <item m="1" x="2109"/>
        <item m="1" x="312"/>
        <item m="1" x="587"/>
        <item m="1" x="1631"/>
        <item m="1" x="1679"/>
        <item m="1" x="2293"/>
        <item m="1" x="598"/>
        <item m="1" x="2310"/>
        <item m="1" x="1225"/>
        <item m="1" x="1363"/>
        <item m="1" x="1350"/>
        <item m="1" x="1539"/>
        <item m="1" x="1327"/>
        <item m="1" x="258"/>
        <item m="1" x="72"/>
        <item m="1" x="2309"/>
        <item m="1" x="487"/>
        <item m="1" x="1838"/>
        <item m="1" x="2728"/>
        <item m="1" x="1839"/>
        <item m="1" x="440"/>
        <item m="1" x="2629"/>
        <item m="1" x="2459"/>
        <item m="1" x="567"/>
        <item m="1" x="1264"/>
        <item m="1" x="674"/>
        <item m="1" x="2938"/>
        <item m="1" x="2080"/>
        <item m="1" x="2482"/>
        <item m="1" x="131"/>
        <item m="1" x="483"/>
        <item m="1" x="2406"/>
        <item m="1" x="2826"/>
        <item m="1" x="845"/>
        <item m="1" x="2431"/>
        <item m="1" x="32"/>
        <item m="1" x="1820"/>
        <item m="1" x="2705"/>
        <item m="1" x="658"/>
        <item m="1" x="250"/>
        <item m="1" x="46"/>
        <item m="1" x="2928"/>
        <item m="1" x="682"/>
        <item m="1" x="266"/>
        <item m="1" x="1806"/>
        <item m="1" x="1076"/>
        <item m="1" x="2601"/>
        <item m="1" x="513"/>
        <item m="1" x="2632"/>
        <item m="1" x="1112"/>
        <item m="1" x="1371"/>
        <item m="1" x="1172"/>
        <item m="1" x="329"/>
        <item m="1" x="2041"/>
        <item m="1" x="788"/>
        <item m="1" x="2196"/>
        <item m="1" x="1197"/>
        <item m="1" x="256"/>
        <item m="1" x="2721"/>
        <item m="1" x="1634"/>
        <item m="1" x="2583"/>
        <item m="1" x="164"/>
        <item m="1" x="1568"/>
        <item m="1" x="1182"/>
        <item m="1" x="60"/>
        <item m="1" x="2147"/>
        <item m="1" x="169"/>
        <item m="1" x="3018"/>
        <item m="1" x="2479"/>
        <item m="1" x="3017"/>
        <item m="1" x="2038"/>
        <item m="1" x="173"/>
        <item m="1" x="44"/>
        <item m="1" x="2606"/>
        <item m="1" x="1262"/>
        <item m="1" x="2553"/>
        <item m="1" x="2599"/>
        <item m="1" x="1091"/>
        <item m="1" x="2047"/>
        <item m="1" x="1618"/>
        <item m="1" x="286"/>
        <item m="1" x="977"/>
        <item m="1" x="320"/>
        <item m="1" x="219"/>
        <item m="1" x="68"/>
        <item m="1" x="1202"/>
        <item m="1" x="1297"/>
        <item m="1" x="260"/>
        <item m="1" x="1349"/>
        <item m="1" x="2626"/>
        <item m="1" x="562"/>
        <item m="1" x="2002"/>
        <item m="1" x="1010"/>
        <item m="1" x="1305"/>
        <item m="1" x="623"/>
        <item m="1" x="2321"/>
        <item m="1" x="1594"/>
        <item m="1" x="1388"/>
        <item m="1" x="380"/>
        <item m="1" x="488"/>
        <item m="1" x="2039"/>
        <item m="1" x="966"/>
        <item m="1" x="856"/>
        <item m="1" x="2182"/>
        <item m="1" x="577"/>
        <item m="1" x="1111"/>
        <item m="1" x="1958"/>
        <item m="1" x="1536"/>
        <item m="1" x="1490"/>
        <item m="1" x="805"/>
        <item m="1" x="739"/>
        <item m="1" x="2945"/>
        <item m="1" x="2979"/>
        <item m="1" x="1886"/>
        <item m="1" x="2517"/>
        <item m="1" x="627"/>
        <item m="1" x="1718"/>
        <item m="1" x="1732"/>
        <item m="1" x="531"/>
        <item m="1" x="2450"/>
        <item m="1" x="429"/>
        <item m="1" x="35"/>
        <item m="1" x="1546"/>
        <item m="1" x="1399"/>
        <item m="1" x="687"/>
        <item m="1" x="1209"/>
        <item m="1" x="2958"/>
        <item m="1" x="1447"/>
        <item m="1" x="2158"/>
        <item m="1" x="2020"/>
        <item m="1" x="1500"/>
        <item m="1" x="1434"/>
        <item m="1" x="1486"/>
        <item m="1" x="1243"/>
        <item m="1" x="1445"/>
        <item m="1" x="2259"/>
        <item m="1" x="66"/>
        <item m="1" x="196"/>
        <item m="1" x="639"/>
        <item m="1" x="1041"/>
        <item m="1" x="2893"/>
        <item m="1" x="1144"/>
        <item m="1" x="556"/>
        <item m="1" x="1304"/>
        <item m="1" x="1484"/>
        <item m="1" x="1192"/>
        <item m="1" x="2036"/>
        <item m="1" x="810"/>
        <item m="1" x="1934"/>
        <item m="1" x="7"/>
        <item m="1" x="747"/>
        <item m="1" x="1436"/>
        <item m="1" x="1496"/>
        <item m="1" x="2299"/>
        <item m="1" x="2297"/>
        <item m="1" x="2447"/>
        <item m="1" x="2353"/>
        <item m="1" x="846"/>
        <item m="1" x="1096"/>
        <item m="1" x="604"/>
        <item m="1" x="1752"/>
        <item m="1" x="1653"/>
        <item m="1" x="16"/>
        <item m="1" x="2586"/>
        <item m="1" x="1566"/>
        <item m="1" x="1013"/>
        <item m="1" x="1306"/>
        <item m="1" x="2865"/>
        <item m="1" x="2108"/>
        <item m="1" x="2961"/>
        <item m="1" x="2487"/>
        <item m="1" x="748"/>
        <item m="1" x="360"/>
        <item m="1" x="1300"/>
        <item m="1" x="2352"/>
        <item m="1" x="1535"/>
        <item m="1" x="1359"/>
        <item m="1" x="1554"/>
        <item m="1" x="1480"/>
        <item m="1" x="1895"/>
        <item m="1" x="1156"/>
        <item m="1" x="835"/>
        <item m="1" x="1870"/>
        <item m="1" x="272"/>
        <item m="1" x="1384"/>
        <item m="1" x="303"/>
        <item m="1" x="2048"/>
        <item m="1" x="2258"/>
        <item m="1" x="2513"/>
        <item m="1" x="1746"/>
        <item m="1" x="1335"/>
        <item m="1" x="181"/>
        <item m="1" x="2996"/>
        <item m="1" x="1249"/>
        <item m="1" x="1592"/>
        <item m="1" x="795"/>
        <item m="1" x="2927"/>
        <item m="1" x="2387"/>
        <item m="1" x="2504"/>
        <item m="1" x="1412"/>
        <item m="1" x="1332"/>
        <item m="1" x="1181"/>
        <item m="1" x="581"/>
        <item m="1" x="2445"/>
        <item m="1" x="657"/>
        <item m="1" x="198"/>
        <item m="1" x="422"/>
        <item m="1" x="2776"/>
        <item m="1" x="2262"/>
        <item m="1" x="1792"/>
        <item m="1" x="455"/>
        <item m="1" x="299"/>
        <item m="1" x="2094"/>
        <item m="1" x="1373"/>
        <item m="1" x="2153"/>
        <item m="1" x="2085"/>
        <item m="1" x="2478"/>
        <item m="1" x="649"/>
        <item m="1" x="1456"/>
        <item m="1" x="662"/>
        <item m="1" x="152"/>
        <item m="1" x="381"/>
        <item m="1" x="382"/>
        <item m="1" x="1955"/>
        <item m="1" x="673"/>
        <item m="1" x="2974"/>
        <item m="1" x="991"/>
        <item m="1" x="661"/>
        <item m="1" x="1160"/>
        <item m="1" x="404"/>
        <item m="1" x="2775"/>
        <item m="1" x="1079"/>
        <item m="1" x="1409"/>
        <item m="1" x="1745"/>
        <item m="1" x="2859"/>
        <item m="1" x="985"/>
        <item m="1" x="1061"/>
        <item m="1" x="2227"/>
        <item m="1" x="2552"/>
        <item m="1" x="23"/>
        <item m="1" x="1244"/>
        <item m="1" x="1527"/>
        <item m="1" x="220"/>
        <item m="1" x="1015"/>
        <item m="1" x="1840"/>
        <item m="1" x="96"/>
        <item m="1" x="2495"/>
        <item m="1" x="2349"/>
        <item m="1" x="1704"/>
        <item m="1" x="2713"/>
        <item m="1" x="2894"/>
        <item m="1" x="1930"/>
        <item m="1" x="574"/>
        <item m="1" x="1291"/>
        <item m="1" x="1129"/>
        <item m="1" x="2245"/>
        <item m="1" x="1889"/>
        <item m="1" x="758"/>
        <item m="1" x="1861"/>
        <item m="1" x="2952"/>
        <item m="1" x="963"/>
        <item m="1" x="2582"/>
        <item m="1" x="397"/>
        <item m="1" x="1190"/>
        <item m="1" x="1609"/>
        <item m="1" x="2443"/>
        <item m="1" x="564"/>
        <item m="1" x="1275"/>
        <item m="1" x="1252"/>
        <item m="1" x="1393"/>
        <item m="1" x="2520"/>
        <item m="1" x="2282"/>
        <item m="1" x="1201"/>
        <item m="1" x="2692"/>
        <item m="1" x="947"/>
        <item m="1" x="1711"/>
        <item m="1" x="811"/>
        <item m="1" x="2545"/>
        <item m="1" x="2380"/>
        <item m="1" x="763"/>
        <item m="1" x="1891"/>
        <item m="1" x="75"/>
        <item m="1" x="2022"/>
        <item m="1" x="546"/>
        <item m="1" x="61"/>
        <item m="1" x="703"/>
        <item m="1" x="2140"/>
        <item m="1" x="3011"/>
        <item m="1" x="77"/>
        <item m="1" x="2407"/>
        <item m="1" x="2475"/>
        <item m="1" x="2628"/>
        <item m="1" x="2630"/>
        <item m="1" x="1113"/>
        <item m="1" x="1776"/>
        <item m="1" x="2294"/>
        <item m="1" x="1345"/>
        <item m="1" x="2970"/>
        <item m="1" x="378"/>
        <item m="1" x="373"/>
        <item m="1" x="1672"/>
        <item m="1" x="1827"/>
        <item m="1" x="2668"/>
        <item m="1" x="1726"/>
        <item m="1" x="1378"/>
        <item m="1" x="1308"/>
        <item m="1" x="2817"/>
        <item m="1" x="573"/>
        <item m="1" x="1612"/>
        <item m="1" x="2082"/>
        <item m="1" x="1176"/>
        <item m="1" x="1163"/>
        <item m="1" x="2421"/>
        <item m="1" x="2806"/>
        <item m="1" x="280"/>
        <item m="1" x="2977"/>
        <item m="1" x="2137"/>
        <item m="1" x="827"/>
        <item m="1" x="2613"/>
        <item m="1" x="831"/>
        <item m="1" x="1179"/>
        <item m="1" x="493"/>
        <item m="1" x="599"/>
        <item m="1" x="1280"/>
        <item m="1" x="1902"/>
        <item m="1" x="2149"/>
        <item m="1" x="2270"/>
        <item m="1" x="1143"/>
        <item m="1" x="2946"/>
        <item m="1" x="710"/>
        <item m="1" x="978"/>
        <item m="1" x="1512"/>
        <item m="1" x="78"/>
        <item m="1" x="824"/>
        <item m="1" x="2980"/>
        <item m="1" x="2785"/>
        <item m="1" x="2529"/>
        <item m="1" x="1296"/>
        <item m="1" x="984"/>
        <item m="1" x="136"/>
        <item m="1" x="310"/>
        <item m="1" x="175"/>
        <item m="1" x="1220"/>
        <item m="1" x="146"/>
        <item m="1" x="1694"/>
        <item m="1" x="2731"/>
        <item m="1" x="2940"/>
        <item m="1" x="2107"/>
        <item m="1" x="2932"/>
        <item m="1" x="2843"/>
        <item m="1" x="2105"/>
        <item m="1" x="1247"/>
        <item m="1" x="304"/>
        <item m="1" x="1849"/>
        <item m="1" x="2921"/>
        <item m="1" x="1462"/>
        <item m="1" x="357"/>
        <item m="1" x="2960"/>
        <item m="1" x="2323"/>
        <item m="1" x="2565"/>
        <item m="1" x="705"/>
        <item m="1" x="128"/>
        <item m="1" x="681"/>
        <item m="1" x="2892"/>
        <item m="1" x="825"/>
        <item m="1" x="1685"/>
        <item m="1" x="2233"/>
        <item m="1" x="2342"/>
        <item m="1" x="1660"/>
        <item m="1" x="1834"/>
        <item m="1" x="1293"/>
        <item m="1" x="2542"/>
        <item m="1" x="2203"/>
        <item m="1" x="384"/>
        <item m="1" x="655"/>
        <item m="1" x="2822"/>
        <item m="1" x="1317"/>
        <item m="1" x="2030"/>
        <item m="1" x="2290"/>
        <item m="1" x="1254"/>
        <item m="1" x="1229"/>
        <item m="1" x="242"/>
        <item m="1" x="251"/>
        <item m="1" x="1253"/>
        <item m="1" x="1279"/>
        <item m="1" x="826"/>
        <item m="1" x="282"/>
        <item m="1" x="1273"/>
        <item m="1" x="2279"/>
        <item m="1" x="402"/>
        <item m="1" x="1385"/>
        <item m="1" x="2286"/>
        <item m="1" x="2272"/>
        <item m="1" x="1898"/>
        <item m="1" x="1036"/>
        <item m="1" x="52"/>
        <item m="1" x="317"/>
        <item m="1" x="952"/>
        <item m="1" x="812"/>
        <item m="1" x="228"/>
        <item m="1" x="279"/>
        <item sd="0" m="1" x="2546"/>
        <item m="1" x="2600"/>
        <item m="1" x="2448"/>
        <item m="1" x="444"/>
        <item m="1" x="1502"/>
        <item m="1" x="1639"/>
        <item m="1" x="1919"/>
        <item m="1" x="362"/>
        <item sd="0" m="1" x="2519"/>
        <item sd="0" m="1" x="241"/>
        <item sd="0" m="1" x="731"/>
        <item m="1" x="1346"/>
        <item sd="0" m="1" x="2547"/>
        <item sd="0" m="1" x="3001"/>
        <item m="1" x="2769"/>
        <item sd="0" m="1" x="2581"/>
        <item sd="0" m="1" x="191"/>
        <item m="1" x="1936"/>
        <item m="1" x="773"/>
        <item m="1" x="1318"/>
        <item sd="0" m="1" x="2689"/>
        <item m="1" x="1047"/>
        <item m="1" x="1004"/>
        <item m="1" x="1670"/>
        <item m="1" x="1455"/>
        <item m="1" x="2749"/>
        <item sd="0" m="1" x="1045"/>
        <item m="1" x="1701"/>
        <item m="1" x="392"/>
        <item sd="0" m="1" x="625"/>
        <item m="1" x="1727"/>
        <item m="1" x="783"/>
        <item m="1" x="2847"/>
        <item m="1" x="975"/>
        <item m="1" x="70"/>
        <item m="1" x="761"/>
        <item sd="0" m="1" x="1561"/>
        <item m="1" x="2003"/>
        <item sd="0" m="1" x="2939"/>
        <item m="1" x="877"/>
        <item m="1" x="1973"/>
        <item sd="0" m="1" x="1868"/>
        <item sd="0" m="1" x="2066"/>
        <item m="1" x="2574"/>
        <item sd="0" m="1" x="430"/>
        <item sd="0" m="1" x="1929"/>
        <item m="1" x="1894"/>
        <item m="1" x="345"/>
        <item m="1" x="2803"/>
        <item m="1" x="2356"/>
        <item m="1" x="2678"/>
        <item m="1" x="2465"/>
        <item m="1" x="2471"/>
        <item m="1" x="2812"/>
        <item m="1" x="1560"/>
        <item m="1" x="2880"/>
        <item m="1" x="2394"/>
        <item m="1" x="1602"/>
        <item m="1" x="1848"/>
        <item m="1" x="2188"/>
        <item m="1" x="2870"/>
        <item m="1" x="2781"/>
        <item m="1" x="2885"/>
        <item m="1" x="92"/>
        <item m="1" x="2878"/>
        <item m="1" x="1185"/>
        <item m="1" x="798"/>
        <item m="1" x="2095"/>
        <item m="1" x="1755"/>
        <item m="1" x="255"/>
        <item m="1" x="1984"/>
        <item m="1" x="847"/>
        <item m="1" x="896"/>
        <item m="1" x="111"/>
        <item m="1" x="1575"/>
        <item m="1" x="370"/>
        <item m="1" x="544"/>
        <item m="1" x="605"/>
        <item m="1" x="1814"/>
        <item m="1" x="2314"/>
        <item m="1" x="1276"/>
        <item m="1" x="1442"/>
        <item m="1" x="1177"/>
        <item m="1" x="2531"/>
        <item m="1" x="464"/>
        <item m="1" x="2693"/>
        <item m="1" x="2177"/>
        <item m="1" x="1021"/>
        <item m="1" x="532"/>
        <item m="1" x="2782"/>
        <item m="1" x="2063"/>
        <item m="1" x="2486"/>
        <item m="1" x="1626"/>
        <item m="1" x="475"/>
        <item m="1" x="363"/>
        <item m="1" x="1850"/>
        <item m="1" x="1366"/>
        <item m="1" x="1769"/>
        <item m="1" x="1977"/>
        <item m="1" x="87"/>
        <item m="1" x="2243"/>
        <item m="1" x="156"/>
        <item m="1" x="2129"/>
        <item m="1" x="1756"/>
        <item m="1" x="1008"/>
        <item m="1" x="2145"/>
        <item m="1" x="2117"/>
        <item m="1" x="1117"/>
        <item m="1" x="2081"/>
        <item m="1" x="3015"/>
        <item m="1" x="928"/>
        <item m="1" x="894"/>
        <item m="1" x="2736"/>
        <item m="1" x="1644"/>
        <item m="1" x="1785"/>
        <item m="1" x="1789"/>
        <item m="1" x="379"/>
        <item m="1" x="1709"/>
        <item m="1" x="180"/>
        <item m="1" x="1734"/>
        <item m="1" x="224"/>
        <item m="1" x="671"/>
        <item m="1" x="843"/>
        <item m="1" x="2836"/>
        <item m="1" x="2982"/>
        <item m="1" x="203"/>
        <item m="1" x="1780"/>
        <item m="1" x="640"/>
        <item m="1" x="2467"/>
        <item m="1" x="723"/>
        <item m="1" x="2424"/>
        <item m="1" x="980"/>
        <item m="1" x="2790"/>
        <item m="1" x="2886"/>
        <item m="1" x="1786"/>
        <item m="1" x="1933"/>
        <item m="1" x="641"/>
        <item m="1" x="2332"/>
        <item m="1" x="1066"/>
        <item m="1" x="2434"/>
        <item m="1" x="1928"/>
        <item m="1" x="449"/>
        <item m="1" x="2115"/>
        <item m="1" x="2771"/>
        <item m="1" x="892"/>
        <item m="1" x="2376"/>
        <item m="1" x="14"/>
        <item m="1" x="103"/>
        <item m="1" x="2432"/>
        <item m="1" x="2367"/>
        <item m="1" x="2296"/>
        <item m="1" x="1070"/>
        <item m="1" x="1630"/>
        <item m="1" x="341"/>
        <item m="1" x="554"/>
        <item m="1" x="1493"/>
        <item m="1" x="1650"/>
        <item m="1" x="1170"/>
        <item m="1" x="2210"/>
        <item m="1" x="1077"/>
        <item m="1" x="3006"/>
        <item m="1" x="2608"/>
        <item m="1" x="8"/>
        <item m="1" x="470"/>
        <item m="1" x="1822"/>
        <item m="1" x="436"/>
        <item m="1" x="1783"/>
        <item m="1" x="545"/>
        <item m="1" x="2622"/>
        <item m="1" x="1107"/>
        <item m="1" x="2990"/>
        <item m="1" x="2871"/>
        <item m="1" x="2872"/>
        <item m="1" x="1153"/>
        <item m="1" x="2291"/>
        <item m="1" x="1556"/>
        <item m="1" x="2750"/>
        <item m="1" x="1530"/>
        <item m="1" x="2950"/>
        <item m="1" x="1537"/>
        <item m="1" x="1764"/>
        <item m="1" x="1288"/>
        <item m="1" x="125"/>
        <item m="1" x="2116"/>
        <item m="1" x="29"/>
        <item m="1" x="579"/>
        <item m="1" x="1154"/>
        <item m="1" x="1207"/>
        <item m="1" x="110"/>
        <item m="1" x="1803"/>
        <item m="1" x="2725"/>
        <item m="1" x="1151"/>
        <item m="1" x="369"/>
        <item m="1" x="1688"/>
        <item m="1" x="772"/>
        <item m="1" x="918"/>
        <item m="1" x="2619"/>
        <item m="1" x="479"/>
        <item m="1" x="2371"/>
        <item m="1" x="741"/>
        <item m="1" x="2357"/>
        <item m="1" x="960"/>
        <item m="1" x="1809"/>
        <item m="1" x="974"/>
        <item m="1" x="1531"/>
        <item m="1" x="2768"/>
        <item m="1" x="699"/>
        <item m="1" x="2013"/>
        <item m="1" x="1622"/>
        <item m="1" x="1072"/>
        <item m="1" x="4"/>
        <item m="1" x="2134"/>
        <item m="1" x="1986"/>
        <item m="1" x="2580"/>
        <item m="1" x="367"/>
        <item m="1" x="2522"/>
        <item m="1" x="1748"/>
        <item m="1" x="2743"/>
        <item m="1" x="322"/>
        <item m="1" x="2298"/>
        <item m="1" x="1916"/>
        <item m="1" x="1860"/>
        <item m="1" x="1633"/>
        <item m="1" x="730"/>
        <item m="1" x="1956"/>
        <item m="1" x="2306"/>
        <item m="1" x="346"/>
        <item m="1" x="47"/>
        <item m="1" x="368"/>
        <item m="1" x="1987"/>
        <item m="1" x="414"/>
        <item m="1" x="301"/>
        <item m="1" x="971"/>
        <item m="1" x="3019"/>
        <item m="1" x="2548"/>
        <item m="1" x="2412"/>
        <item m="1" x="987"/>
        <item m="1" x="521"/>
        <item m="1" x="2155"/>
        <item m="1" x="998"/>
        <item m="1" x="1562"/>
        <item m="1" x="1841"/>
        <item m="1" x="1410"/>
        <item m="1" x="2168"/>
        <item m="1" x="2931"/>
        <item m="1" x="2318"/>
        <item m="1" x="2993"/>
        <item m="1" x="636"/>
        <item m="1" x="168"/>
        <item m="1" x="2690"/>
        <item m="1" x="1228"/>
        <item m="1" x="2474"/>
        <item m="1" x="1728"/>
        <item m="1" x="725"/>
        <item m="1" x="2585"/>
        <item m="1" x="2438"/>
        <item m="1" x="616"/>
        <item m="1" x="1998"/>
        <item m="1" x="1572"/>
        <item m="1" x="2787"/>
        <item m="1" x="1699"/>
        <item m="1" x="754"/>
        <item m="1" x="2539"/>
        <item m="1" x="1917"/>
        <item m="1" x="2896"/>
        <item m="1" x="1365"/>
        <item m="1" x="791"/>
        <item m="1" x="1146"/>
        <item m="1" x="551"/>
        <item m="1" x="195"/>
        <item m="1" x="1775"/>
        <item m="1" x="1823"/>
        <item m="1" x="1427"/>
        <item m="1" x="2261"/>
        <item m="1" x="42"/>
        <item m="1" x="1826"/>
        <item m="1" x="1233"/>
        <item m="1" x="637"/>
        <item m="1" x="638"/>
        <item m="1" x="2794"/>
        <item m="1" x="2953"/>
        <item m="1" x="38"/>
        <item m="1" x="1508"/>
        <item m="1" x="1636"/>
        <item m="1" x="63"/>
        <item m="1" x="997"/>
        <item m="1" x="2330"/>
        <item m="1" x="553"/>
        <item m="1" x="1303"/>
        <item m="1" x="1675"/>
        <item m="1" x="205"/>
        <item m="1" x="1997"/>
        <item m="1" x="1194"/>
        <item m="1" x="1802"/>
        <item m="1" x="863"/>
        <item m="1" x="608"/>
        <item m="1" x="2501"/>
        <item m="1" x="962"/>
        <item m="1" x="1214"/>
        <item m="1" x="2851"/>
        <item m="1" x="1941"/>
        <item m="1" x="1433"/>
        <item sd="0" m="1" x="820"/>
        <item sd="0" m="1" x="2418"/>
        <item m="1" x="2064"/>
        <item sd="0" m="1" x="2966"/>
        <item sd="0" m="1" x="1749"/>
        <item sd="0" m="1" x="2661"/>
        <item m="1" x="2941"/>
        <item m="1" x="622"/>
        <item m="1" x="1798"/>
        <item m="1" x="893"/>
        <item sd="0" m="1" x="3016"/>
        <item sd="0" m="1" x="1005"/>
        <item m="1" x="2452"/>
        <item sd="0" m="1" x="2610"/>
        <item sd="0" m="1" x="2223"/>
        <item sd="0" m="1" x="961"/>
        <item sd="0" m="1" x="446"/>
        <item m="1" x="2092"/>
        <item m="1" x="816"/>
        <item m="1" x="1708"/>
        <item sd="0" m="1" x="214"/>
        <item sd="0" m="1" x="2650"/>
        <item m="1" x="1937"/>
        <item sd="0" m="1" x="595"/>
        <item sd="0" m="1" x="951"/>
        <item sd="0" m="1" x="401"/>
        <item m="1" x="1779"/>
        <item m="1" x="993"/>
        <item sd="0" m="1" x="834"/>
        <item sd="0" m="1" x="2307"/>
        <item sd="0" m="1" x="1767"/>
        <item m="1" x="1095"/>
        <item sd="0" m="1" x="2362"/>
        <item m="1" x="876"/>
        <item sd="0" m="1" x="1690"/>
        <item m="1" x="2654"/>
        <item m="1" x="307"/>
        <item sd="0" m="1" x="105"/>
        <item sd="0" m="1" x="432"/>
        <item sd="0" m="1" x="236"/>
        <item m="1" x="2677"/>
        <item sd="0" m="1" x="2250"/>
        <item m="1" x="1597"/>
        <item sd="0" m="1" x="2647"/>
        <item m="1" x="1698"/>
        <item sd="0" m="1" x="1744"/>
        <item sd="0" m="1" x="2435"/>
        <item sd="0" m="1" x="2363"/>
        <item sd="0" m="1" x="2171"/>
        <item m="1" x="1853"/>
        <item sd="0" m="1" x="2669"/>
        <item sd="0" m="1" x="558"/>
        <item sd="0" m="1" x="1705"/>
        <item sd="0" m="1" x="609"/>
        <item sd="0" m="1" x="1504"/>
        <item m="1" x="1605"/>
        <item m="1" x="1844"/>
        <item sd="0" m="1" x="28"/>
        <item sd="0" m="1" x="2867"/>
        <item sd="0" m="1" x="2761"/>
        <item sd="0" m="1" x="2798"/>
        <item m="1" x="900"/>
        <item m="1" x="2733"/>
        <item sd="0" m="1" x="1938"/>
        <item sd="0" m="1" x="2489"/>
        <item sd="0" m="1" x="2148"/>
        <item m="1" x="2835"/>
        <item sd="0" m="1" x="2200"/>
        <item m="1" x="377"/>
        <item sd="0" m="1" x="2241"/>
        <item m="1" x="126"/>
        <item m="1" x="2745"/>
        <item sd="0" m="1" x="2051"/>
        <item sd="0" m="1" x="59"/>
        <item m="1" x="2514"/>
        <item m="1" x="967"/>
        <item sd="0" m="1" x="2911"/>
        <item sd="0" m="1" x="2025"/>
        <item sd="0" m="1" x="935"/>
        <item sd="0" m="1" x="1963"/>
        <item sd="0" m="1" x="99"/>
        <item sd="0" m="1" x="1697"/>
        <item sd="0" m="1" x="356"/>
        <item sd="0" m="1" x="1620"/>
        <item sd="0" m="1" x="1098"/>
        <item sd="0" m="1" x="1271"/>
        <item sd="0" m="1" x="1058"/>
        <item sd="0" m="1" x="2057"/>
        <item sd="0" m="1" x="722"/>
        <item sd="0" m="1" x="559"/>
        <item sd="0" m="1" x="732"/>
        <item sd="0" m="1" x="1635"/>
        <item sd="0" m="1" x="2609"/>
        <item m="1" x="1571"/>
        <item sd="0" m="1" x="306"/>
        <item sd="0" m="1" x="1256"/>
        <item sd="0" m="1" x="2778"/>
        <item m="1" x="406"/>
        <item sd="0" m="1" x="2491"/>
        <item m="1" x="1962"/>
        <item sd="0" m="1" x="1796"/>
        <item sd="0" m="1" x="2837"/>
        <item sd="0" m="1" x="442"/>
        <item sd="0" m="1" x="695"/>
        <item m="1" x="2538"/>
        <item m="1" x="2723"/>
        <item sd="0" m="1" x="2061"/>
        <item sd="0" m="1" x="252"/>
        <item m="1" x="959"/>
        <item m="1" x="2124"/>
        <item m="1" x="2395"/>
        <item sd="0" m="1" x="165"/>
        <item sd="0" m="1" x="817"/>
        <item sd="0" m="1" x="2904"/>
        <item sd="0" m="1" x="1165"/>
        <item sd="0" m="1" x="565"/>
        <item sd="0" m="1" x="2751"/>
        <item sd="0" m="1" x="1784"/>
        <item sd="0" m="1" x="872"/>
        <item m="1" x="1323"/>
        <item m="1" x="1464"/>
        <item m="1" x="1655"/>
        <item sd="0" m="1" x="1528"/>
        <item sd="0" m="1" x="1133"/>
        <item sd="0" m="1" x="890"/>
        <item sd="0" m="1" x="2844"/>
        <item sd="0" m="1" x="2868"/>
        <item sd="0" m="1" x="922"/>
        <item sd="0" m="1" x="478"/>
        <item sd="0" m="1" x="94"/>
        <item sd="0" m="1" x="2370"/>
        <item sd="0" m="1" x="437"/>
        <item sd="0" m="1" x="808"/>
        <item m="1" x="1088"/>
        <item sd="0" m="1" x="1733"/>
        <item sd="0" m="1" x="1668"/>
        <item m="1" x="740"/>
        <item sd="0" m="1" x="2185"/>
        <item sd="0" m="1" x="1624"/>
        <item sd="0" m="1" x="1481"/>
        <item sd="0" m="1" x="1158"/>
        <item sd="0" m="1" x="12"/>
        <item sd="0" m="1" x="2869"/>
        <item m="1" x="1382"/>
        <item sd="0" m="1" x="789"/>
        <item sd="0" m="1" x="1825"/>
        <item sd="0" m="1" x="22"/>
        <item sd="0" m="1" x="647"/>
        <item sd="0" m="1" x="2167"/>
        <item sd="0" m="1" x="1619"/>
        <item sd="0" m="1" x="803"/>
        <item m="1" x="2590"/>
        <item sd="0" m="1" x="1102"/>
        <item sd="0" m="1" x="2742"/>
        <item sd="0" m="1" x="1432"/>
        <item sd="0" m="1" x="2642"/>
        <item sd="0" m="1" x="2959"/>
        <item m="1" x="451"/>
        <item sd="0" m="1" x="2231"/>
        <item sd="0" m="1" x="2060"/>
        <item sd="0" m="1" x="1152"/>
        <item sd="0" m="1" x="2287"/>
        <item sd="0" m="1" x="2717"/>
        <item sd="0" m="1" x="842"/>
        <item sd="0" m="1" x="2824"/>
        <item m="1" x="2852"/>
        <item sd="0" m="1" x="717"/>
        <item m="1" x="2239"/>
        <item sd="0" m="1" x="1218"/>
        <item sd="0" m="1" x="633"/>
        <item sd="0" m="1" x="2141"/>
        <item sd="0" m="1" x="1369"/>
        <item sd="0" m="1" x="1606"/>
        <item m="1" x="1768"/>
        <item sd="0" m="1" x="2173"/>
        <item sd="0" m="1" x="749"/>
        <item sd="0" m="1" x="2453"/>
        <item sd="0" m="1" x="2381"/>
        <item sd="0" m="1" x="1396"/>
        <item sd="0" m="1" x="2089"/>
        <item sd="0" m="1" x="698"/>
        <item sd="0" m="1" x="542"/>
        <item sd="0" m="1" x="2419"/>
        <item sd="0" m="1" x="2249"/>
        <item sd="0" m="1" x="1564"/>
        <item sd="0" m="1" x="1198"/>
        <item sd="0" m="1" x="1945"/>
        <item sd="0" m="1" x="2366"/>
        <item sd="0" m="1" x="2408"/>
        <item sd="0" m="1" x="858"/>
        <item sd="0" m="1" x="2198"/>
        <item sd="0" m="1" x="413"/>
        <item sd="0" m="1" x="882"/>
        <item sd="0" m="1" x="1787"/>
        <item m="1" x="1223"/>
        <item m="1" x="685"/>
        <item m="1" x="2664"/>
        <item m="1" x="1811"/>
        <item m="1" x="2655"/>
        <item m="1" x="1521"/>
        <item sd="0" m="1" x="2746"/>
        <item sd="0" m="1" x="473"/>
        <item m="1" x="438"/>
        <item sd="0" m="1" x="1573"/>
        <item sd="0" m="1" x="1625"/>
        <item sd="0" m="1" x="535"/>
        <item m="1" x="1552"/>
        <item sd="0" m="1" x="999"/>
        <item sd="0" m="1" x="2593"/>
        <item sd="0" m="1" x="2007"/>
        <item sd="0" m="1" x="2128"/>
        <item sd="0" m="1" x="1854"/>
        <item sd="0" m="1" x="538"/>
        <item sd="0" m="1" x="243"/>
        <item sd="0" m="1" x="778"/>
        <item sd="0" m="1" x="2460"/>
        <item sd="0" m="1" x="1287"/>
        <item sd="0" m="1" x="489"/>
        <item m="1" x="1674"/>
        <item sd="0" m="1" x="621"/>
        <item sd="0" m="1" x="2277"/>
        <item m="1" x="144"/>
        <item sd="0" m="1" x="2008"/>
        <item sd="0" m="1" x="529"/>
        <item m="1" x="398"/>
        <item m="1" x="2596"/>
        <item m="1" x="2935"/>
        <item m="1" x="2564"/>
        <item m="1" x="697"/>
        <item m="1" x="1274"/>
        <item m="1" x="424"/>
        <item m="1" x="2402"/>
        <item m="1" x="1645"/>
        <item m="1" x="1122"/>
        <item m="1" x="1046"/>
        <item m="1" x="1582"/>
        <item m="1" x="1081"/>
        <item m="1" x="2942"/>
        <item m="1" x="702"/>
        <item m="1" x="1832"/>
        <item m="1" x="2675"/>
        <item m="1" x="399"/>
        <item m="1" x="885"/>
        <item m="1" x="1813"/>
        <item m="1" x="874"/>
        <item m="1" x="550"/>
        <item m="1" x="2454"/>
        <item m="1" x="1993"/>
        <item m="1" x="2598"/>
        <item m="1" x="1227"/>
        <item m="1" x="2184"/>
        <item m="1" x="2222"/>
        <item m="1" x="189"/>
        <item m="1" x="2379"/>
        <item m="1" x="2273"/>
        <item m="1" x="2288"/>
        <item m="1" x="64"/>
        <item m="1" x="1336"/>
        <item m="1" x="787"/>
        <item m="1" x="1495"/>
        <item m="1" x="1422"/>
        <item m="1" x="1985"/>
        <item m="1" x="1652"/>
        <item m="1" x="1518"/>
        <item m="1" x="2500"/>
        <item m="1" x="1751"/>
        <item m="1" x="2901"/>
        <item m="1" x="2832"/>
        <item m="1" x="2864"/>
        <item m="1" x="1321"/>
        <item m="1" x="267"/>
        <item m="1" x="2676"/>
        <item m="1" x="2346"/>
        <item m="1" x="2704"/>
        <item m="1" x="2455"/>
        <item m="1" x="881"/>
        <item m="1" x="680"/>
        <item m="1" x="2150"/>
        <item m="1" x="2139"/>
        <item m="1" x="642"/>
        <item m="1" x="2627"/>
        <item m="1" x="342"/>
        <item m="1" x="1740"/>
        <item m="1" x="793"/>
        <item m="1" x="1540"/>
        <item m="1" x="585"/>
        <item m="1" x="2607"/>
        <item m="1" x="460"/>
        <item m="1" x="668"/>
        <item m="1" x="1874"/>
        <item m="1" x="1875"/>
        <item m="1" x="1617"/>
        <item m="1" x="2304"/>
        <item m="1" x="95"/>
        <item m="1" x="407"/>
        <item m="1" x="2829"/>
        <item m="1" x="2672"/>
        <item m="1" x="2122"/>
        <item m="1" x="1292"/>
        <item m="1" x="415"/>
        <item m="1" x="1951"/>
        <item m="1" x="5"/>
        <item m="1" x="2466"/>
        <item sd="0" m="1" x="746"/>
        <item m="1" x="859"/>
        <item sd="0" m="1" x="192"/>
        <item sd="0" m="1" x="206"/>
        <item m="1" x="1037"/>
        <item sd="0" m="1" x="2815"/>
        <item m="1" x="1162"/>
        <item m="1" x="664"/>
        <item sd="0" m="1" x="1441"/>
        <item sd="0" m="1" x="1472"/>
        <item m="1" x="618"/>
        <item sd="0" m="1" x="2059"/>
        <item sd="0" m="1" x="888"/>
        <item m="1" x="1184"/>
        <item m="1" x="580"/>
        <item m="1" x="2384"/>
        <item sd="0" m="1" x="1852"/>
        <item m="1" x="1110"/>
        <item m="1" x="262"/>
        <item sd="0" m="1" x="2"/>
        <item m="1" x="2706"/>
        <item m="1" x="2873"/>
        <item sd="0" m="1" x="2791"/>
        <item m="1" x="2536"/>
        <item m="1" x="1052"/>
        <item m="1" x="2088"/>
        <item sd="0" m="1" x="2991"/>
        <item m="1" x="69"/>
        <item m="1" x="792"/>
        <item sd="0" m="1" x="441"/>
        <item m="1" x="408"/>
        <item sd="0" m="1" x="780"/>
        <item m="1" x="1379"/>
        <item sd="0" m="1" x="1494"/>
        <item sd="0" m="1" x="646"/>
        <item m="1" x="1148"/>
        <item sd="0" m="1" x="2055"/>
        <item m="1" x="929"/>
        <item m="1" x="1700"/>
        <item m="1" x="393"/>
        <item m="1" x="1394"/>
        <item m="1" x="2204"/>
        <item sd="0" m="1" x="1863"/>
        <item m="1" x="2521"/>
        <item m="1" x="216"/>
        <item m="1" x="1961"/>
        <item sd="0" m="1" x="2802"/>
        <item m="1" x="2679"/>
        <item sd="0" m="1" x="353"/>
        <item sd="0" m="1" x="753"/>
        <item m="1" x="2189"/>
        <item m="1" x="667"/>
        <item m="1" x="229"/>
        <item m="1" x="2071"/>
        <item m="1" x="2114"/>
        <item m="1" x="1927"/>
        <item m="1" x="2144"/>
        <item m="1" x="2234"/>
        <item m="1" x="2197"/>
        <item m="1" x="1367"/>
        <item m="1" x="2143"/>
        <item sd="0" m="1" x="2172"/>
        <item sd="0" m="1" x="1901"/>
        <item sd="0" m="1" x="3008"/>
        <item m="1" x="2576"/>
        <item m="1" x="1799"/>
        <item sd="0" m="1" x="218"/>
        <item sd="0" m="1" x="2943"/>
        <item sd="0" m="1" x="903"/>
        <item sd="0" m="1" x="1794"/>
        <item sd="0" m="1" x="1706"/>
        <item sd="0" m="1" x="819"/>
        <item sd="0" m="1" x="610"/>
        <item sd="0" m="1" x="526"/>
        <item m="1" x="2797"/>
        <item m="1" x="1918"/>
        <item m="1" x="1282"/>
        <item m="1" x="24"/>
        <item sd="0" m="1" x="908"/>
        <item m="1" x="245"/>
        <item sd="0" m="1" x="1505"/>
        <item sd="0" m="1" x="1090"/>
        <item sd="0" m="1" x="6"/>
        <item m="1" x="2838"/>
        <item m="1" x="2228"/>
        <item m="1" x="124"/>
        <item m="1" x="372"/>
        <item m="1" x="709"/>
        <item sd="0" m="1" x="30"/>
        <item sd="0" m="1" x="2090"/>
        <item m="1" x="1425"/>
        <item m="1" x="2130"/>
        <item sd="0" m="1" x="2762"/>
        <item sd="0" m="1" x="2348"/>
        <item m="1" x="2211"/>
        <item m="1" x="1673"/>
        <item m="1" x="1642"/>
        <item m="1" x="902"/>
        <item m="1" x="2253"/>
        <item m="1" x="2331"/>
        <item m="1" x="2709"/>
        <item m="1" x="157"/>
        <item m="1" x="924"/>
        <item m="1" x="1272"/>
        <item m="1" x="1086"/>
        <item m="1" x="2004"/>
        <item sd="0" m="1" x="2052"/>
        <item sd="0" m="1" x="2319"/>
        <item sd="0" m="1" x="1638"/>
        <item m="1" x="2758"/>
        <item m="1" x="2683"/>
        <item m="1" x="2509"/>
        <item sd="0" m="1" x="2912"/>
        <item sd="0" m="1" x="1067"/>
        <item sd="0" m="1" x="1738"/>
        <item sd="0" m="1" x="851"/>
        <item sd="0" m="1" x="2903"/>
        <item m="1" x="938"/>
        <item m="1" x="82"/>
        <item m="1" x="2493"/>
        <item m="1" x="1260"/>
        <item m="1" x="295"/>
        <item m="1" x="292"/>
        <item m="1" x="2065"/>
        <item m="1" x="2326"/>
        <item sd="0" m="1" x="1059"/>
        <item sd="0" m="1" x="130"/>
        <item sd="0" m="1" x="2554"/>
        <item m="1" x="2343"/>
        <item m="1" x="65"/>
        <item m="1" x="1458"/>
        <item m="1" x="3013"/>
        <item sd="0" m="1" x="137"/>
        <item sd="0" m="1" x="1719"/>
        <item m="1" x="2897"/>
        <item sd="0" m="1" x="724"/>
        <item sd="0" m="1" x="612"/>
        <item sd="0" m="1" x="769"/>
        <item sd="0" m="1" x="560"/>
        <item sd="0" m="1" x="765"/>
        <item sd="0" m="1" x="1795"/>
        <item m="1" x="643"/>
        <item sd="0" m="1" x="917"/>
        <item m="1" x="1431"/>
        <item sd="0" m="1" x="1222"/>
        <item m="1" x="100"/>
        <item m="1" x="1730"/>
        <item m="1" x="371"/>
        <item sd="0" m="1" x="492"/>
        <item sd="0" m="1" x="2563"/>
        <item m="1" x="1357"/>
        <item m="1" x="231"/>
        <item sd="0" m="1" x="1797"/>
        <item sd="0" m="1" x="2671"/>
        <item sd="0" m="1" x="1867"/>
        <item sd="0" m="1" x="2113"/>
        <item sd="0" m="1" x="443"/>
        <item sd="0" m="1" x="1829"/>
        <item m="1" x="1646"/>
        <item sd="0" m="1" x="708"/>
        <item sd="0" m="1" x="696"/>
        <item sd="0" m="1" x="1692"/>
        <item m="1" x="1250"/>
        <item m="1" x="2403"/>
        <item sd="0" m="1" x="2062"/>
        <item sd="0" m="1" x="1450"/>
        <item sd="0" m="1" x="253"/>
        <item sd="0" m="1" x="334"/>
        <item m="1" x="2238"/>
        <item m="1" x="1115"/>
        <item m="1" x="797"/>
        <item m="1" x="1553"/>
        <item sd="0" m="1" x="2195"/>
        <item m="1" x="866"/>
        <item sd="0" m="1" x="1774"/>
        <item sd="0" m="1" x="374"/>
        <item m="1" x="454"/>
        <item m="1" x="18"/>
        <item m="1" x="2814"/>
        <item sd="0" m="1" x="1662"/>
        <item m="1" x="828"/>
        <item m="1" x="1173"/>
        <item sd="0" m="1" x="1529"/>
        <item sd="0" m="1" x="913"/>
        <item sd="0" m="1" x="1134"/>
        <item sd="0" m="1" x="2146"/>
        <item sd="0" m="1" x="891"/>
        <item sd="0" m="1" x="1551"/>
        <item sd="0" m="1" x="1680"/>
        <item sd="0" m="1" x="2205"/>
        <item sd="0" m="1" x="2954"/>
        <item sd="0" m="1" x="2131"/>
        <item m="1" x="1971"/>
        <item m="1" x="774"/>
        <item sd="0" m="1" x="480"/>
        <item sd="0" m="1" x="592"/>
        <item sd="0" m="1" x="56"/>
        <item sd="0" m="1" x="1131"/>
        <item sd="0" m="1" x="1020"/>
        <item sd="0" m="1" x="439"/>
        <item m="1" x="234"/>
        <item sd="0" m="1" x="1781"/>
        <item sd="0" m="1" x="982"/>
        <item sd="0" m="1" x="1157"/>
        <item m="1" x="1224"/>
        <item sd="0" m="1" x="1922"/>
        <item sd="0" m="1" x="1343"/>
        <item m="1" x="71"/>
        <item m="1" x="2111"/>
        <item sd="0" m="1" x="1089"/>
        <item sd="0" m="1" x="174"/>
        <item m="1" x="854"/>
        <item sd="0" m="1" x="2603"/>
        <item sd="0" m="1" x="1284"/>
        <item sd="0" m="1" x="2780"/>
        <item m="1" x="166"/>
        <item m="1" x="1390"/>
        <item sd="0" m="1" x="2186"/>
        <item sd="0" m="1" x="1882"/>
        <item sd="0" m="1" x="1627"/>
        <item sd="0" m="1" x="1515"/>
        <item sd="0" m="1" x="1482"/>
        <item sd="0" m="1" x="2841"/>
        <item sd="0" m="1" x="1159"/>
        <item sd="0" m="1" x="313"/>
        <item m="1" x="324"/>
        <item sd="0" m="1" x="2386"/>
        <item sd="0" m="1" x="2955"/>
        <item sd="0" m="1" x="2132"/>
        <item m="1" x="796"/>
        <item m="1" x="2819"/>
        <item m="1" x="2525"/>
        <item sd="0" m="1" x="2828"/>
        <item sd="0" m="1" x="2484"/>
        <item m="1" x="1402"/>
        <item sd="0" m="1" x="351"/>
        <item m="1" x="683"/>
        <item m="1" x="2691"/>
        <item sd="0" m="1" x="2578"/>
        <item sd="0" m="1" x="2427"/>
        <item m="1" x="1210"/>
        <item sd="0" m="1" x="712"/>
        <item sd="0" m="1" x="648"/>
        <item sd="0" m="1" x="2097"/>
        <item sd="0" m="1" x="804"/>
        <item sd="0" m="1" x="2170"/>
        <item sd="0" m="1" x="433"/>
        <item sd="0" m="1" x="628"/>
        <item m="1" x="1195"/>
        <item sd="0" m="1" x="1103"/>
        <item sd="0" m="1" x="2159"/>
        <item m="1" x="823"/>
        <item m="1" x="665"/>
        <item m="1" x="2377"/>
        <item m="1" x="1695"/>
        <item sd="0" m="1" x="2485"/>
        <item m="1" x="88"/>
        <item m="1" x="2965"/>
        <item m="1" x="1879"/>
        <item m="1" x="2656"/>
        <item m="1" x="2764"/>
        <item m="1" x="2665"/>
        <item m="1" x="2079"/>
        <item sd="0" m="1" x="1804"/>
        <item sd="0" m="1" x="1186"/>
        <item m="1" x="2951"/>
        <item sd="0" m="1" x="1782"/>
        <item m="1" x="476"/>
        <item m="1" x="2857"/>
        <item m="1" x="3012"/>
        <item sd="0" m="1" x="1876"/>
        <item sd="0" m="1" x="588"/>
        <item m="1" x="1125"/>
        <item sd="0" m="1" x="142"/>
        <item sd="0" m="1" x="2648"/>
        <item sd="0" m="1" x="1758"/>
        <item sd="0" m="1" x="2524"/>
        <item sd="0" m="1" x="10"/>
        <item sd="0" m="1" x="919"/>
        <item sd="0" m="1" x="2034"/>
        <item sd="0" m="1" x="508"/>
        <item sd="0" m="1" x="1370"/>
        <item sd="0" m="1" x="2916"/>
        <item m="1" x="2839"/>
        <item sd="0" m="1" x="909"/>
        <item sd="0" m="1" x="2840"/>
        <item m="1" x="883"/>
        <item sd="0" m="1" x="767"/>
        <item sd="0" m="1" x="300"/>
        <item sd="0" m="1" x="822"/>
        <item sd="0" m="1" x="910"/>
        <item sd="0" m="1" x="263"/>
        <item sd="0" m="1" x="2382"/>
        <item sd="0" m="1" x="1485"/>
        <item sd="0" m="1" x="2767"/>
        <item sd="0" m="1" x="2997"/>
        <item m="1" x="457"/>
        <item sd="0" m="1" x="650"/>
        <item sd="0" m="1" x="860"/>
        <item sd="0" m="1" x="2674"/>
        <item sd="0" m="1" x="1946"/>
        <item sd="0" m="1" x="700"/>
        <item sd="0" m="1" x="1199"/>
        <item sd="0" m="1" x="2100"/>
        <item sd="0" m="1" x="543"/>
        <item sd="0" m="1" x="37"/>
        <item sd="0" m="1" x="1581"/>
        <item sd="0" m="1" x="2420"/>
        <item sd="0" m="1" x="2773"/>
        <item sd="0" m="1" x="1815"/>
        <item sd="0" m="1" x="1565"/>
        <item sd="0" m="1" x="2086"/>
        <item sd="0" m="1" x="1200"/>
        <item sd="0" m="1" x="1289"/>
        <item sd="0" m="1" x="1947"/>
        <item sd="0" m="1" x="525"/>
        <item sd="0" m="1" x="1166"/>
        <item sd="0" m="1" x="1926"/>
        <item sd="0" m="1" x="1257"/>
        <item m="1" x="2760"/>
        <item sd="0" m="1" x="34"/>
        <item sd="0" m="1" x="1087"/>
        <item sd="0" m="1" x="3010"/>
        <item sd="0" m="1" x="2737"/>
        <item sd="0" m="1" x="1167"/>
        <item m="1" x="1510"/>
        <item m="1" x="735"/>
        <item m="1" x="714"/>
        <item m="1" x="2285"/>
        <item m="1" x="2862"/>
        <item m="1" x="2361"/>
        <item sd="0" m="1" x="2747"/>
        <item sd="0" m="1" x="474"/>
        <item sd="0" m="1" x="514"/>
        <item sd="0" m="1" x="1574"/>
        <item m="1" x="1735"/>
        <item sd="0" m="1" x="536"/>
        <item sd="0" m="1" x="481"/>
        <item sd="0" m="1" x="1628"/>
        <item sd="0" m="1" x="1302"/>
        <item sd="0" m="1" x="1516"/>
        <item sd="0" m="1" x="537"/>
        <item sd="0" m="1" x="294"/>
        <item sd="0" m="1" x="2328"/>
        <item m="1" x="11"/>
        <item sd="0" m="1" x="2849"/>
        <item m="1" x="1687"/>
        <item sd="0" m="1" x="2009"/>
        <item sd="0" m="1" x="2792"/>
        <item m="1" x="1607"/>
        <item sd="0" m="1" x="1855"/>
        <item sd="0" m="1" x="2388"/>
        <item m="1" x="1831"/>
        <item sd="0" m="1" x="244"/>
        <item sd="0" m="1" x="291"/>
        <item sd="0" m="1" x="779"/>
        <item sd="0" m="1" x="1301"/>
        <item sd="0" m="1" x="2232"/>
        <item sd="0" m="1" x="1290"/>
        <item sd="0" m="1" x="2962"/>
        <item m="1" x="359"/>
        <item m="1" x="405"/>
        <item m="1" x="118"/>
        <item m="1" x="2426"/>
        <item m="1" x="2401"/>
        <item m="1" x="1819"/>
        <item m="1" x="809"/>
        <item m="1" x="1717"/>
        <item m="1" x="2972"/>
        <item m="1" x="857"/>
        <item m="1" x="19"/>
        <item m="1" x="563"/>
        <item m="1" x="1423"/>
        <item m="1" x="1913"/>
        <item m="1" x="2908"/>
        <item m="1" x="447"/>
        <item m="1" x="2156"/>
        <item m="1" x="147"/>
        <item m="1" x="2076"/>
        <item m="1" x="2242"/>
        <item m="1" x="912"/>
        <item m="1" x="983"/>
        <item m="1" x="2031"/>
        <item m="1" x="2830"/>
        <item m="1" x="1140"/>
        <item m="1" x="2973"/>
        <item m="1" x="2699"/>
        <item m="1" x="391"/>
        <item m="1" x="1649"/>
        <item m="1" x="1053"/>
        <item m="1" x="1270"/>
        <item m="1" x="2398"/>
        <item m="1" x="1845"/>
        <item m="1" x="1907"/>
        <item m="1" x="425"/>
        <item m="1" x="2799"/>
        <item m="1" x="2058"/>
        <item m="1" x="484"/>
        <item m="1" x="2416"/>
        <item m="1" x="2043"/>
        <item m="1" x="1145"/>
        <item m="1" x="1337"/>
        <item m="1" x="601"/>
        <item m="1" x="2320"/>
        <item m="1" x="923"/>
        <item m="1" x="2451"/>
        <item m="1" x="2054"/>
        <item m="1" x="2948"/>
        <item m="1" x="1940"/>
        <item m="1" x="2375"/>
        <item m="1" x="2856"/>
        <item m="1" x="939"/>
        <item m="1" x="2049"/>
        <item m="1" x="2010"/>
        <item m="1" x="2512"/>
        <item m="1" x="459"/>
        <item m="1" x="2446"/>
        <item m="1" x="540"/>
        <item m="1" x="2875"/>
        <item m="1" x="1281"/>
        <item m="1" x="452"/>
        <item m="1" x="1188"/>
        <item m="1" x="1908"/>
        <item m="1" x="2985"/>
        <item m="1" x="435"/>
        <item m="1" x="645"/>
        <item m="1" x="2774"/>
        <item m="1" x="2001"/>
        <item m="1" x="1557"/>
        <item m="1" x="582"/>
        <item m="1" x="39"/>
        <item m="1" x="1051"/>
        <item m="1" x="956"/>
        <item m="1" x="801"/>
        <item m="1" x="1478"/>
        <item m="1" x="1479"/>
        <item m="1" x="31"/>
        <item m="1" x="1457"/>
        <item m="1" x="1009"/>
        <item m="1" x="208"/>
        <item m="1" x="943"/>
        <item m="1" x="2461"/>
        <item m="1" x="557"/>
        <item m="1" x="1654"/>
        <item m="1" x="2763"/>
        <item m="1" x="1237"/>
        <item m="1" x="67"/>
        <item m="1" x="509"/>
        <item m="1" x="1073"/>
        <item m="1" x="2557"/>
        <item m="1" x="155"/>
        <item m="1" x="2858"/>
        <item m="1" x="2634"/>
        <item m="1" x="2469"/>
        <item m="1" x="1671"/>
        <item m="1" x="1890"/>
        <item m="1" x="1896"/>
        <item m="1" x="716"/>
        <item m="1" x="2987"/>
        <item m="1" x="684"/>
        <item m="1" x="593"/>
        <item m="1" x="520"/>
        <item m="1" x="994"/>
        <item m="1" x="235"/>
        <item m="1" x="2256"/>
        <item m="1" x="619"/>
        <item m="1" x="2194"/>
        <item m="1" x="494"/>
        <item m="1" x="1975"/>
        <item m="1" x="1974"/>
        <item m="1" x="1265"/>
        <item m="1" x="2230"/>
        <item m="1" x="113"/>
        <item m="1" x="161"/>
        <item m="1" x="1550"/>
        <item m="1" x="2428"/>
        <item m="1" x="2163"/>
        <item m="1" x="2494"/>
        <item m="1" x="2169"/>
        <item m="1" x="1765"/>
        <item m="1" x="1872"/>
        <item m="1" x="365"/>
        <item sd="0" m="1" x="2561"/>
        <item m="1" x="2614"/>
        <item m="1" x="1520"/>
        <item m="1" x="448"/>
        <item m="1" x="55"/>
        <item m="1" x="1949"/>
        <item m="1" x="2133"/>
        <item m="1" x="2311"/>
        <item m="1" x="298"/>
        <item m="1" x="1294"/>
        <item sd="0" m="1" x="733"/>
        <item m="1" x="1978"/>
        <item m="1" x="2558"/>
        <item m="1" x="2994"/>
        <item m="1" x="1130"/>
        <item m="1" x="1729"/>
        <item m="1" x="2925"/>
        <item m="1" x="1261"/>
        <item m="1" x="2920"/>
        <item m="1" x="1925"/>
        <item m="1" x="672"/>
        <item m="1" x="2906"/>
        <item m="1" x="611"/>
        <item m="1" x="2975"/>
        <item m="1" x="1579"/>
        <item m="1" x="2302"/>
        <item m="1" x="2884"/>
        <item m="1" x="781"/>
        <item m="1" x="2364"/>
        <item m="1" x="630"/>
        <item m="1" x="2102"/>
        <item m="1" x="1904"/>
        <item m="1" x="970"/>
        <item m="1" x="1311"/>
        <item m="1" x="223"/>
        <item m="1" x="1623"/>
        <item m="1" x="2325"/>
        <item m="1" x="1099"/>
        <item m="1" x="434"/>
        <item m="1" x="568"/>
        <item m="1" x="766"/>
        <item m="1" x="297"/>
        <item m="1" x="2422"/>
        <item m="1" x="2541"/>
        <item m="1" x="2978"/>
        <item m="1" x="2264"/>
        <item m="1" x="868"/>
        <item m="1" x="98"/>
        <item m="1" x="467"/>
        <item m="1" x="2757"/>
        <item m="1" x="2741"/>
        <item m="1" x="1492"/>
        <item m="1" x="1049"/>
        <item m="1" x="1821"/>
        <item m="1" x="1377"/>
        <item m="1" x="2984"/>
        <item m="1" x="1912"/>
        <item m="1" x="2219"/>
        <item m="1" x="2956"/>
        <item m="1" x="2882"/>
        <item m="1" x="2740"/>
        <item m="1" x="1989"/>
        <item m="1" x="1689"/>
        <item m="1" x="21"/>
        <item m="1" x="782"/>
        <item m="1" x="2879"/>
        <item m="1" x="36"/>
        <item m="1" x="490"/>
        <item m="1" x="81"/>
        <item m="1" x="1295"/>
        <item m="1" x="385"/>
        <item m="1" x="2341"/>
        <item m="1" x="547"/>
        <item m="1" x="1420"/>
        <item m="1" x="2685"/>
        <item m="1" x="870"/>
        <item m="1" x="3002"/>
        <item m="1" x="336"/>
        <item m="1" x="1124"/>
        <item m="1" x="1559"/>
        <item m="1" x="2236"/>
        <item m="1" x="2338"/>
        <item m="1" x="1808"/>
        <item m="1" x="1460"/>
        <item m="1" x="1900"/>
        <item m="1" x="1417"/>
        <item m="1" x="1923"/>
        <item m="1" x="2807"/>
        <item m="1" x="1475"/>
        <item m="1" x="1212"/>
        <item m="1" x="945"/>
        <item m="1" x="1658"/>
        <item m="1" x="238"/>
        <item m="1" x="2752"/>
        <item m="1" x="33"/>
        <item m="1" x="1421"/>
        <item m="1" x="848"/>
        <item m="1" x="1206"/>
        <item m="1" x="285"/>
        <item m="1" x="2365"/>
        <item m="1" x="1906"/>
        <item m="1" x="2681"/>
        <item m="1" x="941"/>
        <item m="1" x="2891"/>
        <item m="1" x="2571"/>
        <item m="1" x="159"/>
        <item m="1" x="2516"/>
        <item m="1" x="1548"/>
        <item m="1" x="2820"/>
        <item m="1" x="1006"/>
        <item m="1" x="217"/>
        <item m="1" x="666"/>
        <item m="1" x="2518"/>
        <item m="1" x="2202"/>
        <item m="1" x="1032"/>
        <item m="1" x="1967"/>
        <item m="1" x="1411"/>
        <item m="1" x="1196"/>
        <item m="1" x="1791"/>
        <item m="1" x="904"/>
        <item m="1" x="2898"/>
        <item m="1" x="1466"/>
        <item m="1" x="1587"/>
        <item m="1" x="2015"/>
        <item m="1" x="2936"/>
        <item m="1" x="936"/>
        <item m="1" x="1545"/>
        <item m="1" x="2404"/>
        <item m="1" x="2429"/>
        <item m="1" x="289"/>
        <item m="1" x="2779"/>
        <item m="1" x="2905"/>
        <item m="1" x="2770"/>
        <item m="1" x="227"/>
        <item m="1" x="2120"/>
        <item m="1" x="233"/>
        <item m="1" x="2914"/>
        <item m="1" x="1883"/>
        <item m="1" x="2225"/>
        <item m="1" x="1992"/>
        <item m="1" x="503"/>
        <item m="1" x="1319"/>
        <item m="1" x="2703"/>
        <item m="1" x="2649"/>
        <item m="1" x="431"/>
        <item m="1" x="1983"/>
        <item m="1" x="895"/>
        <item m="1" x="2392"/>
        <item m="1" x="2255"/>
        <item m="1" x="1329"/>
        <item m="1" x="2506"/>
        <item m="1" x="937"/>
        <item m="1" x="1969"/>
        <item m="1" x="221"/>
        <item m="1" x="2572"/>
        <item m="1" x="1437"/>
        <item m="1" x="2389"/>
        <item m="1" x="926"/>
        <item m="1" x="2887"/>
        <item m="1" x="2033"/>
        <item m="1" x="1060"/>
        <item m="1" x="1314"/>
        <item m="1" x="1344"/>
        <item m="1" x="880"/>
        <item m="1" x="1342"/>
        <item m="1" x="2895"/>
        <item m="1" x="2161"/>
        <item m="1" x="886"/>
        <item m="1" x="2075"/>
        <item m="1" x="3009"/>
        <item m="1" x="1509"/>
        <item m="1" x="1278"/>
        <item m="1" x="1187"/>
        <item m="1" x="651"/>
        <item m="1" x="2024"/>
        <item m="1" x="569"/>
        <item m="1" x="2573"/>
        <item m="1" x="502"/>
        <item m="1" x="838"/>
        <item m="1" x="1881"/>
        <item m="1" x="2866"/>
        <item m="1" x="2037"/>
        <item m="1" x="1448"/>
        <item m="1" x="2567"/>
        <item m="1" x="575"/>
        <item m="1" x="2226"/>
        <item m="1" x="1022"/>
        <item m="1" x="2017"/>
        <item m="1" x="2934"/>
        <item m="1" x="2673"/>
        <item m="1" x="1016"/>
        <item m="1" x="2373"/>
        <item m="1" x="296"/>
        <item m="1" x="2890"/>
        <item m="1" x="2019"/>
        <item m="1" x="2023"/>
        <item m="1" x="2863"/>
        <item m="1" x="2577"/>
        <item m="1" x="1092"/>
        <item m="1" x="2337"/>
        <item m="1" x="1683"/>
        <item m="1" x="240"/>
        <item m="1" x="2883"/>
        <item m="1" x="2611"/>
        <item m="1" x="2470"/>
        <item m="1" x="2175"/>
        <item sd="0" m="1" x="1414"/>
        <item m="1" x="1511"/>
        <item m="1" x="337"/>
        <item m="1" x="1374"/>
        <item sd="0" m="1" x="1328"/>
        <item sd="0" m="1" x="2275"/>
        <item sd="0" m="1" x="143"/>
        <item sd="0" m="1" x="2738"/>
        <item sd="0" m="1" x="944"/>
        <item sd="0" m="1" x="2442"/>
        <item m="1" x="2635"/>
        <item sd="0" m="1" x="498"/>
        <item sd="0" m="1" x="212"/>
        <item m="1" x="2929"/>
        <item sd="0" m="1" x="930"/>
        <item m="1" x="841"/>
        <item sd="0" m="1" x="2334"/>
        <item sd="0" m="1" x="1555"/>
        <item sd="0" m="1" x="254"/>
        <item sd="0" m="1" x="689"/>
        <item sd="0" m="1" x="2430"/>
        <item m="1" x="1035"/>
        <item sd="0" m="1" x="2260"/>
        <item sd="0" m="1" x="210"/>
        <item sd="0" m="1" x="2587"/>
        <item sd="0" m="1" x="1995"/>
        <item sd="0" m="1" x="17"/>
        <item sd="0" m="1" x="1491"/>
        <item sd="0" m="1" x="1878"/>
        <item sd="0" m="1" x="1570"/>
        <item m="1" x="412"/>
        <item sd="0" m="1" x="750"/>
        <item sd="0" m="1" x="2853"/>
        <item m="1" x="2477"/>
        <item sd="0" m="1" x="1149"/>
        <item m="1" x="2350"/>
        <item m="1" x="53"/>
        <item sd="0" m="1" x="2734"/>
        <item sd="0" m="1" x="2278"/>
        <item m="1" x="1333"/>
        <item m="1" x="2490"/>
        <item sd="0" m="1" x="1416"/>
        <item sd="0" m="1" x="1208"/>
        <item m="1" x="2396"/>
        <item sd="0" m="1" x="129"/>
        <item sd="0" m="1" x="182"/>
        <item sd="0" m="1" x="421"/>
        <item sd="0" m="1" x="1943"/>
        <item sd="0" m="1" x="54"/>
        <item sd="0" m="1" x="840"/>
        <item sd="0" m="1" x="215"/>
        <item sd="0" m="1" x="706"/>
        <item sd="0" m="1" x="2093"/>
        <item sd="0" m="1" x="84"/>
        <item m="1" x="1259"/>
        <item sd="0" m="1" x="2099"/>
        <item sd="0" m="1" x="1578"/>
        <item sd="0" m="1" x="2390"/>
        <item m="1" x="2777"/>
        <item sd="0" m="1" x="1391"/>
        <item m="1" x="2687"/>
        <item sd="0" m="1" x="1397"/>
        <item sd="0" m="1" x="386"/>
        <item m="1" x="1778"/>
        <item sd="0" m="1" x="1258"/>
        <item sd="0" m="1" x="1444"/>
        <item m="1" x="2579"/>
        <item sd="0" m="1" x="1023"/>
        <item sd="0" m="1" x="48"/>
        <item m="1" x="2682"/>
        <item m="1" x="2833"/>
        <item m="1" x="1499"/>
        <item m="1" x="2468"/>
        <item m="1" x="1519"/>
        <item sd="0" m="1" x="1651"/>
        <item m="1" x="1788"/>
        <item m="1" x="141"/>
        <item m="1" x="965"/>
        <item m="1" x="2021"/>
        <item m="1" x="1313"/>
        <item m="1" x="2405"/>
        <item sd="0" m="1" x="40"/>
        <item m="1" x="1608"/>
        <item m="1" x="2560"/>
        <item m="1" x="2667"/>
        <item m="1" x="1880"/>
        <item sd="0" m="1" x="2684"/>
        <item m="1" x="466"/>
        <item m="1" x="2915"/>
        <item m="1" x="2645"/>
        <item m="1" x="1982"/>
        <item sd="0" m="1" x="2192"/>
        <item sd="0" m="1" x="2662"/>
        <item sd="0" m="1" x="1074"/>
        <item m="1" x="624"/>
        <item m="1" x="1312"/>
        <item m="1" x="2123"/>
        <item m="1" x="2191"/>
        <item m="1" x="395"/>
        <item m="1" x="830"/>
        <item m="1" x="676"/>
        <item m="1" x="305"/>
        <item m="1" x="742"/>
        <item m="1" x="1467"/>
        <item m="1" x="1439"/>
        <item m="1" x="517"/>
        <item m="1" x="571"/>
        <item m="1" x="2414"/>
        <item m="1" x="390"/>
        <item m="1" x="2823"/>
        <item m="1" x="2666"/>
        <item m="1" x="1031"/>
        <item m="1" x="2566"/>
        <item m="1" x="1710"/>
        <item m="1" x="2715"/>
        <item m="1" x="2252"/>
        <item m="1" x="268"/>
        <item m="1" x="958"/>
        <item m="1" x="2215"/>
        <item m="1" x="897"/>
        <item m="1" x="656"/>
        <item m="1" x="775"/>
        <item m="1" x="2400"/>
        <item m="1" x="1489"/>
        <item m="1" x="2335"/>
        <item sd="0" m="1" x="591"/>
        <item m="1" x="1443"/>
        <item m="1" x="1426"/>
        <item m="1" x="2118"/>
        <item m="1" x="162"/>
        <item m="1" x="2458"/>
        <item m="1" x="2201"/>
        <item m="1" x="2372"/>
        <item m="1" x="396"/>
        <item m="1" x="1541"/>
        <item m="1" x="411"/>
        <item m="1" x="148"/>
        <item m="1" x="878"/>
        <item m="1" x="26"/>
        <item m="1" x="2701"/>
        <item m="1" x="1678"/>
        <item m="1" x="2621"/>
        <item m="1" x="995"/>
        <item m="1" x="1078"/>
        <item m="1" x="2744"/>
        <item m="1" x="2910"/>
        <item m="1" x="2753"/>
        <item m="1" x="1877"/>
        <item m="1" x="2570"/>
        <item m="1" x="134"/>
        <item m="1" x="1354"/>
        <item m="1" x="361"/>
        <item m="1" x="1026"/>
        <item m="1" x="524"/>
        <item m="1" x="1419"/>
        <item m="1" x="2187"/>
        <item m="1" x="1120"/>
        <item m="1" x="178"/>
        <item m="1" x="1584"/>
        <item m="1" x="677"/>
        <item m="1" x="2165"/>
        <item m="1" x="1567"/>
        <item m="1" x="293"/>
        <item m="1" x="1325"/>
        <item m="1" x="1267"/>
        <item m="1" x="153"/>
        <item m="1" x="898"/>
        <item m="1" x="1865"/>
        <item m="1" x="1193"/>
        <item m="1" x="1507"/>
        <item m="1" x="1999"/>
        <item m="1" x="27"/>
        <item m="1" x="555"/>
        <item m="1" x="2653"/>
        <item m="1" x="1899"/>
        <item m="1" x="1914"/>
        <item m="1" x="2694"/>
        <item m="1" x="2615"/>
        <item m="1" x="269"/>
        <item m="1" x="2854"/>
        <item m="1" x="736"/>
        <item m="1" x="2248"/>
        <item m="1" x="2263"/>
        <item m="1" x="428"/>
        <item m="1" x="80"/>
        <item m="1" x="2766"/>
        <item m="1" x="2006"/>
        <item m="1" x="1632"/>
        <item m="1" x="634"/>
        <item m="1" x="2483"/>
        <item m="1" x="504"/>
        <item m="1" x="2562"/>
        <item m="1" x="2786"/>
        <item sd="0" m="1" x="2251"/>
        <item m="1" x="861"/>
        <item sd="0" m="1" x="2727"/>
        <item sd="0" m="1" x="74"/>
        <item sd="0" m="1" x="2899"/>
        <item sd="0" m="1" x="2355"/>
        <item sd="0" m="1" x="1942"/>
        <item sd="0" m="1" x="1236"/>
        <item sd="0" m="1" x="715"/>
        <item m="1" x="2591"/>
        <item sd="0" m="1" x="759"/>
        <item sd="0" m="1" x="1178"/>
        <item m="1" x="862"/>
        <item sd="0" m="1" x="1598"/>
        <item m="1" x="2176"/>
        <item sd="0" m="1" x="1213"/>
        <item m="1" x="1238"/>
        <item sd="0" m="1" x="199"/>
        <item sd="0" m="1" x="2651"/>
        <item sd="0" m="1" x="1408"/>
        <item sd="0" m="1" x="534"/>
        <item sd="0" m="1" x="519"/>
        <item sd="0" m="1" x="1383"/>
        <item sd="0" m="1" x="690"/>
        <item sd="0" m="1" x="387"/>
        <item m="1" x="2821"/>
        <item sd="0" m="1" x="1731"/>
        <item m="1" x="2809"/>
        <item sd="0" m="1" x="850"/>
        <item sd="0" m="1" x="2340"/>
        <item sd="0" m="1" x="461"/>
        <item m="1" x="2659"/>
        <item sd="0" m="1" x="1656"/>
        <item sd="0" m="1" x="264"/>
        <item sd="0" m="1" x="713"/>
        <item sd="0" m="1" x="1580"/>
        <item sd="0" m="1" x="785"/>
        <item sd="0" m="1" x="2995"/>
        <item sd="0" m="1" x="453"/>
        <item sd="0" m="1" x="600"/>
        <item sd="0" m="1" x="1959"/>
        <item sd="0" m="1" x="2000"/>
        <item m="1" x="1547"/>
        <item sd="0" m="1" x="2508"/>
        <item sd="0" m="1" x="2718"/>
        <item m="1" x="1341"/>
        <item sd="0" m="1" x="2301"/>
        <item m="1" x="184"/>
        <item sd="0" m="1" x="456"/>
        <item m="1" x="756"/>
        <item sd="0" m="1" x="1380"/>
        <item sd="0" m="1" x="2505"/>
        <item sd="0" m="1" x="2040"/>
        <item sd="0" m="1" x="1038"/>
        <item m="1" x="790"/>
        <item m="1" x="889"/>
        <item sd="0" m="1" x="1126"/>
        <item m="1" x="2569"/>
        <item m="1" x="1446"/>
        <item sd="0" m="1" x="2644"/>
        <item sd="0" m="1" x="522"/>
        <item sd="0" m="1" x="1817"/>
        <item sd="0" m="1" x="194"/>
        <item sd="0" m="1" x="1532"/>
        <item sd="0" m="1" x="2913"/>
        <item sd="0" m="1" x="501"/>
        <item sd="0" m="1" x="516"/>
        <item sd="0" m="1" x="1050"/>
        <item sd="0" m="1" x="1155"/>
        <item sd="0" m="1" x="2354"/>
        <item sd="0" m="1" x="1239"/>
        <item sd="0" m="1" x="2889"/>
        <item sd="0" m="1" x="1014"/>
        <item sd="0" m="1" x="1230"/>
        <item sd="0" m="1" x="2151"/>
        <item m="1" x="1665"/>
        <item sd="0" m="1" x="1477"/>
        <item sd="0" m="1" x="1277"/>
        <item sd="0" m="1" x="497"/>
        <item sd="0" m="1" x="202"/>
        <item sd="0" m="1" x="1603"/>
        <item sd="0" m="1" x="2449"/>
        <item sd="0" m="1" x="1640"/>
        <item m="1" x="1488"/>
        <item sd="0" m="1" x="2534"/>
        <item m="1" x="2374"/>
        <item sd="0" m="1" x="1104"/>
        <item sd="0" m="1" x="2845"/>
        <item m="1" x="1307"/>
        <item sd="0" m="1" x="2888"/>
        <item m="1" x="1931"/>
        <item m="1" x="669"/>
        <item sd="0" m="1" x="2588"/>
        <item sd="0" m="1" x="122"/>
        <item m="1" x="259"/>
        <item m="1" x="1968"/>
        <item m="1" x="906"/>
        <item m="1" x="1549"/>
        <item m="1" x="1362"/>
        <item sd="0" m="1" x="844"/>
        <item m="1" x="2142"/>
        <item sd="0" m="1" x="1682"/>
        <item m="1" x="2070"/>
        <item sd="0" m="1" x="49"/>
        <item sd="0" m="1" x="281"/>
        <item m="1" x="586"/>
        <item m="1" x="15"/>
        <item m="1" x="990"/>
        <item m="1" x="911"/>
        <item m="1" x="426"/>
        <item m="1" x="2212"/>
        <item m="1" x="1428"/>
        <item m="1" x="2119"/>
        <item m="1" x="1018"/>
        <item m="1" x="1161"/>
        <item m="1" x="2754"/>
        <item m="1" x="2437"/>
        <item sd="0" m="1" x="41"/>
        <item sd="0" m="1" x="2289"/>
        <item m="1" x="2347"/>
        <item m="1" x="187"/>
        <item m="1" x="1828"/>
        <item m="1" x="1030"/>
        <item sd="0" m="1" x="2686"/>
        <item sd="0" m="1" x="2265"/>
        <item m="1" x="1216"/>
        <item m="1" x="1221"/>
        <item m="1" x="106"/>
        <item m="1" x="1452"/>
        <item m="1" x="1857"/>
        <item sd="0" m="1" x="2825"/>
        <item sd="0" m="1" x="2193"/>
        <item sd="0" m="1" x="2544"/>
        <item sd="0" m="1" x="745"/>
        <item sd="0" m="1" x="1741"/>
        <item sd="0" m="1" x="2808"/>
        <item sd="0" m="1" x="2269"/>
        <item sd="0" m="1" x="635"/>
        <item sd="0" m="1" x="2848"/>
        <item sd="0" m="1" x="1742"/>
        <item sd="0" m="1" x="2515"/>
        <item m="1" x="1864"/>
        <item sd="0" m="1" x="1075"/>
        <item sd="0" m="1" x="86"/>
        <item m="1" x="2101"/>
        <item m="1" x="158"/>
        <item m="1" x="2907"/>
        <item m="1" x="500"/>
        <item m="1" x="505"/>
        <item m="1" x="1322"/>
        <item m="1" x="726"/>
        <item m="1" x="1523"/>
        <item m="1" x="887"/>
        <item m="1" x="1019"/>
        <item m="1" x="2722"/>
        <item m="1" x="1266"/>
        <item m="1" x="2305"/>
        <item m="1" x="1859"/>
        <item m="1" x="2663"/>
        <item m="1" x="2827"/>
        <item m="1" x="1514"/>
        <item m="1" x="578"/>
        <item m="1" x="2409"/>
        <item m="1" x="2358"/>
        <item m="1" x="2014"/>
        <item m="1" x="354"/>
        <item m="1" x="277"/>
        <item m="1" x="953"/>
        <item m="1" x="51"/>
        <item m="1" x="721"/>
        <item m="1" x="1403"/>
        <item m="1" x="2199"/>
        <item m="1" x="246"/>
        <item m="1" x="2333"/>
        <item m="1" x="1773"/>
        <item m="1" x="2162"/>
        <item m="1" x="711"/>
        <item m="1" x="764"/>
        <item m="1" x="2989"/>
        <item m="1" x="109"/>
        <item m="1" x="167"/>
        <item m="1" x="350"/>
        <item m="1" x="2963"/>
        <item m="1" x="249"/>
        <item m="1" x="2439"/>
        <item m="1" x="73"/>
        <item m="1" x="3007"/>
        <item m="1" x="2964"/>
        <item m="1" x="1069"/>
        <item m="1" x="1298"/>
        <item m="1" x="2138"/>
        <item m="1" x="2861"/>
        <item m="1" x="193"/>
        <item m="1" x="1387"/>
        <item m="1" x="2772"/>
        <item m="1" x="1743"/>
        <item m="1" x="1866"/>
        <item m="1" x="1994"/>
        <item m="1" x="2218"/>
        <item m="1" x="2549"/>
        <item m="1" x="871"/>
        <item m="1" x="602"/>
        <item m="1" x="1885"/>
        <item m="1" x="1604"/>
        <item m="1" x="1563"/>
        <item m="1" x="590"/>
        <item m="1" x="691"/>
        <item m="1" x="1591"/>
        <item m="1" x="1324"/>
        <item m="1" x="1663"/>
        <item m="1" x="915"/>
        <item m="1" x="1753"/>
        <item m="1" x="1661"/>
        <item m="1" x="2874"/>
        <item m="1" x="1858"/>
        <item m="1" x="2510"/>
        <item m="1" x="332"/>
        <item m="1" x="2369"/>
        <item m="1" x="2559"/>
        <item m="1" x="1920"/>
        <item m="1" x="2324"/>
        <item m="1" x="1807"/>
        <item m="1" x="1430"/>
        <item m="1" x="533"/>
        <item m="1" x="1068"/>
        <item m="1" x="338"/>
        <item m="1" x="316"/>
        <item m="1" x="1812"/>
        <item m="1" x="1884"/>
        <item m="1" x="678"/>
        <item m="1" x="2336"/>
        <item m="1" x="2126"/>
        <item m="1" x="744"/>
        <item m="1" x="2617"/>
        <item m="1" x="776"/>
        <item m="1" x="117"/>
        <item m="1" x="2069"/>
        <item m="1" x="1761"/>
        <item m="1" x="837"/>
        <item m="1" x="89"/>
        <item m="1" x="1063"/>
        <item m="1" x="865"/>
        <item m="1" x="1334"/>
        <item m="1" x="2902"/>
        <item m="1" x="589"/>
        <item m="1" x="1451"/>
        <item m="1" x="1386"/>
        <item m="1" x="1057"/>
        <item m="1" x="418"/>
        <item m="1" x="603"/>
        <item m="1" x="1461"/>
        <item m="1" x="620"/>
        <item m="1" x="427"/>
        <item m="1" x="849"/>
        <item m="1" x="743"/>
        <item m="1" x="2385"/>
        <item m="1" x="1583"/>
        <item m="1" x="946"/>
        <item m="1" x="644"/>
        <item m="1" x="679"/>
        <item m="1" x="940"/>
        <item m="1" x="1137"/>
        <item m="1" x="139"/>
        <item m="1" x="1476"/>
        <item m="1" x="2217"/>
        <item m="1" x="2042"/>
        <item m="1" x="1093"/>
        <item m="1" x="2127"/>
        <item m="1" x="2855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8">
        <item m="1" x="10"/>
        <item m="1" x="11"/>
        <item m="1" x="13"/>
        <item m="1" x="23"/>
        <item m="1" x="4"/>
        <item x="0"/>
        <item m="1" x="21"/>
        <item m="1" x="25"/>
        <item m="1" x="2"/>
        <item m="1" x="8"/>
        <item m="1" x="9"/>
        <item m="1" x="17"/>
        <item m="1" x="3"/>
        <item m="1" x="7"/>
        <item m="1" x="18"/>
        <item m="1" x="26"/>
        <item m="1" x="22"/>
        <item m="1" x="5"/>
        <item m="1" x="19"/>
        <item m="1" x="24"/>
        <item m="1" x="1"/>
        <item m="1" x="6"/>
        <item m="1" x="12"/>
        <item m="1" x="14"/>
        <item m="1" x="20"/>
        <item m="1" x="15"/>
        <item m="1" x="16"/>
        <item t="default"/>
      </items>
    </pivotField>
    <pivotField axis="axisPage" showAll="0">
      <items count="2381">
        <item m="1" x="282"/>
        <item m="1" x="2353"/>
        <item m="1" x="264"/>
        <item m="1" x="1719"/>
        <item m="1" x="2013"/>
        <item m="1" x="228"/>
        <item m="1" x="518"/>
        <item m="1" x="721"/>
        <item m="1" x="1016"/>
        <item m="1" x="1170"/>
        <item m="1" x="112"/>
        <item m="1" x="978"/>
        <item m="1" x="1280"/>
        <item m="1" x="1420"/>
        <item m="1" x="1573"/>
        <item m="1" x="1710"/>
        <item m="1" x="1861"/>
        <item m="1" x="2005"/>
        <item m="1" x="1671"/>
        <item m="1" x="1824"/>
        <item m="1" x="1000"/>
        <item m="1" x="2099"/>
        <item m="1" x="2177"/>
        <item m="1" x="96"/>
        <item m="1" x="240"/>
        <item m="1" x="458"/>
        <item m="1" x="1183"/>
        <item m="1" x="2203"/>
        <item m="1" x="2279"/>
        <item m="1" x="52"/>
        <item m="1" x="122"/>
        <item m="1" x="197"/>
        <item m="1" x="266"/>
        <item m="1" x="337"/>
        <item m="1" x="408"/>
        <item m="1" x="484"/>
        <item m="1" x="557"/>
        <item m="1" x="1360"/>
        <item m="1" x="1433"/>
        <item m="1" x="1507"/>
        <item m="1" x="1582"/>
        <item m="1" x="2015"/>
        <item m="1" x="2086"/>
        <item m="1" x="2163"/>
        <item m="1" x="2241"/>
        <item m="1" x="2316"/>
        <item m="1" x="11"/>
        <item m="1" x="83"/>
        <item m="1" x="158"/>
        <item m="1" x="659"/>
        <item m="1" x="728"/>
        <item m="1" x="809"/>
        <item m="1" x="875"/>
        <item m="1" x="949"/>
        <item m="1" x="1022"/>
        <item m="1" x="1101"/>
        <item m="1" x="1175"/>
        <item m="1" x="1251"/>
        <item m="1" x="1323"/>
        <item m="1" x="1394"/>
        <item m="1" x="1466"/>
        <item m="1" x="1544"/>
        <item m="1" x="1614"/>
        <item m="1" x="1683"/>
        <item m="1" x="1758"/>
        <item m="1" x="1834"/>
        <item m="1" x="2349"/>
        <item m="1" x="118"/>
        <item m="1" x="193"/>
        <item m="1" x="261"/>
        <item m="1" x="332"/>
        <item m="1" x="404"/>
        <item m="1" x="480"/>
        <item m="1" x="551"/>
        <item m="1" x="624"/>
        <item m="1" x="688"/>
        <item m="1" x="764"/>
        <item m="1" x="842"/>
        <item m="1" x="913"/>
        <item m="1" x="983"/>
        <item m="1" x="1058"/>
        <item m="1" x="1210"/>
        <item m="1" x="1284"/>
        <item m="1" x="1356"/>
        <item m="1" x="1427"/>
        <item m="1" x="1505"/>
        <item m="1" x="1579"/>
        <item m="1" x="1646"/>
        <item m="1" x="1716"/>
        <item m="1" x="1867"/>
        <item m="1" x="1936"/>
        <item m="1" x="2010"/>
        <item m="1" x="6"/>
        <item m="1" x="78"/>
        <item m="1" x="154"/>
        <item m="1" x="226"/>
        <item m="1" x="296"/>
        <item m="1" x="1095"/>
        <item m="1" x="1171"/>
        <item m="1" x="1246"/>
        <item m="1" x="1318"/>
        <item m="1" x="1678"/>
        <item m="1" x="1463"/>
        <item m="1" x="1830"/>
        <item m="1" x="1897"/>
        <item m="1" x="2345"/>
        <item m="1" x="1"/>
        <item m="1" x="328"/>
        <item m="1" x="189"/>
        <item m="1" x="399"/>
        <item m="1" x="366"/>
        <item m="1" x="256"/>
        <item m="1" x="44"/>
        <item m="1" x="1511"/>
        <item m="1" x="293"/>
        <item m="1" x="1607"/>
        <item m="1" x="129"/>
        <item m="1" x="788"/>
        <item m="1" x="1919"/>
        <item m="1" x="1882"/>
        <item m="1" x="93"/>
        <item m="1" x="2303"/>
        <item m="1" x="2092"/>
        <item m="1" x="2159"/>
        <item m="1" x="1755"/>
        <item m="1" x="4"/>
        <item m="1" x="439"/>
        <item m="1" x="477"/>
        <item m="1" x="1451"/>
        <item m="1" x="956"/>
        <item m="1" x="879"/>
        <item m="1" x="547"/>
        <item m="1" x="56"/>
        <item m="1" x="723"/>
        <item m="1" x="587"/>
        <item m="1" x="441"/>
        <item m="1" x="515"/>
        <item m="1" x="620"/>
        <item m="1" x="1180"/>
        <item m="1" x="1469"/>
        <item m="1" x="1761"/>
        <item m="1" x="586"/>
        <item m="1" x="805"/>
        <item m="1" x="870"/>
        <item m="1" x="1675"/>
        <item m="1" x="1281"/>
        <item m="1" x="1971"/>
        <item m="1" x="941"/>
        <item m="1" x="186"/>
        <item m="1" x="1450"/>
        <item m="1" x="2154"/>
        <item m="1" x="1243"/>
        <item m="1" x="1422"/>
        <item m="1" x="222"/>
        <item m="1" x="1314"/>
        <item m="1" x="1093"/>
        <item m="1" x="908"/>
        <item m="1" x="1958"/>
        <item m="1" x="1612"/>
        <item m="1" x="1712"/>
        <item m="1" x="41"/>
        <item m="1" x="980"/>
        <item m="1" x="2305"/>
        <item m="1" x="1052"/>
        <item m="1" x="1966"/>
        <item m="1" x="1575"/>
        <item m="1" x="502"/>
        <item m="1" x="1168"/>
        <item m="1" x="1206"/>
        <item m="1" x="147"/>
        <item m="1" x="1129"/>
        <item m="1" x="363"/>
        <item m="1" x="617"/>
        <item m="1" x="650"/>
        <item m="1" x="680"/>
        <item m="1" x="581"/>
        <item m="1" x="396"/>
        <item m="1" x="435"/>
        <item m="1" x="474"/>
        <item m="1" x="509"/>
        <item m="1" x="545"/>
        <item m="1" x="718"/>
        <item m="1" x="756"/>
        <item m="1" x="800"/>
        <item m="1" x="836"/>
        <item m="1" x="866"/>
        <item m="1" x="938"/>
        <item m="1" x="976"/>
        <item m="1" x="905"/>
        <item m="1" x="1011"/>
        <item m="1" x="1049"/>
        <item m="1" x="1090"/>
        <item m="1" x="1165"/>
        <item m="1" x="1127"/>
        <item m="1" x="1278"/>
        <item m="1" x="1203"/>
        <item m="1" x="1240"/>
        <item m="1" x="1526"/>
        <item m="1" x="1878"/>
        <item m="1" x="1347"/>
        <item m="1" x="1311"/>
        <item m="1" x="368"/>
        <item m="1" x="1384"/>
        <item m="1" x="1458"/>
        <item m="1" x="1497"/>
        <item m="1" x="1418"/>
        <item m="1" x="1536"/>
        <item m="1" x="1571"/>
        <item m="1" x="1709"/>
        <item m="1" x="1748"/>
        <item m="1" x="1788"/>
        <item m="1" x="1637"/>
        <item m="1" x="1673"/>
        <item m="1" x="1605"/>
        <item m="1" x="1929"/>
        <item m="1" x="1968"/>
        <item m="1" x="2004"/>
        <item m="1" x="2041"/>
        <item m="1" x="2113"/>
        <item m="1" x="2076"/>
        <item m="1" x="2150"/>
        <item m="1" x="2267"/>
        <item m="1" x="2190"/>
        <item m="1" x="2227"/>
        <item m="1" x="2339"/>
        <item m="1" x="38"/>
        <item m="1" x="2377"/>
        <item m="1" x="218"/>
        <item m="1" x="251"/>
        <item m="1" x="70"/>
        <item m="1" x="108"/>
        <item m="1" x="144"/>
        <item m="1" x="359"/>
        <item m="1" x="324"/>
        <item m="1" x="288"/>
        <item m="1" x="393"/>
        <item m="1" x="753"/>
        <item m="1" x="432"/>
        <item m="1" x="471"/>
        <item m="1" x="796"/>
        <item m="1" x="833"/>
        <item m="1" x="863"/>
        <item m="1" x="936"/>
        <item m="1" x="1237"/>
        <item m="1" x="1046"/>
        <item m="1" x="1124"/>
        <item m="1" x="1275"/>
        <item m="1" x="973"/>
        <item m="1" x="1200"/>
        <item m="1" x="1308"/>
        <item m="1" x="1162"/>
        <item m="1" x="1086"/>
        <item m="1" x="1344"/>
        <item m="1" x="1534"/>
        <item m="1" x="1857"/>
        <item m="1" x="1892"/>
        <item m="1" x="1634"/>
        <item m="1" x="1785"/>
        <item m="1" x="1217"/>
        <item m="1" x="1566"/>
        <item m="1" x="1382"/>
        <item m="1" x="1745"/>
        <item m="1" x="595"/>
        <item m="1" x="1670"/>
        <item m="1" x="1706"/>
        <item m="1" x="1822"/>
        <item m="1" x="1964"/>
        <item m="1" x="246"/>
        <item m="1" x="2001"/>
        <item m="1" x="2038"/>
        <item m="1" x="1926"/>
        <item m="1" x="2073"/>
        <item m="1" x="216"/>
        <item m="1" x="286"/>
        <item m="1" x="322"/>
        <item m="1" x="429"/>
        <item m="1" x="468"/>
        <item m="1" x="505"/>
        <item m="1" x="900"/>
        <item m="1" x="933"/>
        <item m="1" x="105"/>
        <item m="1" x="2299"/>
        <item m="1" x="751"/>
        <item m="1" x="2336"/>
        <item m="1" x="793"/>
        <item m="1" x="576"/>
        <item m="1" x="831"/>
        <item m="1" x="2109"/>
        <item m="1" x="1234"/>
        <item m="1" x="1272"/>
        <item m="1" x="2374"/>
        <item m="1" x="970"/>
        <item m="1" x="1197"/>
        <item m="1" x="1042"/>
        <item m="1" x="1083"/>
        <item m="1" x="1007"/>
        <item m="1" x="1305"/>
        <item m="1" x="1341"/>
        <item m="1" x="1121"/>
        <item m="1" x="1160"/>
        <item m="1" x="2187"/>
        <item m="1" x="613"/>
        <item m="1" x="2224"/>
        <item m="1" x="646"/>
        <item m="1" x="2263"/>
        <item m="1" x="677"/>
        <item m="1" x="34"/>
        <item m="1" x="392"/>
        <item m="1" x="2146"/>
        <item m="1" x="713"/>
        <item m="1" x="1781"/>
        <item m="1" x="1379"/>
        <item m="1" x="1819"/>
        <item m="1" x="1667"/>
        <item m="1" x="1856"/>
        <item m="1" x="1454"/>
        <item m="1" x="1703"/>
        <item m="1" x="1529"/>
        <item m="1" x="1564"/>
        <item m="1" x="103"/>
        <item m="1" x="139"/>
        <item m="1" x="32"/>
        <item m="1" x="66"/>
        <item m="1" x="2333"/>
        <item m="1" x="2370"/>
        <item m="1" x="2220"/>
        <item m="1" x="1890"/>
        <item m="1" x="2070"/>
        <item m="1" x="2105"/>
        <item m="1" x="2142"/>
        <item m="1" x="2184"/>
        <item m="1" x="2296"/>
        <item m="1" x="2262"/>
        <item m="1" x="1961"/>
        <item m="1" x="1999"/>
        <item m="1" x="181"/>
        <item m="1" x="2037"/>
        <item m="1" x="214"/>
        <item m="1" x="283"/>
        <item m="1" x="354"/>
        <item m="1" x="319"/>
        <item m="1" x="542"/>
        <item m="1" x="466"/>
        <item m="1" x="427"/>
        <item m="1" x="503"/>
        <item m="1" x="574"/>
        <item m="1" x="644"/>
        <item m="1" x="676"/>
        <item m="1" x="711"/>
        <item m="1" x="750"/>
        <item m="1" x="791"/>
        <item m="1" x="932"/>
        <item m="1" x="1082"/>
        <item m="1" x="1452"/>
        <item m="1" x="1414"/>
        <item m="1" x="1157"/>
        <item m="1" x="1196"/>
        <item m="1" x="1233"/>
        <item m="1" x="1378"/>
        <item m="1" x="1303"/>
        <item m="1" x="1271"/>
        <item m="1" x="1340"/>
        <item m="1" x="1490"/>
        <item m="1" x="1528"/>
        <item m="1" x="2104"/>
        <item m="1" x="2369"/>
        <item m="1" x="180"/>
        <item m="1" x="1998"/>
        <item m="1" x="1855"/>
        <item m="1" x="31"/>
        <item m="1" x="1818"/>
        <item m="1" x="65"/>
        <item m="1" x="2261"/>
        <item m="1" x="138"/>
        <item m="1" x="2035"/>
        <item m="1" x="2068"/>
        <item m="1" x="1780"/>
        <item m="1" x="102"/>
        <item m="1" x="2219"/>
        <item m="1" x="1960"/>
        <item m="1" x="2182"/>
        <item m="1" x="2331"/>
        <item m="1" x="2295"/>
        <item m="1" x="213"/>
        <item m="1" x="247"/>
        <item m="1" x="281"/>
        <item m="1" x="353"/>
        <item m="1" x="318"/>
        <item m="1" x="611"/>
        <item m="1" x="389"/>
        <item m="1" x="541"/>
        <item m="1" x="675"/>
        <item m="1" x="710"/>
        <item m="1" x="931"/>
        <item m="1" x="897"/>
        <item m="1" x="858"/>
        <item m="1" x="828"/>
        <item m="1" x="749"/>
        <item m="1" x="790"/>
        <item m="1" x="967"/>
        <item m="1" x="1041"/>
        <item m="1" x="1232"/>
        <item m="1" x="1156"/>
        <item m="1" x="1004"/>
        <item m="1" x="1081"/>
        <item m="1" x="1195"/>
        <item m="1" x="1118"/>
        <item m="1" x="1600"/>
        <item m="1" x="1702"/>
        <item m="1" x="1632"/>
        <item m="1" x="2140"/>
        <item m="1" x="1666"/>
        <item m="1" x="1489"/>
        <item m="1" x="1527"/>
        <item m="1" x="1302"/>
        <item m="1" x="1562"/>
        <item m="1" x="1449"/>
        <item m="1" x="1740"/>
        <item m="1" x="30"/>
        <item m="1" x="1269"/>
        <item m="1" x="1412"/>
        <item m="1" x="1923"/>
        <item m="1" x="1959"/>
        <item m="1" x="1997"/>
        <item m="1" x="2033"/>
        <item m="1" x="2067"/>
        <item m="1" x="2103"/>
        <item m="1" x="1377"/>
        <item m="1" x="1779"/>
        <item m="1" x="1853"/>
        <item m="1" x="1888"/>
        <item m="1" x="1339"/>
        <item m="1" x="426"/>
        <item m="1" x="352"/>
        <item m="1" x="388"/>
        <item m="1" x="465"/>
        <item m="1" x="211"/>
        <item m="1" x="317"/>
        <item m="1" x="179"/>
        <item m="1" x="63"/>
        <item m="1" x="101"/>
        <item m="1" x="137"/>
        <item m="1" x="245"/>
        <item m="1" x="501"/>
        <item m="1" x="789"/>
        <item m="1" x="643"/>
        <item m="1" x="857"/>
        <item m="1" x="929"/>
        <item m="1" x="1155"/>
        <item m="1" x="896"/>
        <item m="1" x="1338"/>
        <item m="1" x="1117"/>
        <item m="1" x="748"/>
        <item m="1" x="540"/>
        <item m="1" x="709"/>
        <item m="1" x="1194"/>
        <item m="1" x="1230"/>
        <item m="1" x="1376"/>
        <item m="1" x="1409"/>
        <item m="1" x="1080"/>
        <item m="1" x="827"/>
        <item m="1" x="1268"/>
        <item m="1" x="1301"/>
        <item m="1" x="573"/>
        <item m="1" x="1040"/>
        <item m="1" x="674"/>
        <item m="1" x="966"/>
        <item m="1" x="610"/>
        <item m="1" x="1003"/>
        <item m="1" x="1994"/>
        <item m="1" x="1914"/>
        <item m="1" x="1679"/>
        <item m="1" x="1642"/>
        <item m="1" x="1014"/>
        <item m="1" x="1609"/>
        <item m="1" x="2193"/>
        <item m="1" x="975"/>
        <item m="1" x="1570"/>
        <item m="1" x="2149"/>
        <item m="1" x="358"/>
        <item m="1" x="1533"/>
        <item m="1" x="2108"/>
        <item m="1" x="321"/>
        <item m="1" x="899"/>
        <item m="1" x="1996"/>
        <item m="1" x="210"/>
        <item m="1" x="1375"/>
        <item m="1" x="1956"/>
        <item m="1" x="428"/>
        <item m="1" x="422"/>
        <item m="1" x="555"/>
        <item m="1" x="846"/>
        <item m="1" x="1137"/>
        <item m="1" x="868"/>
        <item m="1" x="763"/>
        <item m="1" x="1056"/>
        <item m="1" x="1645"/>
        <item m="1" x="2234"/>
        <item m="1" x="837"/>
        <item m="1" x="2327"/>
        <item m="1" x="23"/>
        <item m="1" x="2111"/>
        <item m="1" x="2265"/>
        <item m="1" x="36"/>
        <item m="1" x="901"/>
        <item m="1" x="1044"/>
        <item m="1" x="1198"/>
        <item m="1" x="1342"/>
        <item m="1" x="2022"/>
        <item m="1" x="2255"/>
        <item m="1" x="1771"/>
        <item m="1" x="2168"/>
        <item m="1" x="2248"/>
        <item m="1" x="279"/>
        <item m="1" x="1846"/>
        <item m="1" x="2321"/>
        <item m="1" x="18"/>
        <item m="1" x="2222"/>
        <item m="1" x="1158"/>
        <item m="1" x="1304"/>
        <item m="1" x="1453"/>
        <item m="1" x="712"/>
        <item m="1" x="1601"/>
        <item m="1" x="1742"/>
        <item m="1" x="1889"/>
        <item m="1" x="1005"/>
        <item m="1" x="1987"/>
        <item m="1" x="1292"/>
        <item m="1" x="1366"/>
        <item m="1" x="425"/>
        <item m="1" x="463"/>
        <item m="1" x="500"/>
        <item m="1" x="1854"/>
        <item m="1" x="2141"/>
        <item m="1" x="212"/>
        <item m="1" x="609"/>
        <item m="1" x="747"/>
        <item m="1" x="895"/>
        <item m="1" x="641"/>
        <item m="1" x="1110"/>
        <item m="1" x="1187"/>
        <item m="1" x="1261"/>
        <item m="1" x="2294"/>
        <item m="1" x="1931"/>
        <item m="1" x="424"/>
        <item m="1" x="889"/>
        <item m="1" x="1144"/>
        <item m="1" x="1222"/>
        <item m="1" x="1331"/>
        <item m="1" x="2209"/>
        <item m="1" x="1479"/>
        <item m="1" x="992"/>
        <item m="1" x="2126"/>
        <item m="1" x="693"/>
        <item m="1" x="769"/>
        <item m="1" x="944"/>
        <item m="1" x="1017"/>
        <item m="1" x="656"/>
        <item m="1" x="2233"/>
        <item m="1" x="326"/>
        <item m="1" x="1751"/>
        <item m="1" x="1790"/>
        <item m="1" x="1827"/>
        <item m="1" x="2007"/>
        <item m="1" x="2044"/>
        <item m="1" x="2078"/>
        <item m="1" x="2194"/>
        <item m="1" x="2270"/>
        <item m="1" x="2342"/>
        <item m="1" x="1495"/>
        <item m="1" x="2213"/>
        <item m="1" x="1371"/>
        <item m="1" x="923"/>
        <item m="1" x="2135"/>
        <item m="1" x="249"/>
        <item m="1" x="356"/>
        <item m="1" x="543"/>
        <item m="1" x="1079"/>
        <item m="1" x="1734"/>
        <item m="1" x="2175"/>
        <item m="1" x="996"/>
        <item m="1" x="1434"/>
        <item m="1" x="539"/>
        <item m="1" x="1774"/>
        <item m="1" x="1480"/>
        <item m="1" x="1988"/>
        <item m="1" x="1741"/>
        <item m="1" x="2259"/>
        <item m="1" x="351"/>
        <item m="1" x="786"/>
        <item m="1" x="538"/>
        <item m="1" x="382"/>
        <item m="1" x="635"/>
        <item m="1" x="1945"/>
        <item m="1" x="1149"/>
        <item m="1" x="2363"/>
        <item m="1" x="1189"/>
        <item m="1" x="527"/>
        <item m="1" x="1726"/>
        <item m="1" x="1922"/>
        <item m="1" x="1957"/>
        <item m="1" x="1995"/>
        <item m="1" x="2181"/>
        <item m="1" x="99"/>
        <item m="1" x="136"/>
        <item m="1" x="177"/>
        <item m="1" x="1524"/>
        <item m="1" x="1560"/>
        <item m="1" x="1739"/>
        <item m="1" x="1776"/>
        <item m="1" x="856"/>
        <item m="1" x="964"/>
        <item m="1" x="1407"/>
        <item m="1" x="1558"/>
        <item m="1" x="1484"/>
        <item m="1" x="423"/>
        <item m="1" x="1917"/>
        <item m="1" x="742"/>
        <item m="1" x="1953"/>
        <item m="1" x="784"/>
        <item m="1" x="1992"/>
        <item m="1" x="823"/>
        <item m="1" x="2029"/>
        <item m="1" x="853"/>
        <item m="1" x="2063"/>
        <item m="1" x="892"/>
        <item m="1" x="2137"/>
        <item m="1" x="962"/>
        <item m="1" x="998"/>
        <item m="1" x="1385"/>
        <item m="1" x="1989"/>
        <item m="1" x="221"/>
        <item m="1" x="456"/>
        <item m="1" x="1398"/>
        <item m="1" x="689"/>
        <item m="1" x="1899"/>
        <item m="1" x="2133"/>
        <item m="1" x="699"/>
        <item m="1" x="2207"/>
        <item m="1" x="1031"/>
        <item m="1" x="1860"/>
        <item m="1" x="2252"/>
        <item m="1" x="864"/>
        <item m="1" x="1477"/>
        <item m="1" x="1772"/>
        <item m="1" x="637"/>
        <item m="1" x="1731"/>
        <item m="1" x="565"/>
        <item m="1" x="307"/>
        <item m="1" x="1515"/>
        <item m="1" x="344"/>
        <item m="1" x="338"/>
        <item m="1" x="1981"/>
        <item m="1" x="1616"/>
        <item m="1" x="2275"/>
        <item m="1" x="192"/>
        <item m="1" x="1657"/>
        <item m="1" x="1693"/>
        <item m="1" x="1844"/>
        <item m="1" x="340"/>
        <item m="1" x="2117"/>
        <item m="1" x="20"/>
        <item m="1" x="884"/>
        <item m="1" x="1494"/>
        <item m="1" x="1603"/>
        <item m="1" x="778"/>
        <item m="1" x="1508"/>
        <item m="1" x="448"/>
        <item m="1" x="1649"/>
        <item m="1" x="301"/>
        <item m="1" x="2049"/>
        <item m="1" x="877"/>
        <item m="1" x="2087"/>
        <item m="1" x="374"/>
        <item m="1" x="524"/>
        <item m="1" x="1983"/>
        <item m="1" x="812"/>
        <item m="1" x="663"/>
        <item m="1" x="732"/>
        <item m="1" x="880"/>
        <item m="1" x="629"/>
        <item m="1" x="1837"/>
        <item m="1" x="2054"/>
        <item m="1" x="411"/>
        <item m="1" x="916"/>
        <item m="1" x="2280"/>
        <item m="1" x="1103"/>
        <item m="1" x="1435"/>
        <item m="1" x="768"/>
        <item m="1" x="156"/>
        <item m="1" x="418"/>
        <item m="1" x="1880"/>
        <item m="1" x="2131"/>
        <item m="1" x="236"/>
        <item m="1" x="1438"/>
        <item m="1" x="1724"/>
        <item m="1" x="1432"/>
        <item m="1" x="263"/>
        <item m="1" x="1947"/>
        <item m="1" x="2251"/>
        <item m="1" x="2283"/>
        <item m="1" x="1107"/>
        <item m="1" x="2017"/>
        <item m="1" x="1257"/>
        <item m="1" x="409"/>
        <item m="1" x="736"/>
        <item m="1" x="883"/>
        <item m="1" x="2244"/>
        <item m="1" x="1065"/>
        <item m="1" x="816"/>
        <item m="1" x="165"/>
        <item m="1" x="1364"/>
        <item m="1" x="1985"/>
        <item m="1" x="200"/>
        <item m="1" x="1402"/>
        <item m="1" x="2317"/>
        <item m="1" x="1138"/>
        <item m="1" x="2352"/>
        <item m="1" x="2056"/>
        <item m="1" x="1220"/>
        <item m="1" x="54"/>
        <item m="1" x="775"/>
        <item m="1" x="2249"/>
        <item m="1" x="1069"/>
        <item m="1" x="2093"/>
        <item m="1" x="2359"/>
        <item m="1" x="413"/>
        <item m="1" x="1619"/>
        <item m="1" x="1441"/>
        <item m="1" x="1729"/>
        <item m="1" x="1474"/>
        <item m="1" x="305"/>
        <item m="1" x="272"/>
        <item m="1" x="563"/>
        <item m="1" x="270"/>
        <item m="1" x="1025"/>
        <item m="1" x="488"/>
        <item m="1" x="1767"/>
        <item m="1" x="1908"/>
        <item m="1" x="2206"/>
        <item m="1" x="1029"/>
        <item m="1" x="1326"/>
        <item m="1" x="1799"/>
        <item m="1" x="560"/>
        <item m="1" x="1062"/>
        <item m="1" x="2277"/>
        <item m="1" x="773"/>
        <item m="1" x="2166"/>
        <item m="1" x="989"/>
        <item m="1" x="562"/>
        <item m="1" x="1765"/>
        <item m="1" x="598"/>
        <item m="1" x="1179"/>
        <item m="1" x="336"/>
        <item m="1" x="1836"/>
        <item m="1" x="303"/>
        <item m="1" x="1651"/>
        <item m="1" x="662"/>
        <item m="1" x="1874"/>
        <item m="1" x="1253"/>
        <item m="1" x="2201"/>
        <item m="1" x="1024"/>
        <item m="1" x="2242"/>
        <item m="1" x="848"/>
        <item m="1" x="2051"/>
        <item m="1" x="627"/>
        <item m="1" x="1177"/>
        <item m="1" x="449"/>
        <item m="1" x="694"/>
        <item m="1" x="1903"/>
        <item m="1" x="1548"/>
        <item m="1" x="1586"/>
        <item m="1" x="558"/>
        <item m="1" x="1762"/>
        <item m="1" x="2020"/>
        <item m="1" x="1473"/>
        <item m="1" x="2319"/>
        <item m="1" x="1140"/>
        <item m="1" x="1982"/>
        <item m="1" x="2088"/>
        <item m="1" x="2318"/>
        <item m="1" x="300"/>
        <item m="1" x="1797"/>
        <item m="1" x="1256"/>
        <item m="1" x="487"/>
        <item m="1" x="485"/>
        <item m="1" x="593"/>
        <item m="1" x="2155"/>
        <item m="1" x="1188"/>
        <item m="1" x="1789"/>
        <item m="1" x="22"/>
        <item m="1" x="1613"/>
        <item m="1" x="1757"/>
        <item m="1" x="2121"/>
        <item m="1" x="947"/>
        <item m="1" x="878"/>
        <item m="1" x="730"/>
        <item m="1" x="1214"/>
        <item m="1" x="5"/>
        <item m="1" x="1208"/>
        <item m="1" x="1362"/>
        <item m="1" x="198"/>
        <item m="1" x="267"/>
        <item m="1" x="811"/>
        <item m="1" x="2016"/>
        <item m="1" x="847"/>
        <item m="1" x="1584"/>
        <item m="1" x="483"/>
        <item m="1" x="1721"/>
        <item m="1" x="231"/>
        <item m="1" x="229"/>
        <item m="1" x="658"/>
        <item m="1" x="1468"/>
        <item m="1" x="1951"/>
        <item m="1" x="187"/>
        <item m="1" x="783"/>
        <item m="1" x="952"/>
        <item m="1" x="1938"/>
        <item m="1" x="517"/>
        <item m="1" x="765"/>
        <item m="1" x="2354"/>
        <item m="1" x="86"/>
        <item m="1" x="1722"/>
        <item m="1" x="1546"/>
        <item m="1" x="2311"/>
        <item m="1" x="1133"/>
        <item m="1" x="731"/>
        <item m="1" x="661"/>
        <item m="1" x="1873"/>
        <item m="1" x="692"/>
        <item m="1" x="770"/>
        <item m="1" x="1760"/>
        <item m="1" x="2164"/>
        <item m="1" x="1467"/>
        <item m="1" x="690"/>
        <item m="1" x="2202"/>
        <item m="1" x="1583"/>
        <item m="1" x="407"/>
        <item m="1" x="447"/>
        <item m="1" x="2243"/>
        <item m="1" x="2125"/>
        <item m="1" x="951"/>
        <item m="1" x="335"/>
        <item m="1" x="1211"/>
        <item m="1" x="48"/>
        <item m="1" x="84"/>
        <item m="1" x="1288"/>
        <item m="1" x="406"/>
        <item m="1" x="1545"/>
        <item m="1" x="590"/>
        <item m="1" x="626"/>
        <item m="1" x="334"/>
        <item m="1" x="1835"/>
        <item m="1" x="2012"/>
        <item m="1" x="844"/>
        <item m="1" x="2124"/>
        <item m="1" x="950"/>
        <item m="1" x="1252"/>
        <item m="1" x="1287"/>
        <item m="1" x="1249"/>
        <item m="1" x="443"/>
        <item m="1" x="47"/>
        <item m="1" x="1248"/>
        <item m="1" x="1759"/>
        <item m="1" x="1900"/>
        <item m="1" x="727"/>
        <item m="1" x="948"/>
        <item m="1" x="7"/>
        <item m="1" x="1209"/>
        <item m="1" x="874"/>
        <item m="1" x="2200"/>
        <item m="1" x="552"/>
        <item m="1" x="807"/>
        <item m="1" x="2313"/>
        <item m="1" x="1134"/>
        <item m="1" x="1322"/>
        <item m="1" x="625"/>
        <item m="1" x="843"/>
        <item m="1" x="50"/>
        <item m="1" x="1250"/>
        <item m="1" x="369"/>
        <item m="1" x="1937"/>
        <item m="1" x="2047"/>
        <item m="1" x="873"/>
        <item m="1" x="81"/>
        <item m="1" x="1286"/>
        <item m="1" x="262"/>
        <item m="1" x="2084"/>
        <item m="1" x="1285"/>
        <item m="1" x="117"/>
        <item m="1" x="1357"/>
        <item m="1" x="726"/>
        <item m="1" x="1429"/>
        <item m="1" x="481"/>
        <item m="1" x="155"/>
        <item m="1" x="1355"/>
        <item m="1" x="444"/>
        <item m="1" x="1647"/>
        <item m="1" x="1717"/>
        <item m="1" x="1392"/>
        <item m="1" x="1164"/>
        <item m="1" x="1770"/>
        <item m="1" x="1869"/>
        <item m="1" x="2238"/>
        <item m="1" x="623"/>
        <item m="1" x="2197"/>
        <item m="1" x="2347"/>
        <item m="1" x="1173"/>
        <item m="1" x="79"/>
        <item m="1" x="116"/>
        <item m="1" x="1320"/>
        <item m="1" x="582"/>
        <item m="1" x="1428"/>
        <item m="1" x="260"/>
        <item m="1" x="872"/>
        <item m="1" x="2120"/>
        <item m="1" x="946"/>
        <item m="1" x="298"/>
        <item m="1" x="854"/>
        <item m="1" x="1153"/>
        <item m="1" x="2083"/>
        <item m="1" x="982"/>
        <item m="1" x="401"/>
        <item m="1" x="1296"/>
        <item m="1" x="1895"/>
        <item m="1" x="128"/>
        <item m="1" x="457"/>
        <item m="1" x="1050"/>
        <item m="1" x="2134"/>
        <item m="1" x="455"/>
        <item m="1" x="1048"/>
        <item m="1" x="1456"/>
        <item m="1" x="577"/>
        <item m="1" x="1184"/>
        <item m="1" x="153"/>
        <item m="1" x="655"/>
        <item m="1" x="113"/>
        <item m="1" x="705"/>
        <item m="1" x="758"/>
        <item m="1" x="1972"/>
        <item m="1" x="206"/>
        <item m="1" x="1019"/>
        <item m="1" x="2237"/>
        <item m="1" x="227"/>
        <item m="1" x="2160"/>
        <item m="1" x="1391"/>
        <item m="1" x="1319"/>
        <item m="1" x="1352"/>
        <item m="1" x="278"/>
        <item m="1" x="2272"/>
        <item m="1" x="1244"/>
        <item m="1" x="725"/>
        <item m="1" x="1097"/>
        <item m="1" x="2310"/>
        <item m="1" x="1131"/>
        <item m="1" x="1975"/>
        <item m="1" x="258"/>
        <item m="1" x="1540"/>
        <item m="1" x="1094"/>
        <item m="1" x="1851"/>
        <item m="1" x="1831"/>
        <item m="1" x="191"/>
        <item m="1" x="1933"/>
        <item m="1" x="2157"/>
        <item m="1" x="1502"/>
        <item m="1" x="2366"/>
        <item m="1" x="476"/>
        <item m="1" x="1793"/>
        <item m="1" x="1353"/>
        <item m="1" x="257"/>
        <item m="1" x="1754"/>
        <item m="1" x="514"/>
        <item m="1" x="1865"/>
        <item m="1" x="685"/>
        <item m="1" x="76"/>
        <item m="1" x="1317"/>
        <item m="1" x="585"/>
        <item m="1" x="871"/>
        <item m="1" x="330"/>
        <item m="1" x="910"/>
        <item m="1" x="1714"/>
        <item m="1" x="77"/>
        <item m="1" x="367"/>
        <item m="1" x="1885"/>
        <item m="1" x="1315"/>
        <item m="1" x="806"/>
        <item m="1" x="1464"/>
        <item m="1" x="943"/>
        <item m="1" x="2329"/>
        <item m="1" x="2009"/>
        <item m="1" x="295"/>
        <item m="1" x="2080"/>
        <item m="1" x="1115"/>
        <item m="1" x="1190"/>
        <item m="1" x="2079"/>
        <item m="1" x="2195"/>
        <item m="1" x="1503"/>
        <item m="1" x="294"/>
        <item m="1" x="400"/>
        <item m="1" x="684"/>
        <item m="1" x="1425"/>
        <item m="1" x="549"/>
        <item m="1" x="1424"/>
        <item m="1" x="548"/>
        <item m="1" x="190"/>
        <item m="1" x="314"/>
        <item m="1" x="224"/>
        <item m="1" x="824"/>
        <item m="1" x="1863"/>
        <item m="1" x="98"/>
        <item m="1" x="1299"/>
        <item m="1" x="255"/>
        <item m="1" x="253"/>
        <item m="1" x="394"/>
        <item m="1" x="1389"/>
        <item m="1" x="621"/>
        <item m="1" x="1228"/>
        <item m="1" x="804"/>
        <item m="1" x="867"/>
        <item m="1" x="1053"/>
        <item m="1" x="1918"/>
        <item m="1" x="907"/>
        <item m="1" x="496"/>
        <item m="1" x="1708"/>
        <item m="1" x="903"/>
        <item m="1" x="69"/>
        <item m="1" x="1711"/>
        <item m="1" x="2326"/>
        <item m="1" x="546"/>
        <item m="1" x="840"/>
        <item m="1" x="2216"/>
        <item m="1" x="654"/>
        <item m="1" x="1267"/>
        <item m="1" x="869"/>
        <item m="1" x="1643"/>
        <item m="1" x="1829"/>
        <item m="1" x="61"/>
        <item m="1" x="433"/>
        <item m="1" x="2118"/>
        <item m="1" x="1932"/>
        <item m="1" x="2307"/>
        <item m="1" x="670"/>
        <item m="1" x="1279"/>
        <item m="1" x="722"/>
        <item m="1" x="365"/>
        <item m="1" x="963"/>
        <item m="1" x="1576"/>
        <item m="1" x="1370"/>
        <item m="1" x="1970"/>
        <item m="1" x="205"/>
        <item m="1" x="1946"/>
        <item m="1" x="184"/>
        <item m="1" x="776"/>
        <item m="1" x="440"/>
        <item m="1" x="1792"/>
        <item m="1" x="27"/>
        <item m="1" x="45"/>
        <item m="1" x="134"/>
        <item m="1" x="2156"/>
        <item m="1" x="1815"/>
        <item m="1" x="1245"/>
        <item m="1" x="720"/>
        <item m="1" x="1665"/>
        <item m="1" x="640"/>
        <item m="1" x="1283"/>
        <item m="1" x="760"/>
        <item m="1" x="462"/>
        <item m="1" x="149"/>
        <item m="1" x="1092"/>
        <item m="1" x="475"/>
        <item m="1" x="1074"/>
        <item m="1" x="1572"/>
        <item m="1" x="1752"/>
        <item m="1" x="2364"/>
        <item m="1" x="583"/>
        <item m="1" x="225"/>
        <item m="1" x="1864"/>
        <item m="1" x="1423"/>
        <item m="1" x="2030"/>
        <item m="1" x="151"/>
        <item m="1" x="1128"/>
        <item m="1" x="436"/>
        <item m="1" x="1034"/>
        <item m="1" x="115"/>
        <item m="1" x="1446"/>
        <item m="1" x="1738"/>
        <item m="1" x="43"/>
        <item m="1" x="1036"/>
        <item m="1" x="223"/>
        <item m="1" x="822"/>
        <item m="1" x="1421"/>
        <item m="1" x="1677"/>
        <item m="1" x="2292"/>
        <item m="1" x="909"/>
        <item m="1" x="498"/>
        <item m="1" x="673"/>
        <item m="1" x="1485"/>
        <item m="1" x="743"/>
        <item m="1" x="1351"/>
        <item m="1" x="42"/>
        <item m="1" x="1674"/>
        <item m="1" x="2288"/>
        <item m="1" x="478"/>
        <item m="1" x="1523"/>
        <item m="1" x="1701"/>
        <item m="1" x="1282"/>
        <item m="1" x="1335"/>
        <item m="1" x="243"/>
        <item m="1" x="785"/>
        <item m="1" x="1388"/>
        <item m="1" x="1993"/>
        <item m="1" x="2057"/>
        <item m="1" x="1749"/>
        <item m="1" x="170"/>
        <item m="1" x="974"/>
        <item m="1" x="1697"/>
        <item m="1" x="995"/>
        <item m="1" x="1606"/>
        <item m="1" x="679"/>
        <item m="1" x="2378"/>
        <item m="1" x="602"/>
        <item m="1" x="1202"/>
        <item m="1" x="1610"/>
        <item m="1" x="111"/>
        <item m="1" x="2269"/>
        <item m="1" x="2211"/>
        <item m="1" x="434"/>
        <item m="1" x="2045"/>
        <item m="1" x="1735"/>
        <item m="1" x="327"/>
        <item m="1" x="924"/>
        <item m="1" x="2214"/>
        <item m="1" x="652"/>
        <item m="1" x="1265"/>
        <item m="1" x="2271"/>
        <item m="1" x="437"/>
        <item m="1" x="2253"/>
        <item m="1" x="1146"/>
        <item m="1" x="1592"/>
        <item m="1" x="2191"/>
        <item m="1" x="1091"/>
        <item m="1" x="1913"/>
        <item m="1" x="146"/>
        <item m="1" x="1293"/>
        <item m="1" x="2376"/>
        <item m="1" x="600"/>
        <item m="1" x="1169"/>
        <item m="1" x="3"/>
        <item m="1" x="1954"/>
        <item m="1" x="188"/>
        <item m="1" x="2042"/>
        <item m="1" x="1330"/>
        <item m="1" x="1928"/>
        <item m="1" x="578"/>
        <item m="1" x="2344"/>
        <item m="1" x="1539"/>
        <item m="1" x="1713"/>
        <item m="1" x="421"/>
        <item m="1" x="1459"/>
        <item m="1" x="510"/>
        <item m="1" x="1111"/>
        <item m="1" x="1826"/>
        <item m="1" x="1930"/>
        <item m="1" x="2285"/>
        <item m="1" x="2075"/>
        <item m="1" x="1627"/>
        <item m="1" x="2231"/>
        <item m="1" x="682"/>
        <item m="1" x="1294"/>
        <item m="1" x="1894"/>
        <item m="1" x="127"/>
        <item m="1" x="60"/>
        <item m="1" x="1242"/>
        <item m="1" x="397"/>
        <item m="1" x="997"/>
        <item m="1" x="802"/>
        <item m="1" x="979"/>
        <item m="1" x="1595"/>
        <item m="1" x="1775"/>
        <item m="1" x="398"/>
        <item m="1" x="1113"/>
        <item m="1" x="1499"/>
        <item m="1" x="292"/>
        <item m="1" x="1501"/>
        <item m="1" x="1828"/>
        <item m="1" x="2062"/>
        <item m="1" x="291"/>
        <item m="1" x="891"/>
        <item m="1" x="1641"/>
        <item m="1" x="1013"/>
        <item m="1" x="1625"/>
        <item m="1" x="2230"/>
        <item m="1" x="2290"/>
        <item m="1" x="460"/>
        <item m="1" x="1051"/>
        <item m="1" x="1662"/>
        <item m="1" x="1676"/>
        <item m="1" x="569"/>
        <item m="1" x="1639"/>
        <item m="1" x="2254"/>
        <item m="1" x="1773"/>
        <item m="1" x="2027"/>
        <item m="1" x="254"/>
        <item m="1" x="852"/>
        <item m="1" x="1148"/>
        <item m="1" x="1750"/>
        <item m="1" x="2362"/>
        <item m="1" x="2060"/>
        <item m="1" x="290"/>
        <item m="1" x="888"/>
        <item m="1" x="2304"/>
        <item m="1" x="819"/>
        <item m="1" x="1419"/>
        <item m="1" x="2025"/>
        <item m="1" x="131"/>
        <item m="1" x="639"/>
        <item m="1" x="1608"/>
        <item m="1" x="2212"/>
        <item m="1" x="1483"/>
        <item m="1" x="1699"/>
        <item m="1" x="1537"/>
        <item m="1" x="2136"/>
        <item m="1" x="1167"/>
        <item m="1" x="2"/>
        <item m="1" x="1812"/>
        <item m="1" x="2098"/>
        <item m="1" x="1862"/>
        <item m="1" x="1383"/>
        <item m="1" x="2003"/>
        <item m="1" x="238"/>
        <item m="1" x="678"/>
        <item m="1" x="1163"/>
        <item m="1" x="1768"/>
        <item m="1" x="2008"/>
        <item m="1" x="605"/>
        <item m="1" x="1205"/>
        <item m="1" x="1884"/>
        <item m="1" x="838"/>
        <item m="1" x="310"/>
        <item m="1" x="906"/>
        <item m="1" x="1519"/>
        <item m="1" x="801"/>
        <item m="1" x="90"/>
        <item m="1" x="530"/>
        <item m="1" x="1806"/>
        <item m="1" x="1310"/>
        <item m="1" x="779"/>
        <item m="1" x="1747"/>
        <item m="1" x="2360"/>
        <item m="1" x="313"/>
        <item m="1" x="2343"/>
        <item m="1" x="1386"/>
        <item m="1" x="1991"/>
        <item m="1" x="2116"/>
        <item m="1" x="2306"/>
        <item m="1" x="364"/>
        <item m="1" x="961"/>
        <item m="1" x="940"/>
        <item m="1" x="537"/>
        <item m="1" x="1574"/>
        <item m="1" x="2176"/>
        <item m="1" x="74"/>
        <item m="1" x="757"/>
        <item m="1" x="2341"/>
        <item m="1" x="40"/>
        <item m="1" x="2153"/>
        <item m="1" x="1260"/>
        <item m="1" x="419"/>
        <item m="1" x="2228"/>
        <item m="1" x="2257"/>
        <item m="1" x="651"/>
        <item m="1" x="1263"/>
        <item m="1" x="95"/>
        <item m="1" x="2115"/>
        <item m="1" x="700"/>
        <item m="1" x="1842"/>
        <item m="1" x="1258"/>
        <item m="1" x="1858"/>
        <item m="1" x="1405"/>
        <item m="1" x="2006"/>
        <item m="1" x="239"/>
        <item m="1" x="2225"/>
        <item m="1" x="453"/>
        <item m="1" x="1045"/>
        <item m="1" x="716"/>
        <item m="1" x="37"/>
        <item m="1" x="634"/>
        <item m="1" x="1238"/>
        <item m="1" x="2043"/>
        <item m="1" x="1481"/>
        <item m="1" x="1848"/>
        <item m="1" x="73"/>
        <item m="1" x="92"/>
        <item m="1" x="1125"/>
        <item m="1" x="1730"/>
        <item m="1" x="2338"/>
        <item m="1" x="1732"/>
        <item m="1" x="1277"/>
        <item m="1" x="579"/>
        <item m="1" x="1201"/>
        <item m="1" x="939"/>
        <item m="1" x="1556"/>
        <item m="1" x="638"/>
        <item m="1" x="1241"/>
        <item m="1" x="977"/>
        <item m="1" x="958"/>
        <item m="1" x="492"/>
        <item m="1" x="1089"/>
        <item m="1" x="2192"/>
        <item m="1" x="494"/>
        <item m="1" x="534"/>
        <item m="1" x="1733"/>
        <item m="1" x="717"/>
        <item m="1" x="2151"/>
        <item m="1" x="380"/>
        <item m="1" x="1012"/>
        <item m="1" x="1660"/>
        <item m="1" x="1204"/>
        <item m="1" x="1810"/>
        <item m="1" x="2229"/>
        <item m="1" x="603"/>
        <item m="1" x="702"/>
        <item m="1" x="1312"/>
        <item m="1" x="567"/>
        <item m="1" x="1166"/>
        <item m="1" x="1348"/>
        <item m="1" x="1949"/>
        <item m="1" x="2379"/>
        <item m="1" x="740"/>
        <item m="1" x="1010"/>
        <item m="1" x="1622"/>
        <item m="1" x="110"/>
        <item m="1" x="1369"/>
        <item m="1" x="1478"/>
        <item m="1" x="2077"/>
        <item m="1" x="362"/>
        <item m="1" x="544"/>
        <item m="1" x="347"/>
        <item m="1" x="1658"/>
        <item m="1" x="1072"/>
        <item m="1" x="2189"/>
        <item m="1" x="416"/>
        <item m="1" x="2266"/>
        <item m="1" x="667"/>
        <item m="1" x="799"/>
        <item m="1" x="1694"/>
        <item m="1" x="1569"/>
        <item m="1" x="2171"/>
        <item m="1" x="58"/>
        <item m="1" x="835"/>
        <item m="1" x="2340"/>
        <item m="1" x="994"/>
        <item m="1" x="1604"/>
        <item m="1" x="1638"/>
        <item m="1" x="2361"/>
        <item m="1" x="755"/>
        <item m="1" x="1517"/>
        <item m="1" x="2114"/>
        <item m="1" x="2286"/>
        <item m="1" x="508"/>
        <item m="1" x="309"/>
        <item m="1" x="904"/>
        <item m="1" x="39"/>
        <item m="1" x="2188"/>
        <item m="1" x="1727"/>
        <item m="1" x="2337"/>
        <item m="1" x="2055"/>
        <item m="1" x="2091"/>
        <item m="1" x="1969"/>
        <item m="1" x="1126"/>
        <item m="1" x="1535"/>
        <item m="1" x="2132"/>
        <item m="1" x="580"/>
        <item m="1" x="204"/>
        <item m="1" x="937"/>
        <item m="1" x="2268"/>
        <item m="1" x="21"/>
        <item m="1" x="203"/>
        <item m="1" x="797"/>
        <item m="1" x="1404"/>
        <item m="1" x="1223"/>
        <item m="1" x="1845"/>
        <item m="1" x="2095"/>
        <item m="1" x="325"/>
        <item m="1" x="1825"/>
        <item m="1" x="1656"/>
        <item m="1" x="1087"/>
        <item m="1" x="566"/>
        <item m="1" x="1808"/>
        <item m="1" x="109"/>
        <item m="1" x="489"/>
        <item m="1" x="2208"/>
        <item m="1" x="1071"/>
        <item m="1" x="1672"/>
        <item m="1" x="739"/>
        <item m="1" x="1346"/>
        <item m="1" x="1948"/>
        <item m="1" x="2302"/>
        <item m="1" x="252"/>
        <item m="1" x="1636"/>
        <item m="1" x="507"/>
        <item m="1" x="1345"/>
        <item m="1" x="865"/>
        <item m="1" x="1554"/>
        <item m="1" x="532"/>
        <item m="1" x="55"/>
        <item m="1" x="648"/>
        <item m="1" x="145"/>
        <item m="1" x="1109"/>
        <item m="1" x="834"/>
        <item m="1" x="1442"/>
        <item m="1" x="1986"/>
        <item m="1" x="1457"/>
        <item m="1" x="168"/>
        <item m="1" x="754"/>
        <item m="1" x="1368"/>
        <item m="1" x="219"/>
        <item m="1" x="817"/>
        <item m="1" x="2324"/>
        <item m="1" x="1145"/>
        <item m="1" x="2040"/>
        <item m="1" x="737"/>
        <item m="1" x="506"/>
        <item m="1" x="1786"/>
        <item m="1" x="2023"/>
        <item m="1" x="1032"/>
        <item m="1" x="472"/>
        <item m="1" x="273"/>
        <item m="1" x="698"/>
        <item m="1" x="1108"/>
        <item m="1" x="414"/>
        <item m="1" x="1009"/>
        <item m="1" x="1620"/>
        <item m="1" x="649"/>
        <item m="1" x="2264"/>
        <item m="1" x="774"/>
        <item m="1" x="1984"/>
        <item m="1" x="217"/>
        <item m="1" x="1417"/>
        <item m="1" x="1307"/>
        <item m="1" x="183"/>
        <item m="1" x="2021"/>
        <item m="1" x="250"/>
        <item m="1" x="2300"/>
        <item m="1" x="106"/>
        <item m="1" x="1106"/>
        <item m="1" x="163"/>
        <item m="1" x="1787"/>
        <item m="1" x="1309"/>
        <item m="1" x="1909"/>
        <item m="1" x="143"/>
        <item m="1" x="616"/>
        <item m="1" x="57"/>
        <item m="1" x="308"/>
        <item m="1" x="107"/>
        <item m="1" x="1859"/>
        <item m="1" x="1516"/>
        <item m="1" x="2112"/>
        <item m="1" x="345"/>
        <item m="1" x="1552"/>
        <item m="1" x="2148"/>
        <item m="1" x="1692"/>
        <item m="1" x="2301"/>
        <item m="1" x="2226"/>
        <item m="1" x="454"/>
        <item m="1" x="1047"/>
        <item m="1" x="166"/>
        <item m="1" x="752"/>
        <item m="1" x="35"/>
        <item m="1" x="68"/>
        <item m="1" x="1621"/>
        <item m="1" x="1567"/>
        <item m="1" x="1221"/>
        <item m="1" x="1823"/>
        <item m="1" x="1068"/>
        <item m="1" x="647"/>
        <item m="1" x="1963"/>
        <item m="1" x="920"/>
        <item m="1" x="1654"/>
        <item m="1" x="1841"/>
        <item m="1" x="696"/>
        <item m="1" x="815"/>
        <item m="1" x="1532"/>
        <item m="1" x="1496"/>
        <item m="1" x="2094"/>
        <item m="1" x="715"/>
        <item m="1" x="631"/>
        <item m="1" x="1274"/>
        <item m="1" x="1690"/>
        <item m="1" x="1907"/>
        <item m="1" x="2282"/>
        <item m="1" x="614"/>
        <item m="1" x="714"/>
        <item m="1" x="2129"/>
        <item m="1" x="1635"/>
        <item m="1" x="343"/>
        <item m="1" x="1199"/>
        <item m="1" x="1877"/>
        <item m="1" x="1746"/>
        <item m="1" x="832"/>
        <item m="1" x="1439"/>
        <item m="1" x="2039"/>
        <item m="1" x="991"/>
        <item m="1" x="2002"/>
        <item m="1" x="862"/>
        <item m="1" x="1803"/>
        <item m="1" x="2128"/>
        <item m="1" x="431"/>
        <item m="1" x="1030"/>
        <item m="1" x="2250"/>
        <item m="1" x="2323"/>
        <item m="1" x="615"/>
        <item m="1" x="528"/>
        <item m="1" x="1123"/>
        <item m="1" x="357"/>
        <item m="1" x="1821"/>
        <item m="1" x="1549"/>
        <item m="1" x="2144"/>
        <item m="1" x="375"/>
        <item m="1" x="934"/>
        <item m="1" x="378"/>
        <item m="1" x="972"/>
        <item m="1" x="1589"/>
        <item m="1" x="1550"/>
        <item m="1" x="2147"/>
        <item m="1" x="1766"/>
        <item m="1" x="1381"/>
        <item m="1" x="850"/>
        <item m="1" x="1143"/>
        <item m="1" x="323"/>
        <item m="1" x="1669"/>
        <item m="1" x="1218"/>
        <item m="1" x="1925"/>
        <item m="1" x="1365"/>
        <item m="1" x="1965"/>
        <item m="1" x="201"/>
        <item m="1" x="902"/>
        <item m="1" x="1513"/>
        <item m="1" x="2110"/>
        <item m="1" x="1927"/>
        <item m="1" x="1403"/>
        <item m="1" x="795"/>
        <item m="1" x="2375"/>
        <item m="1" x="599"/>
        <item m="1" x="237"/>
        <item m="1" x="271"/>
        <item m="1" x="1236"/>
        <item m="1" x="666"/>
        <item m="1" x="1475"/>
        <item m="1" x="2074"/>
        <item m="1" x="306"/>
        <item m="1" x="142"/>
        <item m="1" x="1943"/>
        <item m="1" x="2247"/>
        <item m="1" x="1744"/>
        <item m="1" x="199"/>
        <item m="1" x="430"/>
        <item m="1" x="1028"/>
        <item m="1" x="469"/>
        <item m="1" x="1705"/>
        <item m="1" x="1329"/>
        <item m="1" x="990"/>
        <item m="1" x="1141"/>
        <item m="1" x="2358"/>
        <item m="1" x="1784"/>
        <item m="1" x="2072"/>
        <item m="1" x="88"/>
        <item m="1" x="1291"/>
        <item m="1" x="341"/>
        <item m="1" x="971"/>
        <item m="1" x="1587"/>
        <item m="1" x="124"/>
        <item m="1" x="1510"/>
        <item m="1" x="2107"/>
        <item m="1" x="450"/>
        <item m="1" x="2298"/>
        <item m="1" x="525"/>
        <item m="1" x="2186"/>
        <item m="1" x="2223"/>
        <item m="1" x="1652"/>
        <item m="1" x="2335"/>
        <item m="1" x="412"/>
        <item m="1" x="1725"/>
        <item m="1" x="1043"/>
        <item m="1" x="1122"/>
        <item m="1" x="1084"/>
        <item m="1" x="681"/>
        <item m="1" x="1119"/>
        <item m="1" x="1270"/>
        <item m="1" x="930"/>
        <item m="1" x="350"/>
        <item m="1" x="1728"/>
        <item m="1" x="1804"/>
        <item m="1" x="1088"/>
        <item m="1" x="1783"/>
        <item m="1" x="829"/>
        <item m="1" x="968"/>
        <item m="1" x="2036"/>
        <item m="1" x="2183"/>
        <item m="1" x="2332"/>
        <item m="1" x="390"/>
        <item m="1" x="2260"/>
        <item m="1" x="29"/>
        <item m="1" x="178"/>
        <item m="1" x="535"/>
        <item m="1" x="671"/>
        <item m="1" x="665"/>
        <item m="1" x="734"/>
        <item m="1" x="1904"/>
        <item m="1" x="893"/>
        <item m="1" x="1266"/>
        <item m="1" x="1950"/>
        <item m="1" x="782"/>
        <item m="1" x="1990"/>
        <item m="1" x="133"/>
        <item m="1" x="1334"/>
        <item m="1" x="174"/>
        <item m="1" x="1373"/>
        <item m="1" x="207"/>
        <item m="1" x="242"/>
        <item m="1" x="148"/>
        <item m="1" x="741"/>
        <item m="1" x="1349"/>
        <item m="1" x="2180"/>
        <item m="1" x="24"/>
        <item m="1" x="1332"/>
        <item m="1" x="173"/>
        <item m="1" x="2026"/>
        <item m="1" x="1073"/>
        <item m="1" x="2198"/>
        <item m="1" x="928"/>
        <item m="1" x="1698"/>
        <item m="1" x="2066"/>
        <item m="1" x="894"/>
        <item m="1" x="2293"/>
        <item m="1" x="604"/>
        <item m="1" x="1618"/>
        <item m="1" x="771"/>
        <item m="1" x="556"/>
        <item m="1" x="657"/>
        <item m="1" x="2328"/>
        <item m="1" x="945"/>
        <item m="1" x="2158"/>
        <item m="1" x="703"/>
        <item m="1" x="1476"/>
        <item m="1" x="269"/>
        <item m="1" x="2356"/>
        <item m="1" x="1181"/>
        <item m="1" x="1522"/>
        <item m="1" x="2284"/>
        <item m="1" x="607"/>
        <item m="1" x="1207"/>
        <item m="1" x="1659"/>
        <item m="1" x="1696"/>
        <item m="1" x="668"/>
        <item m="1" x="493"/>
        <item m="1" x="533"/>
        <item m="1" x="922"/>
        <item m="1" x="957"/>
        <item m="1" x="420"/>
        <item m="1" x="2210"/>
        <item m="1" x="601"/>
        <item m="1" x="1807"/>
        <item m="1" x="1470"/>
        <item m="1" x="2162"/>
        <item m="1" x="1191"/>
        <item m="1" x="633"/>
        <item m="1" x="1059"/>
        <item m="1" x="1099"/>
        <item m="1" x="2196"/>
        <item m="1" x="1626"/>
        <item m="1" x="981"/>
        <item m="1" x="1599"/>
        <item m="1" x="386"/>
        <item m="1" x="312"/>
        <item m="1" x="1374"/>
        <item m="1" x="97"/>
        <item m="1" x="918"/>
        <item m="1" x="1980"/>
        <item m="1" x="1430"/>
        <item m="1" x="1262"/>
        <item m="1" x="94"/>
        <item m="1" x="1486"/>
        <item m="1" x="707"/>
        <item m="1" x="1215"/>
        <item m="1" x="28"/>
        <item m="1" x="2368"/>
        <item m="1" x="280"/>
        <item m="1" x="787"/>
        <item m="1" x="965"/>
        <item m="1" x="1700"/>
        <item m="1" x="1176"/>
        <item m="1" x="315"/>
        <item m="1" x="708"/>
        <item m="1" x="746"/>
        <item m="1" x="1002"/>
        <item m="1" x="1664"/>
        <item m="1" x="2139"/>
        <item m="1" x="1488"/>
        <item m="1" x="1116"/>
        <item m="1" x="1154"/>
        <item m="1" x="497"/>
        <item m="1" x="818"/>
        <item m="1" x="1561"/>
        <item m="1" x="1520"/>
        <item m="1" x="825"/>
        <item m="1" x="1737"/>
        <item m="1" x="384"/>
        <item m="1" x="1809"/>
        <item m="1" x="1691"/>
        <item m="1" x="1512"/>
        <item m="1" x="342"/>
        <item m="1" x="100"/>
        <item m="1" x="925"/>
        <item m="1" x="927"/>
        <item m="1" x="2138"/>
        <item m="1" x="2365"/>
        <item m="1" x="1814"/>
        <item m="1" x="536"/>
        <item m="1" x="568"/>
        <item m="1" x="1718"/>
        <item m="1" x="1870"/>
        <item m="1" x="1393"/>
        <item m="1" x="841"/>
        <item m="1" x="2046"/>
        <item m="1" x="2031"/>
        <item m="1" x="1037"/>
        <item m="1" x="622"/>
        <item m="1" x="1624"/>
        <item m="1" x="851"/>
        <item m="1" x="1518"/>
        <item m="1" x="1816"/>
        <item m="1" x="1114"/>
        <item m="1" x="2256"/>
        <item m="1" x="1112"/>
        <item m="1" x="1297"/>
        <item m="1" x="459"/>
        <item m="1" x="821"/>
        <item m="1" x="2287"/>
        <item m="1" x="2325"/>
        <item m="1" x="1147"/>
        <item m="1" x="1555"/>
        <item m="1" x="704"/>
        <item m="1" x="1313"/>
        <item m="1" x="1916"/>
        <item m="1" x="244"/>
        <item m="1" x="572"/>
        <item m="1" x="62"/>
        <item m="1" x="130"/>
        <item m="1" x="522"/>
        <item m="1" x="8"/>
        <item m="1" x="2218"/>
        <item m="1" x="672"/>
        <item m="1" x="377"/>
        <item m="1" x="1588"/>
        <item m="1" x="1075"/>
        <item m="1" x="2289"/>
        <item m="1" x="1557"/>
        <item m="1" x="491"/>
        <item m="1" x="1551"/>
        <item m="1" x="379"/>
        <item m="1" x="1591"/>
        <item m="1" x="701"/>
        <item m="1" x="2059"/>
        <item m="1" x="887"/>
        <item m="1" x="2096"/>
        <item m="1" x="1912"/>
        <item m="1" x="1688"/>
        <item m="1" x="561"/>
        <item m="1" x="1408"/>
        <item m="1" x="1852"/>
        <item m="1" x="1887"/>
        <item m="1" x="2330"/>
        <item m="1" x="1448"/>
        <item m="1" x="1598"/>
        <item m="1" x="276"/>
        <item m="1" x="1229"/>
        <item m="1" x="1597"/>
        <item m="1" x="349"/>
        <item m="1" x="1225"/>
        <item m="1" x="241"/>
        <item m="1" x="275"/>
        <item m="1" x="2024"/>
        <item m="1" x="1778"/>
        <item m="1" x="2032"/>
        <item m="1" x="608"/>
        <item m="1" x="642"/>
        <item m="1" x="1955"/>
        <item m="1" x="2064"/>
        <item m="1" x="1300"/>
        <item m="1" x="1336"/>
        <item m="1" x="1443"/>
        <item m="1" x="1615"/>
        <item m="1" x="445"/>
        <item m="1" x="1648"/>
        <item m="1" x="1881"/>
        <item m="1" x="2169"/>
        <item m="1" x="2322"/>
        <item m="1" x="1142"/>
        <item m="1" x="1910"/>
        <item m="1" x="954"/>
        <item m="1" x="2170"/>
        <item m="1" x="738"/>
        <item m="1" x="993"/>
        <item m="1" x="1689"/>
        <item m="1" x="277"/>
        <item m="1" x="461"/>
        <item m="1" x="59"/>
        <item m="1" x="1447"/>
        <item m="1" x="1631"/>
        <item m="1" x="51"/>
        <item m="1" x="2350"/>
        <item m="1" x="1461"/>
        <item m="1" x="287"/>
        <item m="1" x="1525"/>
        <item m="1" x="1482"/>
        <item m="1" x="1886"/>
        <item m="1" x="1152"/>
        <item m="1" x="452"/>
        <item m="1" x="1653"/>
        <item m="1" x="1883"/>
        <item m="1" x="2061"/>
        <item m="1" x="890"/>
        <item m="1" x="2097"/>
        <item m="1" x="1629"/>
        <item m="1" x="297"/>
        <item m="1" x="1504"/>
        <item m="1" x="2102"/>
        <item m="1" x="209"/>
        <item m="1" x="26"/>
        <item m="1" x="1227"/>
        <item m="1" x="570"/>
        <item m="1" x="1035"/>
        <item m="1" x="1594"/>
        <item m="1" x="2258"/>
        <item m="1" x="1850"/>
        <item m="1" x="1264"/>
        <item m="1" x="1661"/>
        <item m="1" x="810"/>
        <item m="1" x="1833"/>
        <item m="1" x="387"/>
        <item m="1" x="1406"/>
        <item m="1" x="1444"/>
        <item m="1" x="495"/>
        <item m="1" x="1800"/>
        <item m="1" x="1902"/>
        <item m="1" x="1941"/>
        <item m="1" x="1060"/>
        <item m="1" x="1811"/>
        <item m="1" x="1915"/>
        <item m="1" x="2172"/>
        <item m="1" x="1687"/>
        <item m="1" x="592"/>
        <item m="1" x="482"/>
        <item m="1" x="845"/>
        <item m="1" x="2315"/>
        <item m="1" x="1136"/>
        <item m="1" x="912"/>
        <item m="1" x="2167"/>
        <item m="1" x="794"/>
        <item m="1" x="697"/>
        <item m="1" x="123"/>
        <item m="1" x="1327"/>
        <item m="1" x="161"/>
        <item m="1" x="1401"/>
        <item m="1" x="1942"/>
        <item m="1" x="1685"/>
        <item m="1" x="2348"/>
        <item m="1" x="1038"/>
        <item m="1" x="2178"/>
        <item m="1" x="1866"/>
        <item m="1" x="1817"/>
        <item m="1" x="1849"/>
        <item m="1" x="171"/>
        <item m="1" x="169"/>
        <item m="1" x="531"/>
        <item m="1" x="1769"/>
        <item m="1" x="780"/>
        <item m="1" x="167"/>
        <item m="1" x="1367"/>
        <item m="1" x="202"/>
        <item m="1" x="1838"/>
        <item m="1" x="1875"/>
        <item m="1" x="2018"/>
        <item m="1" x="1977"/>
        <item m="1" x="915"/>
        <item m="1" x="2123"/>
        <item m="1" x="1021"/>
        <item m="1" x="1796"/>
        <item m="1" x="2011"/>
        <item m="1" x="1568"/>
        <item m="1" x="1491"/>
        <item m="1" x="2165"/>
        <item m="1" x="988"/>
        <item m="1" x="15"/>
        <item m="1" x="12"/>
        <item m="1" x="85"/>
        <item m="1" x="121"/>
        <item m="1" x="329"/>
        <item m="1" x="636"/>
        <item m="1" x="1239"/>
        <item m="1" x="1580"/>
        <item m="1" x="403"/>
        <item m="1" x="1018"/>
        <item m="1" x="2235"/>
        <item m="1" x="1055"/>
        <item m="1" x="1150"/>
        <item m="1" x="2173"/>
        <item m="1" x="71"/>
        <item m="1" x="289"/>
        <item m="1" x="886"/>
        <item m="1" x="660"/>
        <item m="1" x="1871"/>
        <item m="1" x="1213"/>
        <item m="1" x="1426"/>
        <item m="1" x="259"/>
        <item m="1" x="1465"/>
        <item m="1" x="2246"/>
        <item m="1" x="1067"/>
        <item m="1" x="1057"/>
        <item m="1" x="1542"/>
        <item m="1" x="1064"/>
        <item m="1" x="1506"/>
        <item m="1" x="479"/>
        <item m="1" x="1680"/>
        <item m="1" x="516"/>
        <item m="1" x="876"/>
        <item m="1" x="405"/>
        <item m="1" x="1130"/>
        <item m="1" x="2346"/>
        <item m="1" x="1172"/>
        <item m="1" x="2278"/>
        <item m="1" x="691"/>
        <item m="1" x="1901"/>
        <item m="1" x="729"/>
        <item m="1" x="1939"/>
        <item m="1" x="331"/>
        <item m="1" x="1935"/>
        <item m="1" x="762"/>
        <item m="1" x="1325"/>
        <item m="1" x="159"/>
        <item m="1" x="1359"/>
        <item m="1" x="195"/>
        <item m="1" x="1396"/>
        <item m="1" x="1321"/>
        <item m="1" x="1578"/>
        <item m="1" x="402"/>
        <item m="1" x="442"/>
        <item m="1" x="1324"/>
        <item m="1" x="157"/>
        <item m="1" x="119"/>
        <item m="1" x="46"/>
        <item m="1" x="2179"/>
        <item m="1" x="618"/>
        <item m="1" x="1224"/>
        <item m="1" x="1577"/>
        <item m="1" x="1974"/>
        <item m="1" x="1078"/>
        <item m="1" x="1192"/>
        <item m="1" x="719"/>
        <item m="1" x="360"/>
        <item m="1" x="955"/>
        <item m="1" x="826"/>
        <item m="1" x="960"/>
        <item m="1" x="1358"/>
        <item m="1" x="194"/>
        <item m="1" x="1395"/>
        <item m="1" x="2239"/>
        <item m="1" x="999"/>
        <item m="1" x="385"/>
        <item m="1" x="521"/>
        <item m="1" x="1720"/>
        <item m="1" x="554"/>
        <item m="1" x="686"/>
        <item m="1" x="1898"/>
        <item m="1" x="724"/>
        <item m="1" x="1023"/>
        <item m="1" x="2240"/>
        <item m="1" x="1061"/>
        <item m="1" x="82"/>
        <item m="1" x="1581"/>
        <item m="1" x="1212"/>
        <item m="1" x="766"/>
        <item m="1" x="1979"/>
        <item m="1" x="985"/>
        <item m="1" x="914"/>
        <item m="1" x="984"/>
        <item m="1" x="1174"/>
        <item m="1" x="2081"/>
        <item m="1" x="2273"/>
        <item m="1" x="1096"/>
        <item m="1" x="2308"/>
        <item m="1" x="333"/>
        <item m="1" x="1543"/>
        <item m="1" x="80"/>
        <item m="1" x="1893"/>
        <item m="1" x="125"/>
        <item m="1" x="1967"/>
        <item m="1" x="1276"/>
        <item m="1" x="1879"/>
        <item m="1" x="885"/>
        <item m="1" x="1185"/>
        <item m="1" x="19"/>
        <item m="1" x="1684"/>
        <item m="1" x="2085"/>
        <item m="1" x="370"/>
        <item m="1" x="9"/>
        <item m="1" x="1020"/>
        <item m="1" x="1290"/>
        <item m="1" x="1361"/>
        <item m="1" x="196"/>
        <item m="1" x="1397"/>
        <item m="1" x="232"/>
        <item m="1" x="519"/>
        <item m="1" x="553"/>
        <item m="1" x="589"/>
        <item m="1" x="2161"/>
        <item m="1" x="911"/>
        <item m="1" x="2119"/>
        <item m="1" x="767"/>
        <item m="1" x="986"/>
        <item m="1" x="10"/>
        <item m="1" x="120"/>
        <item m="1" x="1791"/>
        <item m="1" x="25"/>
        <item m="1" x="619"/>
        <item m="1" x="1715"/>
        <item m="1" x="761"/>
        <item m="1" x="185"/>
        <item m="1" x="781"/>
        <item m="1" x="942"/>
        <item m="1" x="735"/>
        <item m="1" x="1343"/>
        <item m="1" x="1008"/>
        <item m="1" x="1682"/>
        <item m="1" x="1832"/>
        <item m="1" x="550"/>
        <item m="1" x="1756"/>
        <item m="1" x="588"/>
        <item m="1" x="1178"/>
        <item m="1" x="438"/>
        <item m="1" x="1843"/>
        <item m="1" x="2130"/>
        <item m="1" x="395"/>
        <item m="1" x="1628"/>
        <item m="1" x="632"/>
        <item m="1" x="919"/>
        <item m="1" x="1802"/>
        <item m="1" x="2090"/>
        <item m="1" x="17"/>
        <item m="1" x="381"/>
        <item m="1" x="1219"/>
        <item m="1" x="126"/>
        <item m="1" x="417"/>
        <item m="1" x="490"/>
        <item m="1" x="2372"/>
        <item m="1" x="140"/>
        <item m="1" x="284"/>
        <item m="1" x="798"/>
        <item m="1" x="1413"/>
        <item m="1" x="1563"/>
        <item m="1" x="1487"/>
        <item m="1" x="311"/>
        <item m="1" x="1944"/>
        <item m="1" x="1602"/>
        <item m="1" x="1920"/>
        <item m="1" x="744"/>
        <item m="1" x="348"/>
        <item m="1" x="1847"/>
        <item m="1" x="13"/>
        <item m="1" x="511"/>
        <item m="1" x="470"/>
        <item m="1" x="855"/>
        <item m="1" x="861"/>
        <item m="1" x="2100"/>
        <item m="1" x="529"/>
        <item m="1" x="1135"/>
        <item m="1" x="2069"/>
        <item m="1" x="2314"/>
        <item m="1" x="859"/>
        <item m="1" x="808"/>
        <item m="1" x="1100"/>
        <item m="1" x="1039"/>
        <item m="1" x="1521"/>
        <item m="1" x="1596"/>
        <item m="1" x="1663"/>
        <item m="1" x="1193"/>
        <item m="1" x="706"/>
        <item m="1" x="1372"/>
        <item m="1" x="1445"/>
        <item m="1" x="2367"/>
        <item m="1" x="1911"/>
        <item m="1" x="89"/>
        <item m="1" x="164"/>
        <item m="1" x="1337"/>
        <item m="1" x="499"/>
        <item m="1" x="1226"/>
        <item m="1" x="1298"/>
        <item m="1" x="1686"/>
        <item m="1" x="1763"/>
        <item m="1" x="2355"/>
        <item m="1" x="1333"/>
        <item m="1" x="1295"/>
        <item m="1" x="2274"/>
        <item m="1" x="1054"/>
        <item m="1" x="1644"/>
        <item m="1" x="2232"/>
        <item m="1" x="2145"/>
        <item m="1" x="1840"/>
        <item m="1" x="1531"/>
        <item m="1" x="1437"/>
        <item m="1" x="1231"/>
        <item m="1" x="571"/>
        <item m="1" x="1077"/>
        <item m="1" x="1151"/>
        <item m="1" x="135"/>
        <item m="1" x="1736"/>
        <item m="1" x="1328"/>
        <item m="1" x="1400"/>
        <item m="1" x="208"/>
        <item m="1" x="235"/>
        <item m="1" x="304"/>
        <item m="1" x="628"/>
        <item m="1" x="959"/>
        <item m="1" x="1033"/>
        <item m="1" x="274"/>
        <item m="1" x="346"/>
        <item m="1" x="2052"/>
        <item m="1" x="2236"/>
        <item m="1" x="2351"/>
        <item m="1" x="1492"/>
        <item m="1" x="2152"/>
        <item m="1" x="745"/>
        <item m="1" x="2174"/>
        <item m="1" x="2050"/>
        <item m="1" x="1593"/>
        <item m="1" x="669"/>
        <item m="1" x="1431"/>
        <item m="1" x="1681"/>
        <item m="1" x="1934"/>
        <item m="1" x="152"/>
        <item m="1" x="1630"/>
        <item m="1" x="1777"/>
        <item m="1" x="1976"/>
        <item m="1" x="1316"/>
        <item m="1" x="172"/>
        <item m="1" x="1921"/>
        <item m="1" x="1695"/>
        <item m="1" x="1105"/>
        <item m="1" x="1753"/>
        <item m="1" x="383"/>
        <item m="1" x="820"/>
        <item m="1" x="1514"/>
        <item m="1" x="1255"/>
        <item m="1" x="2065"/>
        <item m="1" x="2058"/>
        <item m="1" x="1590"/>
        <item m="1" x="1655"/>
        <item m="1" x="1798"/>
        <item m="1" x="1872"/>
        <item m="1" x="1940"/>
        <item m="1" x="2217"/>
        <item m="1" x="926"/>
        <item m="1" x="1813"/>
        <item m="1" x="376"/>
        <item m="1" x="451"/>
        <item m="1" x="777"/>
        <item m="1" x="1440"/>
        <item m="1" x="953"/>
        <item m="1" x="1027"/>
        <item m="1" x="1547"/>
        <item m="1" x="1617"/>
        <item m="1" x="921"/>
        <item m="1" x="1472"/>
        <item m="1" x="1924"/>
        <item m="1" x="64"/>
        <item m="1" x="316"/>
        <item m="1" x="464"/>
        <item m="1" x="91"/>
        <item m="1" x="2291"/>
        <item m="1" x="1805"/>
        <item m="1" x="1102"/>
        <item m="1" x="1795"/>
        <item m="1" x="513"/>
        <item m="1" x="1896"/>
        <item m="1" x="1707"/>
        <item m="1" x="2215"/>
        <item m="1" x="2101"/>
        <item m="1" x="1001"/>
        <item m="1" x="160"/>
        <item m="1" x="1868"/>
        <item m="1" x="687"/>
        <item m="1" x="1415"/>
        <item m="1" x="415"/>
        <item m="1" x="2014"/>
        <item m="1" x="1559"/>
        <item m="1" x="606"/>
        <item m="1" x="1905"/>
        <item m="1" x="265"/>
        <item m="1" x="372"/>
        <item m="1" x="1247"/>
        <item m="1" x="1076"/>
        <item m="1" x="1498"/>
        <item m="1" x="473"/>
        <item m="1" x="1070"/>
        <item m="1" x="1186"/>
        <item m="1" x="1085"/>
        <item m="1" x="2205"/>
        <item m="1" x="53"/>
        <item m="1" x="234"/>
        <item m="1" x="14"/>
        <item m="1" x="1259"/>
        <item m="1" x="1553"/>
        <item m="1" x="935"/>
        <item m="1" x="2309"/>
        <item m="1" x="1354"/>
        <item m="1" x="1462"/>
        <item m="1" x="132"/>
        <item m="1" x="72"/>
        <item m="1" x="220"/>
        <item m="1" x="361"/>
        <item m="1" x="1952"/>
        <item m="1" x="2028"/>
        <item m="1" x="526"/>
        <item m="1" x="597"/>
        <item m="1" x="1623"/>
        <item m="1" x="564"/>
        <item m="1" x="814"/>
        <item m="1" x="882"/>
        <item m="1" x="1500"/>
        <item m="1" x="1538"/>
        <item m="1" x="1063"/>
        <item m="1" x="1139"/>
        <item m="1" x="987"/>
        <item m="1" x="49"/>
        <item m="1" x="1289"/>
        <item m="1" x="1978"/>
        <item m="1" x="2199"/>
        <item m="1" x="2276"/>
        <item m="1" x="2048"/>
        <item m="1" x="2122"/>
        <item m="1" x="1390"/>
        <item m="1" x="1541"/>
        <item m="1" x="230"/>
        <item m="1" x="299"/>
        <item m="1" x="371"/>
        <item m="1" x="446"/>
        <item m="1" x="520"/>
        <item m="1" x="591"/>
        <item m="1" x="1132"/>
        <item m="1" x="1794"/>
        <item m="1" x="2082"/>
        <item m="1" x="1973"/>
        <item m="1" x="75"/>
        <item m="1" x="114"/>
        <item m="1" x="150"/>
        <item m="1" x="512"/>
        <item m="1" x="584"/>
        <item m="1" x="653"/>
        <item m="1" x="683"/>
        <item m="1" x="759"/>
        <item m="1" x="803"/>
        <item m="1" x="839"/>
        <item m="1" x="1015"/>
        <item m="1" x="1350"/>
        <item m="1" x="1387"/>
        <item m="1" x="1460"/>
        <item m="1" x="1640"/>
        <item m="1" x="1410"/>
        <item m="1" x="2312"/>
        <item m="1" x="175"/>
        <item m="1" x="1161"/>
        <item m="1" x="1906"/>
        <item m="1" x="2019"/>
        <item m="1" x="248"/>
        <item m="1" x="2127"/>
        <item m="1" x="1764"/>
        <item m="1" x="1416"/>
        <item m="1" x="391"/>
        <item m="1" x="1820"/>
        <item m="1" x="849"/>
        <item m="1" x="1455"/>
        <item m="1" x="2089"/>
        <item m="1" x="596"/>
        <item m="1" x="1235"/>
        <item m="1" x="67"/>
        <item m="1" x="2373"/>
        <item m="1" x="733"/>
        <item m="1" x="1839"/>
        <item m="1" x="664"/>
        <item m="1" x="1801"/>
        <item m="1" x="33"/>
        <item m="1" x="630"/>
        <item m="1" x="695"/>
        <item m="1" x="320"/>
        <item m="1" x="917"/>
        <item m="1" x="104"/>
        <item m="1" x="141"/>
        <item m="1" x="182"/>
        <item m="1" x="772"/>
        <item m="1" x="1565"/>
        <item m="1" x="467"/>
        <item m="1" x="575"/>
        <item m="1" x="1216"/>
        <item m="1" x="813"/>
        <item m="1" x="355"/>
        <item m="1" x="504"/>
        <item m="1" x="1743"/>
        <item m="1" x="215"/>
        <item m="1" x="1530"/>
        <item m="1" x="2245"/>
        <item m="1" x="1066"/>
        <item m="1" x="2281"/>
        <item m="1" x="2204"/>
        <item m="1" x="1633"/>
        <item m="1" x="1104"/>
        <item m="1" x="2357"/>
        <item m="1" x="1026"/>
        <item m="1" x="1668"/>
        <item m="1" x="1182"/>
        <item m="1" x="612"/>
        <item m="1" x="1273"/>
        <item m="1" x="1782"/>
        <item m="1" x="16"/>
        <item m="1" x="1876"/>
        <item m="1" x="1380"/>
        <item m="1" x="1493"/>
        <item m="1" x="1098"/>
        <item m="1" x="1306"/>
        <item m="1" x="1704"/>
        <item m="1" x="2320"/>
        <item m="1" x="2053"/>
        <item m="1" x="285"/>
        <item m="1" x="881"/>
        <item m="1" x="162"/>
        <item m="1" x="1363"/>
        <item m="1" x="1962"/>
        <item m="1" x="1891"/>
        <item m="1" x="645"/>
        <item m="1" x="1254"/>
        <item m="1" x="87"/>
        <item m="1" x="1611"/>
        <item m="1" x="486"/>
        <item m="1" x="860"/>
        <item m="1" x="1509"/>
        <item m="1" x="2106"/>
        <item m="1" x="1471"/>
        <item m="1" x="339"/>
        <item m="1" x="1399"/>
        <item m="1" x="2000"/>
        <item m="1" x="1436"/>
        <item m="1" x="302"/>
        <item m="1" x="898"/>
        <item m="1" x="2071"/>
        <item m="1" x="268"/>
        <item m="1" x="2143"/>
        <item m="1" x="2221"/>
        <item m="1" x="1650"/>
        <item m="1" x="2297"/>
        <item m="1" x="2034"/>
        <item m="1" x="1411"/>
        <item m="1" x="176"/>
        <item m="1" x="410"/>
        <item m="1" x="1006"/>
        <item m="1" x="792"/>
        <item m="1" x="373"/>
        <item m="1" x="969"/>
        <item m="1" x="233"/>
        <item m="1" x="830"/>
        <item m="1" x="1585"/>
        <item m="1" x="2185"/>
        <item m="1" x="2371"/>
        <item m="1" x="523"/>
        <item m="1" x="1120"/>
        <item m="1" x="1723"/>
        <item m="1" x="594"/>
        <item m="1" x="2334"/>
        <item m="1" x="559"/>
        <item m="1" x="1159"/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2"/>
    <field x="5"/>
    <field x="7"/>
    <field x="11"/>
    <field x="17"/>
  </rowFields>
  <rowItems count="6">
    <i>
      <x v="28"/>
    </i>
    <i r="1">
      <x v="2"/>
    </i>
    <i r="2">
      <x v="210"/>
    </i>
    <i r="3">
      <x v="8"/>
    </i>
    <i r="4">
      <x v="3019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8">
    <pageField fld="0" hier="-1"/>
    <pageField fld="3" hier="-1"/>
    <pageField fld="1" hier="-1"/>
    <pageField fld="6" hier="-1"/>
    <pageField fld="8" hier="-1"/>
    <pageField fld="13" hier="-1"/>
    <pageField fld="12" hier="-1"/>
    <pageField fld="14" hier="-1"/>
  </pageFields>
  <dataFields count="18">
    <dataField name="Progress" fld="45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48" baseField="5" baseItem="37" numFmtId="9"/>
    <dataField name="Planned" fld="34" baseField="0" baseItem="0" numFmtId="167"/>
    <dataField name="Planned%" fld="47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46" baseField="0" baseItem="0" numFmtId="169"/>
    <dataField name="_Wrong Worklog" fld="24" subtotal="max" baseField="5" baseItem="8" numFmtId="167"/>
    <dataField name="Bug Estimate" fld="43" baseField="5" baseItem="8" numFmtId="167"/>
    <dataField name="Bug Worklog" fld="44" baseField="5" baseItem="8" numFmtId="167"/>
  </dataFields>
  <formats count="23">
    <format dxfId="164">
      <pivotArea field="22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62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60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59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58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56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55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54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51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50">
      <pivotArea outline="0" fieldPosition="0">
        <references count="1">
          <reference field="4294967294" count="1">
            <x v="14"/>
          </reference>
        </references>
      </pivotArea>
    </format>
    <format dxfId="149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48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47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46">
      <pivotArea outline="0" fieldPosition="0">
        <references count="1">
          <reference field="4294967294" count="1">
            <x v="12"/>
          </reference>
        </references>
      </pivotArea>
    </format>
    <format dxfId="145">
      <pivotArea outline="0" fieldPosition="0">
        <references count="1">
          <reference field="4294967294" count="1">
            <x v="1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43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DemandsByStatus" cacheId="61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5:C8" firstHeaderRow="1" firstDataRow="2" firstDataCol="1" rowPageCount="2" colPageCount="1"/>
  <pivotFields count="46">
    <pivotField axis="axisPage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/>
    </i>
    <i t="grand">
      <x/>
    </i>
  </rowItems>
  <colFields count="1">
    <field x="13"/>
  </colFields>
  <colItems count="2">
    <i>
      <x/>
    </i>
    <i t="grand">
      <x/>
    </i>
  </colItems>
  <pageFields count="2">
    <pageField fld="0" hier="-1"/>
    <pageField fld="2" hier="-1"/>
  </pageFields>
  <dataFields count="1">
    <dataField name="Contagem de SUBTASK_FULL_DESCRIPTION" fld="17" subtotal="count" baseField="0" baseItem="0"/>
  </dataFields>
  <formats count="4">
    <format dxfId="141">
      <pivotArea outline="0" collapsedLevelsAreSubtotals="1" fieldPosition="0"/>
    </format>
    <format dxfId="140">
      <pivotArea dataOnly="0" labelOnly="1" outline="0" fieldPosition="0">
        <references count="1">
          <reference field="0" count="0"/>
        </references>
      </pivotArea>
    </format>
    <format dxfId="139">
      <pivotArea type="topRight" dataOnly="0" labelOnly="1" outline="0" fieldPosition="0"/>
    </format>
    <format dxfId="138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41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3">
        <item m="1" x="29"/>
        <item sd="0" m="1" x="22"/>
        <item sd="0" m="1" x="4"/>
        <item m="1" x="37"/>
        <item m="1" x="50"/>
        <item x="0"/>
        <item m="1" x="5"/>
        <item m="1" x="56"/>
        <item m="1" x="27"/>
        <item m="1" x="48"/>
        <item m="1" x="38"/>
        <item m="1" x="6"/>
        <item m="1" x="7"/>
        <item m="1" x="52"/>
        <item m="1" x="43"/>
        <item m="1" x="8"/>
        <item m="1" x="47"/>
        <item m="1" x="46"/>
        <item m="1" x="14"/>
        <item m="1" x="17"/>
        <item m="1" x="59"/>
        <item m="1" x="51"/>
        <item m="1" x="21"/>
        <item m="1" x="32"/>
        <item m="1" x="33"/>
        <item m="1" x="20"/>
        <item m="1" x="36"/>
        <item m="1" x="62"/>
        <item m="1" x="57"/>
        <item m="1" x="30"/>
        <item m="1" x="25"/>
        <item m="1" x="58"/>
        <item m="1" x="11"/>
        <item m="1" x="49"/>
        <item m="1" x="61"/>
        <item m="1" x="35"/>
        <item m="1" x="28"/>
        <item m="1" x="54"/>
        <item m="1" x="44"/>
        <item m="1" x="2"/>
        <item m="1" x="12"/>
        <item m="1" x="39"/>
        <item m="1" x="9"/>
        <item m="1" x="40"/>
        <item m="1" x="3"/>
        <item m="1" x="26"/>
        <item m="1" x="53"/>
        <item m="1" x="23"/>
        <item m="1" x="24"/>
        <item m="1" x="16"/>
        <item m="1" x="60"/>
        <item sd="0" m="1" x="41"/>
        <item sd="0" m="1" x="1"/>
        <item sd="0" m="1" x="19"/>
        <item m="1" x="15"/>
        <item sd="0" m="1" x="13"/>
        <item sd="0" m="1" x="18"/>
        <item sd="0" m="1" x="10"/>
        <item sd="0" m="1" x="55"/>
        <item sd="0" m="1" x="45"/>
        <item m="1" x="34"/>
        <item sd="0" m="1" x="42"/>
        <item sd="0" m="1" x="31"/>
      </items>
    </pivotField>
    <pivotField axis="axisRow" showAll="0" sortType="ascending" defaultSubtotal="0">
      <items count="418">
        <item m="1" x="61"/>
        <item m="1" x="42"/>
        <item m="1" x="357"/>
        <item m="1" x="215"/>
        <item m="1" x="375"/>
        <item m="1" x="364"/>
        <item m="1" x="52"/>
        <item m="1" x="413"/>
        <item m="1" x="17"/>
        <item m="1" x="196"/>
        <item m="1" x="319"/>
        <item m="1" x="414"/>
        <item m="1" x="197"/>
        <item m="1" x="134"/>
        <item m="1" x="239"/>
        <item m="1" x="381"/>
        <item m="1" x="412"/>
        <item m="1" x="296"/>
        <item m="1" x="230"/>
        <item m="1" x="394"/>
        <item m="1" x="315"/>
        <item m="1" x="82"/>
        <item m="1" x="232"/>
        <item m="1" x="132"/>
        <item m="1" x="85"/>
        <item m="1" x="407"/>
        <item m="1" x="310"/>
        <item m="1" x="180"/>
        <item m="1" x="332"/>
        <item m="1" x="218"/>
        <item m="1" x="185"/>
        <item m="1" x="221"/>
        <item m="1" x="160"/>
        <item m="1" x="157"/>
        <item m="1" x="410"/>
        <item m="1" x="146"/>
        <item m="1" x="81"/>
        <item m="1" x="362"/>
        <item m="1" x="189"/>
        <item m="1" x="346"/>
        <item m="1" x="392"/>
        <item m="1" x="108"/>
        <item m="1" x="151"/>
        <item m="1" x="177"/>
        <item m="1" x="73"/>
        <item m="1" x="402"/>
        <item m="1" x="35"/>
        <item m="1" x="69"/>
        <item m="1" x="387"/>
        <item m="1" x="228"/>
        <item m="1" x="263"/>
        <item m="1" x="312"/>
        <item m="1" x="262"/>
        <item m="1" x="175"/>
        <item m="1" x="172"/>
        <item m="1" x="344"/>
        <item m="1" x="350"/>
        <item m="1" x="207"/>
        <item m="1" x="83"/>
        <item m="1" x="403"/>
        <item m="1" x="195"/>
        <item m="1" x="267"/>
        <item m="1" x="40"/>
        <item m="1" x="212"/>
        <item m="1" x="210"/>
        <item m="1" x="223"/>
        <item m="1" x="416"/>
        <item m="1" x="291"/>
        <item m="1" x="297"/>
        <item m="1" x="316"/>
        <item m="1" x="274"/>
        <item m="1" x="258"/>
        <item m="1" x="22"/>
        <item m="1" x="86"/>
        <item m="1" x="168"/>
        <item m="1" x="199"/>
        <item m="1" x="339"/>
        <item m="1" x="13"/>
        <item m="1" x="264"/>
        <item m="1" x="110"/>
        <item m="1" x="24"/>
        <item m="1" x="379"/>
        <item m="1" x="131"/>
        <item m="1" x="190"/>
        <item m="1" x="370"/>
        <item m="1" x="109"/>
        <item m="1" x="97"/>
        <item m="1" x="275"/>
        <item m="1" x="37"/>
        <item m="1" x="75"/>
        <item m="1" x="21"/>
        <item m="1" x="80"/>
        <item m="1" x="66"/>
        <item m="1" x="363"/>
        <item m="1" x="90"/>
        <item m="1" x="1"/>
        <item m="1" x="38"/>
        <item m="1" x="95"/>
        <item m="1" x="257"/>
        <item m="1" x="226"/>
        <item m="1" x="170"/>
        <item m="1" x="299"/>
        <item m="1" x="39"/>
        <item m="1" x="18"/>
        <item m="1" x="213"/>
        <item m="1" x="361"/>
        <item m="1" x="54"/>
        <item m="1" x="254"/>
        <item m="1" x="368"/>
        <item m="1" x="290"/>
        <item m="1" x="229"/>
        <item m="1" x="313"/>
        <item m="1" x="343"/>
        <item m="1" x="236"/>
        <item m="1" x="222"/>
        <item m="1" x="307"/>
        <item m="1" x="317"/>
        <item m="1" x="164"/>
        <item m="1" x="25"/>
        <item m="1" x="121"/>
        <item m="1" x="336"/>
        <item m="1" x="32"/>
        <item m="1" x="150"/>
        <item m="1" x="252"/>
        <item m="1" x="106"/>
        <item m="1" x="16"/>
        <item m="1" x="149"/>
        <item m="1" x="64"/>
        <item m="1" x="50"/>
        <item m="1" x="284"/>
        <item m="1" x="354"/>
        <item m="1" x="318"/>
        <item m="1" x="289"/>
        <item m="1" x="153"/>
        <item m="1" x="104"/>
        <item m="1" x="256"/>
        <item m="1" x="401"/>
        <item m="1" x="201"/>
        <item m="1" x="139"/>
        <item m="1" x="279"/>
        <item m="1" x="6"/>
        <item m="1" x="342"/>
        <item m="1" x="224"/>
        <item m="1" x="128"/>
        <item m="1" x="240"/>
        <item m="1" x="44"/>
        <item m="1" x="11"/>
        <item m="1" x="14"/>
        <item m="1" x="8"/>
        <item sd="0" m="1" x="349"/>
        <item sd="0" m="1" x="27"/>
        <item sd="0" m="1" x="373"/>
        <item sd="0" m="1" x="135"/>
        <item sd="0" m="1" x="78"/>
        <item sd="0" m="1" x="193"/>
        <item sd="0" m="1" x="409"/>
        <item sd="0" m="1" x="244"/>
        <item sd="0" m="1" x="56"/>
        <item sd="0" m="1" x="249"/>
        <item m="1" x="372"/>
        <item m="1" x="181"/>
        <item sd="0" m="1" x="105"/>
        <item sd="0" m="1" x="329"/>
        <item m="1" x="272"/>
        <item m="1" x="411"/>
        <item m="1" x="227"/>
        <item sd="0" m="1" x="369"/>
        <item m="1" x="77"/>
        <item m="1" x="237"/>
        <item m="1" x="115"/>
        <item m="1" x="417"/>
        <item m="1" x="333"/>
        <item sd="0" m="1" x="359"/>
        <item m="1" x="301"/>
        <item m="1" x="127"/>
        <item sd="0" m="1" x="59"/>
        <item m="1" x="273"/>
        <item m="1" x="103"/>
        <item m="1" x="220"/>
        <item sd="0" m="1" x="30"/>
        <item m="1" x="367"/>
        <item m="1" x="250"/>
        <item m="1" x="124"/>
        <item sd="0" m="1" x="49"/>
        <item m="1" x="233"/>
        <item m="1" x="130"/>
        <item sd="0" m="1" x="107"/>
        <item m="1" x="314"/>
        <item m="1" x="143"/>
        <item sd="0" m="1" x="320"/>
        <item m="1" x="214"/>
        <item m="1" x="12"/>
        <item sd="0" m="1" x="57"/>
        <item m="1" x="305"/>
        <item m="1" x="198"/>
        <item m="1" x="366"/>
        <item m="1" x="216"/>
        <item m="1" x="225"/>
        <item m="1" x="331"/>
        <item m="1" x="321"/>
        <item m="1" x="287"/>
        <item m="1" x="242"/>
        <item m="1" x="219"/>
        <item m="1" x="76"/>
        <item m="1" x="200"/>
        <item m="1" x="400"/>
        <item m="1" x="388"/>
        <item m="1" x="391"/>
        <item m="1" x="118"/>
        <item m="1" x="251"/>
        <item m="1" x="282"/>
        <item m="1" x="399"/>
        <item m="1" x="293"/>
        <item m="1" x="43"/>
        <item m="1" x="304"/>
        <item m="1" x="15"/>
        <item m="1" x="383"/>
        <item m="1" x="5"/>
        <item m="1" x="340"/>
        <item m="1" x="129"/>
        <item m="1" x="406"/>
        <item m="1" x="266"/>
        <item m="1" x="122"/>
        <item m="1" x="10"/>
        <item m="1" x="41"/>
        <item m="1" x="204"/>
        <item m="1" x="144"/>
        <item m="1" x="161"/>
        <item m="1" x="138"/>
        <item m="1" x="269"/>
        <item m="1" x="91"/>
        <item m="1" x="206"/>
        <item m="1" x="358"/>
        <item m="1" x="51"/>
        <item m="1" x="338"/>
        <item m="1" x="87"/>
        <item m="1" x="345"/>
        <item m="1" x="380"/>
        <item m="1" x="271"/>
        <item m="1" x="126"/>
        <item m="1" x="278"/>
        <item m="1" x="324"/>
        <item m="1" x="23"/>
        <item m="1" x="405"/>
        <item m="1" x="72"/>
        <item m="1" x="385"/>
        <item m="1" x="234"/>
        <item m="1" x="111"/>
        <item m="1" x="165"/>
        <item m="1" x="184"/>
        <item m="1" x="209"/>
        <item m="1" x="120"/>
        <item m="1" x="63"/>
        <item m="1" x="322"/>
        <item m="1" x="142"/>
        <item m="1" x="205"/>
        <item m="1" x="101"/>
        <item m="1" x="286"/>
        <item m="1" x="203"/>
        <item m="1" x="102"/>
        <item m="1" x="351"/>
        <item m="1" x="145"/>
        <item m="1" x="60"/>
        <item m="1" x="302"/>
        <item m="1" x="397"/>
        <item m="1" x="303"/>
        <item m="1" x="281"/>
        <item m="1" x="171"/>
        <item m="1" x="231"/>
        <item m="1" x="288"/>
        <item m="1" x="334"/>
        <item m="1" x="173"/>
        <item m="1" x="70"/>
        <item m="1" x="330"/>
        <item m="1" x="253"/>
        <item m="1" x="327"/>
        <item m="1" x="155"/>
        <item m="1" x="238"/>
        <item m="1" x="384"/>
        <item m="1" x="62"/>
        <item m="1" x="353"/>
        <item m="1" x="280"/>
        <item m="1" x="68"/>
        <item m="1" x="31"/>
        <item m="1" x="98"/>
        <item m="1" x="65"/>
        <item m="1" x="211"/>
        <item m="1" x="20"/>
        <item m="1" x="261"/>
        <item m="1" x="47"/>
        <item m="1" x="355"/>
        <item m="1" x="408"/>
        <item m="1" x="348"/>
        <item m="1" x="88"/>
        <item m="1" x="162"/>
        <item m="1" x="55"/>
        <item m="1" x="148"/>
        <item m="1" x="136"/>
        <item m="1" x="194"/>
        <item m="1" x="141"/>
        <item m="1" x="89"/>
        <item m="1" x="48"/>
        <item m="1" x="113"/>
        <item m="1" x="112"/>
        <item m="1" x="71"/>
        <item m="1" x="335"/>
        <item m="1" x="259"/>
        <item m="1" x="356"/>
        <item m="1" x="156"/>
        <item m="1" x="300"/>
        <item m="1" x="26"/>
        <item m="1" x="309"/>
        <item m="1" x="311"/>
        <item m="1" x="7"/>
        <item m="1" x="167"/>
        <item m="1" x="100"/>
        <item m="1" x="188"/>
        <item m="1" x="178"/>
        <item m="1" x="404"/>
        <item m="1" x="33"/>
        <item m="1" x="377"/>
        <item m="1" x="283"/>
        <item m="1" x="191"/>
        <item m="1" x="202"/>
        <item m="1" x="9"/>
        <item m="1" x="398"/>
        <item m="1" x="371"/>
        <item m="1" x="276"/>
        <item m="1" x="53"/>
        <item m="1" x="255"/>
        <item m="1" x="94"/>
        <item sd="0" m="1" x="28"/>
        <item m="1" x="29"/>
        <item sd="0" m="1" x="133"/>
        <item m="1" x="395"/>
        <item m="1" x="182"/>
        <item m="1" x="186"/>
        <item sd="0" m="1" x="270"/>
        <item m="1" x="114"/>
        <item m="1" x="241"/>
        <item sd="0" m="1" x="2"/>
        <item m="1" x="378"/>
        <item m="1" x="390"/>
        <item sd="0" m="1" x="137"/>
        <item m="1" x="415"/>
        <item m="1" x="58"/>
        <item m="1" x="99"/>
        <item m="1" x="187"/>
        <item m="1" x="79"/>
        <item sd="0" m="1" x="268"/>
        <item sd="0" m="1" x="217"/>
        <item m="1" x="295"/>
        <item sd="0" m="1" x="243"/>
        <item m="1" x="341"/>
        <item sd="0" m="1" x="393"/>
        <item sd="0" m="1" x="96"/>
        <item sd="0" m="1" x="248"/>
        <item sd="0" m="1" x="119"/>
        <item m="1" x="123"/>
        <item sd="0" m="1" x="347"/>
        <item sd="0" m="1" x="92"/>
        <item m="1" x="176"/>
        <item m="1" x="166"/>
        <item sd="0" m="1" x="19"/>
        <item m="1" x="365"/>
        <item sd="0" m="1" x="192"/>
        <item m="1" x="154"/>
        <item m="1" x="325"/>
        <item m="1" x="159"/>
        <item m="1" x="389"/>
        <item m="1" x="174"/>
        <item m="1" x="45"/>
        <item m="1" x="158"/>
        <item m="1" x="4"/>
        <item m="1" x="208"/>
        <item m="1" x="235"/>
        <item m="1" x="265"/>
        <item m="1" x="326"/>
        <item m="1" x="246"/>
        <item m="1" x="292"/>
        <item m="1" x="163"/>
        <item m="1" x="277"/>
        <item m="1" x="84"/>
        <item m="1" x="93"/>
        <item m="1" x="74"/>
        <item m="1" x="328"/>
        <item m="1" x="46"/>
        <item m="1" x="396"/>
        <item m="1" x="306"/>
        <item m="1" x="125"/>
        <item m="1" x="298"/>
        <item m="1" x="116"/>
        <item m="1" x="183"/>
        <item m="1" x="179"/>
        <item m="1" x="294"/>
        <item m="1" x="323"/>
        <item m="1" x="3"/>
        <item m="1" x="376"/>
        <item m="1" x="140"/>
        <item m="1" x="382"/>
        <item m="1" x="386"/>
        <item m="1" x="245"/>
        <item m="1" x="169"/>
        <item m="1" x="67"/>
        <item m="1" x="147"/>
        <item m="1" x="285"/>
        <item m="1" x="36"/>
        <item m="1" x="117"/>
        <item m="1" x="152"/>
        <item m="1" x="260"/>
        <item m="1" x="247"/>
        <item m="1" x="374"/>
        <item m="1" x="360"/>
        <item m="1" x="34"/>
        <item m="1" x="308"/>
        <item m="1" x="337"/>
        <item m="1" x="352"/>
        <item x="0"/>
      </items>
    </pivotField>
    <pivotField axis="axisRow" showAll="0" defaultSubtotal="0">
      <items count="1026">
        <item m="1" x="141"/>
        <item m="1" x="96"/>
        <item m="1" x="550"/>
        <item m="1" x="234"/>
        <item sd="0" m="1" x="597"/>
        <item m="1" x="175"/>
        <item m="1" x="400"/>
        <item m="1" x="406"/>
        <item m="1" x="656"/>
        <item m="1" x="76"/>
        <item m="1" x="39"/>
        <item m="1" x="327"/>
        <item m="1" x="834"/>
        <item m="1" x="518"/>
        <item m="1" x="929"/>
        <item m="1" x="328"/>
        <item m="1" x="505"/>
        <item m="1" x="329"/>
        <item sd="0" m="1" x="57"/>
        <item m="1" x="408"/>
        <item m="1" x="80"/>
        <item m="1" x="64"/>
        <item m="1" x="786"/>
        <item m="1" x="593"/>
        <item m="1" x="67"/>
        <item m="1" x="75"/>
        <item m="1" x="587"/>
        <item m="1" x="605"/>
        <item m="1" x="208"/>
        <item m="1" x="145"/>
        <item m="1" x="723"/>
        <item m="1" x="506"/>
        <item x="0"/>
        <item m="1" x="242"/>
        <item m="1" x="925"/>
        <item m="1" x="77"/>
        <item m="1" x="45"/>
        <item m="1" x="219"/>
        <item m="1" x="143"/>
        <item m="1" x="9"/>
        <item m="1" x="147"/>
        <item m="1" x="452"/>
        <item m="1" x="13"/>
        <item m="1" x="716"/>
        <item m="1" x="680"/>
        <item m="1" x="239"/>
        <item m="1" x="1"/>
        <item m="1" x="360"/>
        <item m="1" x="18"/>
        <item m="1" x="430"/>
        <item m="1" x="131"/>
        <item m="1" x="918"/>
        <item m="1" x="976"/>
        <item m="1" x="367"/>
        <item m="1" x="258"/>
        <item m="1" x="228"/>
        <item m="1" x="347"/>
        <item m="1" x="940"/>
        <item m="1" x="1014"/>
        <item m="1" x="498"/>
        <item m="1" x="324"/>
        <item m="1" x="429"/>
        <item m="1" x="139"/>
        <item m="1" x="802"/>
        <item m="1" x="941"/>
        <item m="1" x="794"/>
        <item m="1" x="525"/>
        <item m="1" x="415"/>
        <item m="1" x="568"/>
        <item m="1" x="704"/>
        <item m="1" x="833"/>
        <item m="1" x="924"/>
        <item m="1" x="904"/>
        <item m="1" x="356"/>
        <item m="1" x="543"/>
        <item m="1" x="819"/>
        <item m="1" x="591"/>
        <item m="1" x="220"/>
        <item m="1" x="204"/>
        <item m="1" x="751"/>
        <item m="1" x="272"/>
        <item m="1" x="681"/>
        <item m="1" x="321"/>
        <item m="1" x="632"/>
        <item m="1" x="182"/>
        <item m="1" x="201"/>
        <item m="1" x="424"/>
        <item m="1" x="930"/>
        <item m="1" x="164"/>
        <item m="1" x="721"/>
        <item m="1" x="333"/>
        <item m="1" x="687"/>
        <item m="1" x="793"/>
        <item m="1" x="881"/>
        <item m="1" x="510"/>
        <item m="1" x="582"/>
        <item m="1" x="5"/>
        <item m="1" x="247"/>
        <item m="1" x="135"/>
        <item m="1" x="567"/>
        <item m="1" x="703"/>
        <item m="1" x="972"/>
        <item m="1" x="281"/>
        <item m="1" x="898"/>
        <item m="1" x="743"/>
        <item m="1" x="269"/>
        <item m="1" x="750"/>
        <item m="1" x="372"/>
        <item m="1" x="381"/>
        <item m="1" x="22"/>
        <item m="1" x="134"/>
        <item m="1" x="171"/>
        <item m="1" x="245"/>
        <item m="1" x="106"/>
        <item m="1" x="320"/>
        <item m="1" x="611"/>
        <item m="1" x="374"/>
        <item m="1" x="565"/>
        <item m="1" x="999"/>
        <item m="1" x="172"/>
        <item m="1" x="401"/>
        <item m="1" x="939"/>
        <item m="1" x="492"/>
        <item m="1" x="963"/>
        <item m="1" x="450"/>
        <item m="1" x="451"/>
        <item m="1" x="535"/>
        <item m="1" x="967"/>
        <item m="1" x="903"/>
        <item m="1" x="863"/>
        <item m="1" x="660"/>
        <item m="1" x="74"/>
        <item m="1" x="647"/>
        <item m="1" x="818"/>
        <item m="1" x="590"/>
        <item m="1" x="996"/>
        <item m="1" x="635"/>
        <item m="1" x="437"/>
        <item m="1" x="203"/>
        <item m="1" x="761"/>
        <item m="1" x="546"/>
        <item m="1" x="6"/>
        <item m="1" x="737"/>
        <item m="1" x="33"/>
        <item m="1" x="562"/>
        <item m="1" x="526"/>
        <item m="1" x="238"/>
        <item m="1" x="428"/>
        <item m="1" x="938"/>
        <item m="1" x="194"/>
        <item m="1" x="734"/>
        <item m="1" x="861"/>
        <item m="1" x="733"/>
        <item m="1" x="184"/>
        <item m="1" x="932"/>
        <item m="1" x="115"/>
        <item m="1" x="757"/>
        <item m="1" x="470"/>
        <item m="1" x="851"/>
        <item m="1" x="299"/>
        <item m="1" x="668"/>
        <item m="1" x="10"/>
        <item m="1" x="724"/>
        <item m="1" x="725"/>
        <item m="1" x="662"/>
        <item m="1" x="686"/>
        <item m="1" x="330"/>
        <item m="1" x="788"/>
        <item m="1" x="289"/>
        <item m="1" x="789"/>
        <item m="1" x="25"/>
        <item m="1" x="375"/>
        <item m="1" x="1015"/>
        <item m="1" x="612"/>
        <item m="1" x="694"/>
        <item m="1" x="832"/>
        <item m="1" x="997"/>
        <item m="1" x="68"/>
        <item m="1" x="103"/>
        <item m="1" x="824"/>
        <item m="1" x="101"/>
        <item m="1" x="376"/>
        <item m="1" x="66"/>
        <item m="1" x="840"/>
        <item m="1" x="934"/>
        <item m="1" x="527"/>
        <item m="1" x="627"/>
        <item m="1" x="371"/>
        <item m="1" x="537"/>
        <item m="1" x="685"/>
        <item m="1" x="459"/>
        <item m="1" x="684"/>
        <item m="1" x="85"/>
        <item m="1" x="166"/>
        <item m="1" x="446"/>
        <item m="1" x="7"/>
        <item m="1" x="693"/>
        <item m="1" x="62"/>
        <item m="1" x="162"/>
        <item m="1" x="366"/>
        <item m="1" x="416"/>
        <item m="1" x="319"/>
        <item m="1" x="507"/>
        <item m="1" x="283"/>
        <item m="1" x="51"/>
        <item m="1" x="422"/>
        <item m="1" x="434"/>
        <item m="1" x="534"/>
        <item m="1" x="154"/>
        <item m="1" x="756"/>
        <item m="1" x="609"/>
        <item m="1" x="291"/>
        <item m="1" x="100"/>
        <item m="1" x="566"/>
        <item m="1" x="28"/>
        <item m="1" x="61"/>
        <item m="1" x="836"/>
        <item m="1" x="803"/>
        <item m="1" x="948"/>
        <item m="1" x="962"/>
        <item m="1" x="15"/>
        <item m="1" x="708"/>
        <item m="1" x="191"/>
        <item m="1" x="463"/>
        <item m="1" x="965"/>
        <item m="1" x="129"/>
        <item m="1" x="297"/>
        <item m="1" x="489"/>
        <item m="1" x="200"/>
        <item m="1" x="875"/>
        <item m="1" x="479"/>
        <item m="1" x="785"/>
        <item m="1" x="570"/>
        <item m="1" x="34"/>
        <item m="1" x="438"/>
        <item m="1" x="1002"/>
        <item m="1" x="119"/>
        <item m="1" x="774"/>
        <item m="1" x="968"/>
        <item m="1" x="359"/>
        <item m="1" x="811"/>
        <item m="1" x="351"/>
        <item m="1" x="659"/>
        <item m="1" x="44"/>
        <item m="1" x="795"/>
        <item m="1" x="830"/>
        <item m="1" x="643"/>
        <item m="1" x="230"/>
        <item m="1" x="79"/>
        <item m="1" x="205"/>
        <item m="1" x="1011"/>
        <item m="1" x="63"/>
        <item m="1" x="914"/>
        <item m="1" x="645"/>
        <item m="1" x="380"/>
        <item m="1" x="14"/>
        <item m="1" x="56"/>
        <item m="1" x="157"/>
        <item m="1" x="701"/>
        <item m="1" x="32"/>
        <item m="1" x="173"/>
        <item m="1" x="980"/>
        <item m="1" x="781"/>
        <item m="1" x="663"/>
        <item m="1" x="513"/>
        <item m="1" x="116"/>
        <item m="1" x="388"/>
        <item m="1" x="293"/>
        <item m="1" x="107"/>
        <item m="1" x="23"/>
        <item m="1" x="86"/>
        <item m="1" x="50"/>
        <item m="1" x="1019"/>
        <item m="1" x="288"/>
        <item m="1" x="387"/>
        <item m="1" x="986"/>
        <item m="1" x="769"/>
        <item m="1" x="40"/>
        <item m="1" x="102"/>
        <item m="1" x="65"/>
        <item m="1" x="447"/>
        <item m="1" x="296"/>
        <item m="1" x="626"/>
        <item m="1" x="210"/>
        <item m="1" x="99"/>
        <item m="1" x="78"/>
        <item m="1" x="338"/>
        <item m="1" x="683"/>
        <item m="1" x="749"/>
        <item m="1" x="70"/>
        <item m="1" x="213"/>
        <item m="1" x="343"/>
        <item m="1" x="84"/>
        <item m="1" x="515"/>
        <item m="1" x="639"/>
        <item m="1" x="646"/>
        <item m="1" x="24"/>
        <item m="1" x="365"/>
        <item m="1" x="19"/>
        <item m="1" x="384"/>
        <item m="1" x="458"/>
        <item m="1" x="985"/>
        <item m="1" x="909"/>
        <item m="1" x="443"/>
        <item m="1" x="418"/>
        <item m="1" x="835"/>
        <item m="1" x="361"/>
        <item m="1" x="657"/>
        <item m="1" x="140"/>
        <item m="1" x="314"/>
        <item m="1" x="838"/>
        <item m="1" x="902"/>
        <item m="1" x="156"/>
        <item m="1" x="825"/>
        <item m="1" x="912"/>
        <item m="1" x="741"/>
        <item m="1" x="265"/>
        <item m="1" x="509"/>
        <item m="1" x="179"/>
        <item m="1" x="679"/>
        <item m="1" x="804"/>
        <item m="1" x="731"/>
        <item m="1" x="637"/>
        <item m="1" x="202"/>
        <item m="1" x="717"/>
        <item m="1" x="38"/>
        <item m="1" x="168"/>
        <item m="1" x="558"/>
        <item m="1" x="584"/>
        <item m="1" x="89"/>
        <item m="1" x="155"/>
        <item m="1" x="690"/>
        <item m="1" x="806"/>
        <item m="1" x="655"/>
        <item m="1" x="992"/>
        <item m="1" x="246"/>
        <item m="1" x="842"/>
        <item m="1" x="805"/>
        <item m="1" x="72"/>
        <item m="1" x="549"/>
        <item m="1" x="260"/>
        <item m="1" x="207"/>
        <item m="1" x="801"/>
        <item m="1" x="666"/>
        <item m="1" x="453"/>
        <item m="1" x="601"/>
        <item m="1" x="307"/>
        <item m="1" x="797"/>
        <item m="1" x="559"/>
        <item m="1" x="471"/>
        <item m="1" x="876"/>
        <item m="1" x="813"/>
        <item m="1" x="334"/>
        <item m="1" x="118"/>
        <item m="1" x="603"/>
        <item m="1" x="504"/>
        <item m="1" x="270"/>
        <item m="1" x="149"/>
        <item m="1" x="893"/>
        <item m="1" x="417"/>
        <item m="1" x="987"/>
        <item m="1" x="606"/>
        <item m="1" x="48"/>
        <item m="1" x="884"/>
        <item m="1" x="160"/>
        <item m="1" x="736"/>
        <item m="1" x="137"/>
        <item m="1" x="630"/>
        <item m="1" x="491"/>
        <item m="1" x="27"/>
        <item m="1" x="71"/>
        <item m="1" x="978"/>
        <item m="1" x="256"/>
        <item m="1" x="52"/>
        <item m="1" x="88"/>
        <item m="1" x="1003"/>
        <item m="1" x="323"/>
        <item m="1" x="923"/>
        <item m="1" x="762"/>
        <item m="1" x="831"/>
        <item m="1" x="488"/>
        <item m="1" x="552"/>
        <item m="1" x="755"/>
        <item m="1" x="569"/>
        <item m="1" x="378"/>
        <item m="1" x="58"/>
        <item m="1" x="229"/>
        <item m="1" x="691"/>
        <item m="1" x="257"/>
        <item m="1" x="301"/>
        <item m="1" x="308"/>
        <item m="1" x="979"/>
        <item m="1" x="644"/>
        <item m="1" x="494"/>
        <item m="1" x="501"/>
        <item m="1" x="409"/>
        <item m="1" x="523"/>
        <item m="1" x="564"/>
        <item m="1" x="673"/>
        <item m="1" x="817"/>
        <item m="1" x="674"/>
        <item m="1" x="705"/>
        <item m="1" x="383"/>
        <item m="1" x="357"/>
        <item m="1" x="111"/>
        <item m="1" x="970"/>
        <item m="1" x="404"/>
        <item m="1" x="574"/>
        <item m="1" x="403"/>
        <item m="1" x="573"/>
        <item m="1" x="218"/>
        <item m="1" x="578"/>
        <item m="1" x="480"/>
        <item m="1" x="618"/>
        <item m="1" x="252"/>
        <item m="1" x="142"/>
        <item m="1" x="436"/>
        <item m="1" x="753"/>
        <item m="1" x="845"/>
        <item m="1" x="620"/>
        <item m="1" x="126"/>
        <item m="1" x="672"/>
        <item m="1" x="798"/>
        <item m="1" x="782"/>
        <item m="1" x="651"/>
        <item m="1" x="561"/>
        <item m="1" x="240"/>
        <item m="1" x="472"/>
        <item m="1" x="739"/>
        <item m="1" x="532"/>
        <item m="1" x="642"/>
        <item m="1" x="385"/>
        <item m="1" x="188"/>
        <item m="1" x="435"/>
        <item m="1" x="377"/>
        <item m="1" x="960"/>
        <item m="1" x="298"/>
        <item m="1" x="275"/>
        <item m="1" x="495"/>
        <item m="1" x="652"/>
        <item m="1" x="342"/>
        <item m="1" x="69"/>
        <item m="1" x="197"/>
        <item m="1" x="354"/>
        <item m="1" x="433"/>
        <item m="1" x="432"/>
        <item m="1" x="837"/>
        <item m="1" x="112"/>
        <item m="1" x="752"/>
        <item m="1" x="844"/>
        <item m="1" x="161"/>
        <item m="1" x="619"/>
        <item m="1" x="138"/>
        <item m="1" x="98"/>
        <item m="1" x="41"/>
        <item m="1" x="599"/>
        <item m="1" x="82"/>
        <item m="1" x="828"/>
        <item m="1" x="614"/>
        <item m="1" x="414"/>
        <item m="1" x="667"/>
        <item m="1" x="586"/>
        <item m="1" x="729"/>
        <item m="1" x="396"/>
        <item m="1" x="720"/>
        <item m="1" x="961"/>
        <item m="1" x="130"/>
        <item m="1" x="485"/>
        <item m="1" x="279"/>
        <item m="1" x="896"/>
        <item m="1" x="866"/>
        <item m="1" x="865"/>
        <item m="1" x="702"/>
        <item m="1" x="278"/>
        <item m="1" x="282"/>
        <item m="1" x="553"/>
        <item m="1" x="1010"/>
        <item m="1" x="97"/>
        <item m="1" x="598"/>
        <item m="1" x="81"/>
        <item m="1" x="827"/>
        <item m="1" x="613"/>
        <item m="1" x="413"/>
        <item m="1" x="43"/>
        <item m="1" x="300"/>
        <item m="1" x="585"/>
        <item m="1" x="728"/>
        <item m="1" x="919"/>
        <item m="1" x="395"/>
        <item m="1" x="719"/>
        <item m="1" x="921"/>
        <item m="1" x="649"/>
        <item m="1" x="922"/>
        <item m="1" x="457"/>
        <item m="1" x="862"/>
        <item m="1" x="984"/>
        <item m="1" x="1001"/>
        <item m="1" x="727"/>
        <item m="1" x="547"/>
        <item m="1" x="722"/>
        <item m="1" x="664"/>
        <item m="1" x="563"/>
        <item m="1" x="847"/>
        <item m="1" x="508"/>
        <item m="1" x="956"/>
        <item m="1" x="864"/>
        <item m="1" x="839"/>
        <item m="1" x="1016"/>
        <item m="1" x="770"/>
        <item m="1" x="634"/>
        <item m="1" x="1000"/>
        <item m="1" x="908"/>
        <item m="1" x="799"/>
        <item m="1" x="841"/>
        <item m="1" x="754"/>
        <item m="1" x="290"/>
        <item m="1" x="1021"/>
        <item m="1" x="943"/>
        <item m="1" x="848"/>
        <item m="1" x="185"/>
        <item m="1" x="399"/>
        <item m="1" x="880"/>
        <item m="1" x="1012"/>
        <item m="1" x="765"/>
        <item m="1" x="73"/>
        <item m="1" x="895"/>
        <item m="1" x="237"/>
        <item m="1" x="55"/>
        <item m="1" x="125"/>
        <item m="1" x="641"/>
        <item m="1" x="144"/>
        <item m="1" x="809"/>
        <item m="1" x="726"/>
        <item m="1" x="692"/>
        <item m="1" x="633"/>
        <item m="1" x="1023"/>
        <item m="1" x="456"/>
        <item m="1" x="707"/>
        <item m="1" x="1020"/>
        <item m="1" x="1024"/>
        <item m="1" x="390"/>
        <item m="1" x="215"/>
        <item m="1" x="955"/>
        <item m="1" x="49"/>
        <item m="1" x="696"/>
        <item m="1" x="812"/>
        <item m="1" x="474"/>
        <item m="1" x="738"/>
        <item m="1" x="151"/>
        <item m="1" x="87"/>
        <item m="1" x="760"/>
        <item m="1" x="540"/>
        <item m="1" x="577"/>
        <item m="1" x="322"/>
        <item m="1" x="891"/>
        <item m="1" x="420"/>
        <item m="1" x="887"/>
        <item m="1" x="483"/>
        <item m="1" x="767"/>
        <item m="1" x="271"/>
        <item m="1" x="158"/>
        <item m="1" x="872"/>
        <item m="1" x="589"/>
        <item m="1" x="339"/>
        <item m="1" x="454"/>
        <item m="1" x="402"/>
        <item m="1" x="274"/>
        <item m="1" x="995"/>
        <item m="1" x="392"/>
        <item m="1" x="942"/>
        <item m="1" x="521"/>
        <item m="1" x="83"/>
        <item m="1" x="497"/>
        <item m="1" x="206"/>
        <item m="1" x="496"/>
        <item m="1" x="309"/>
        <item m="1" x="732"/>
        <item m="1" x="250"/>
        <item m="1" x="885"/>
        <item m="1" x="820"/>
        <item m="1" x="199"/>
        <item m="1" x="466"/>
        <item m="1" x="571"/>
        <item m="1" x="711"/>
        <item m="1" x="421"/>
        <item m="1" x="959"/>
        <item m="1" x="1017"/>
        <item m="1" x="26"/>
        <item m="1" x="706"/>
        <item m="1" x="931"/>
        <item m="1" x="617"/>
        <item m="1" x="353"/>
        <item m="1" x="520"/>
        <item m="1" x="449"/>
        <item m="1" x="897"/>
        <item m="1" x="1009"/>
        <item m="1" x="915"/>
        <item m="1" x="121"/>
        <item m="1" x="198"/>
        <item m="1" x="425"/>
        <item m="1" x="926"/>
        <item m="1" x="169"/>
        <item m="1" x="335"/>
        <item m="1" x="503"/>
        <item m="1" x="894"/>
        <item m="1" x="12"/>
        <item m="1" x="389"/>
        <item m="1" x="442"/>
        <item m="1" x="870"/>
        <item m="1" x="42"/>
        <item m="1" x="927"/>
        <item m="1" x="867"/>
        <item m="1" x="581"/>
        <item m="1" x="21"/>
        <item m="1" x="462"/>
        <item m="1" x="900"/>
        <item m="1" x="628"/>
        <item m="1" x="214"/>
        <item m="1" x="675"/>
        <item m="1" x="1007"/>
        <item m="1" x="109"/>
        <item m="1" x="935"/>
        <item m="1" x="665"/>
        <item m="1" x="648"/>
        <item m="1" x="944"/>
        <item m="1" x="531"/>
        <item m="1" x="874"/>
        <item m="1" x="989"/>
        <item m="1" x="311"/>
        <item m="1" x="146"/>
        <item m="1" x="455"/>
        <item m="1" x="263"/>
        <item m="1" x="317"/>
        <item m="1" x="928"/>
        <item m="1" x="46"/>
        <item m="1" x="178"/>
        <item m="1" x="715"/>
        <item m="1" x="292"/>
        <item m="1" x="560"/>
        <item m="1" x="539"/>
        <item m="1" x="267"/>
        <item m="1" x="211"/>
        <item m="1" x="20"/>
        <item m="1" x="958"/>
        <item m="1" x="783"/>
        <item m="1" x="529"/>
        <item m="1" x="981"/>
        <item m="1" x="481"/>
        <item m="1" x="512"/>
        <item m="1" x="792"/>
        <item m="1" x="423"/>
        <item m="1" x="295"/>
        <item m="1" x="398"/>
        <item m="1" x="441"/>
        <item m="1" x="530"/>
        <item m="1" x="615"/>
        <item m="1" x="190"/>
        <item m="1" x="186"/>
        <item m="1" x="873"/>
        <item m="1" x="988"/>
        <item m="1" x="310"/>
        <item m="1" x="177"/>
        <item m="1" x="714"/>
        <item m="1" x="602"/>
        <item m="1" x="405"/>
        <item m="1" x="807"/>
        <item m="1" x="971"/>
        <item m="1" x="886"/>
        <item m="1" x="17"/>
        <item m="1" x="183"/>
        <item m="1" x="878"/>
        <item m="1" x="533"/>
        <item m="1" x="2"/>
        <item m="1" x="407"/>
        <item m="1" x="616"/>
        <item m="1" x="879"/>
        <item m="1" x="113"/>
        <item m="1" x="440"/>
        <item m="1" x="255"/>
        <item m="1" x="764"/>
        <item m="1" x="557"/>
        <item m="1" x="545"/>
        <item m="1" x="772"/>
        <item m="1" x="538"/>
        <item m="1" x="266"/>
        <item m="1" x="427"/>
        <item m="1" x="888"/>
        <item m="1" x="469"/>
        <item m="1" x="59"/>
        <item m="1" x="852"/>
        <item m="1" x="93"/>
        <item m="1" x="857"/>
        <item m="1" x="379"/>
        <item m="1" x="386"/>
        <item m="1" x="791"/>
        <item m="1" x="856"/>
        <item m="1" x="150"/>
        <item m="1" x="514"/>
        <item m="1" x="92"/>
        <item m="1" x="945"/>
        <item m="1" x="285"/>
        <item m="1" x="419"/>
        <item m="1" x="128"/>
        <item m="1" x="991"/>
        <item m="1" x="445"/>
        <item m="1" x="189"/>
        <item m="1" x="461"/>
        <item m="1" x="773"/>
        <item m="1" x="877"/>
        <item m="1" x="180"/>
        <item m="1" x="580"/>
        <item m="1" x="163"/>
        <item m="1" x="973"/>
        <item m="1" x="710"/>
        <item m="1" x="850"/>
        <item m="1" x="974"/>
        <item m="1" x="373"/>
        <item m="1" x="556"/>
        <item m="1" x="544"/>
        <item m="1" x="763"/>
        <item m="1" x="410"/>
        <item m="1" x="426"/>
        <item m="1" x="800"/>
        <item m="1" x="883"/>
        <item m="1" x="551"/>
        <item m="1" x="397"/>
        <item m="1" x="114"/>
        <item m="1" x="858"/>
        <item m="1" x="170"/>
        <item m="1" x="882"/>
        <item m="1" x="444"/>
        <item m="1" x="313"/>
        <item m="1" x="946"/>
        <item m="1" x="572"/>
        <item m="1" x="159"/>
        <item m="1" x="475"/>
        <item m="1" x="779"/>
        <item m="1" x="790"/>
        <item m="1" x="759"/>
        <item m="1" x="176"/>
        <item m="1" x="982"/>
        <item m="1" x="952"/>
        <item m="1" x="745"/>
        <item m="1" x="226"/>
        <item m="1" x="640"/>
        <item m="1" x="47"/>
        <item m="1" x="216"/>
        <item m="1" x="576"/>
        <item m="1" x="810"/>
        <item m="1" x="554"/>
        <item m="1" x="344"/>
        <item m="1" x="167"/>
        <item m="1" x="124"/>
        <item m="1" x="631"/>
        <item m="1" x="280"/>
        <item m="1" x="519"/>
        <item m="1" x="382"/>
        <item m="1" x="312"/>
        <item m="1" x="439"/>
        <item m="1" x="244"/>
        <item m="1" x="695"/>
        <item m="1" x="966"/>
        <item m="1" x="1018"/>
        <item m="1" x="860"/>
        <item m="1" x="822"/>
        <item m="1" x="105"/>
        <item m="1" x="594"/>
        <item m="1" x="53"/>
        <item m="1" x="709"/>
        <item m="1" x="623"/>
        <item m="1" x="823"/>
        <item m="1" x="11"/>
        <item m="1" x="682"/>
        <item m="1" x="391"/>
        <item m="1" x="254"/>
        <item m="1" x="826"/>
        <item m="1" x="1025"/>
        <item m="1" x="1022"/>
        <item m="1" x="363"/>
        <item m="1" x="994"/>
        <item m="1" x="133"/>
        <item m="1" x="259"/>
        <item m="1" x="223"/>
        <item m="1" x="600"/>
        <item m="1" x="814"/>
        <item m="1" x="977"/>
        <item m="1" x="36"/>
        <item m="1" x="345"/>
        <item m="1" x="37"/>
        <item m="1" x="901"/>
        <item m="1" x="231"/>
        <item m="1" x="268"/>
        <item m="1" x="677"/>
        <item m="1" x="232"/>
        <item m="1" x="346"/>
        <item m="1" x="90"/>
        <item m="1" x="636"/>
        <item m="1" x="331"/>
        <item m="1" x="951"/>
        <item m="1" x="1004"/>
        <item m="1" x="29"/>
        <item m="1" x="998"/>
        <item m="1" x="467"/>
        <item m="1" x="110"/>
        <item m="1" x="629"/>
        <item m="1" x="174"/>
        <item m="1" x="273"/>
        <item m="1" x="748"/>
        <item m="1" x="502"/>
        <item m="1" x="522"/>
        <item m="1" x="123"/>
        <item m="1" x="332"/>
        <item m="1" x="91"/>
        <item m="1" x="1005"/>
        <item m="1" x="30"/>
        <item m="1" x="195"/>
        <item m="1" x="227"/>
        <item m="1" x="490"/>
        <item m="1" x="969"/>
        <item m="1" x="60"/>
        <item m="1" x="542"/>
        <item m="1" x="964"/>
        <item m="1" x="541"/>
        <item m="1" x="771"/>
        <item m="1" x="196"/>
        <item m="1" x="742"/>
        <item m="1" x="610"/>
        <item m="1" x="482"/>
        <item m="1" x="787"/>
        <item m="1" x="318"/>
        <item m="1" x="889"/>
        <item m="1" x="575"/>
        <item m="1" x="548"/>
        <item m="1" x="243"/>
        <item m="1" x="947"/>
        <item m="1" x="464"/>
        <item m="1" x="579"/>
        <item m="1" x="516"/>
        <item m="1" x="511"/>
        <item m="1" x="1006"/>
        <item m="1" x="650"/>
        <item m="1" x="910"/>
        <item m="1" x="16"/>
        <item m="1" x="713"/>
        <item m="1" x="31"/>
        <item m="1" x="678"/>
        <item m="1" x="460"/>
        <item m="1" x="302"/>
        <item m="1" x="899"/>
        <item m="1" x="869"/>
        <item m="1" x="699"/>
        <item m="1" x="236"/>
        <item m="1" x="248"/>
        <item m="1" x="638"/>
        <item m="1" x="303"/>
        <item m="1" x="700"/>
        <item m="1" x="249"/>
        <item m="1" x="340"/>
        <item m="1" x="486"/>
        <item m="1" x="341"/>
        <item m="1" x="364"/>
        <item m="1" x="746"/>
        <item m="1" x="718"/>
        <item m="1" x="412"/>
        <item m="1" x="855"/>
        <item m="1" x="294"/>
        <item m="1" x="933"/>
        <item m="1" x="868"/>
        <item m="1" x="676"/>
        <item m="1" x="411"/>
        <item m="1" x="104"/>
        <item m="1" x="1008"/>
        <item m="1" x="487"/>
        <item m="1" x="747"/>
        <item m="1" x="778"/>
        <item m="1" x="108"/>
        <item m="1" x="777"/>
        <item m="1" x="152"/>
        <item m="1" x="808"/>
        <item m="1" x="555"/>
        <item m="1" x="892"/>
        <item m="1" x="264"/>
        <item m="1" x="153"/>
        <item m="1" x="670"/>
        <item m="1" x="316"/>
        <item m="1" x="669"/>
        <item m="1" x="871"/>
        <item m="1" x="758"/>
        <item m="1" x="315"/>
        <item m="1" x="688"/>
        <item m="1" x="192"/>
        <item m="1" x="394"/>
        <item m="1" x="689"/>
        <item m="1" x="193"/>
        <item m="1" x="325"/>
        <item m="1" x="588"/>
        <item m="1" x="975"/>
        <item m="1" x="355"/>
        <item m="1" x="671"/>
        <item m="1" x="448"/>
        <item m="1" x="212"/>
        <item m="1" x="304"/>
        <item m="1" x="604"/>
        <item m="1" x="337"/>
        <item m="1" x="697"/>
        <item m="1" x="780"/>
        <item m="1" x="1013"/>
        <item m="1" x="907"/>
        <item m="1" x="493"/>
        <item m="1" x="536"/>
        <item m="1" x="990"/>
        <item m="1" x="287"/>
        <item m="1" x="890"/>
        <item m="1" x="484"/>
        <item m="1" x="358"/>
        <item m="1" x="132"/>
        <item m="1" x="843"/>
        <item m="1" x="829"/>
        <item m="1" x="859"/>
        <item m="1" x="136"/>
        <item m="1" x="286"/>
        <item m="1" x="517"/>
        <item m="1" x="8"/>
        <item m="1" x="661"/>
        <item m="1" x="698"/>
        <item m="1" x="148"/>
        <item m="1" x="122"/>
        <item m="1" x="854"/>
        <item m="1" x="117"/>
        <item m="1" x="622"/>
        <item m="1" x="187"/>
        <item m="1" x="368"/>
        <item m="1" x="393"/>
        <item m="1" x="499"/>
        <item m="1" x="821"/>
        <item m="1" x="916"/>
        <item m="1" x="369"/>
        <item m="1" x="349"/>
        <item m="1" x="768"/>
        <item m="1" x="477"/>
        <item m="1" x="94"/>
        <item m="1" x="658"/>
        <item m="1" x="936"/>
        <item m="1" x="473"/>
        <item m="1" x="766"/>
        <item m="1" x="500"/>
        <item m="1" x="253"/>
        <item m="1" x="262"/>
        <item m="1" x="853"/>
        <item m="1" x="217"/>
        <item m="1" x="326"/>
        <item m="1" x="120"/>
        <item m="1" x="796"/>
        <item m="1" x="233"/>
        <item m="1" x="913"/>
        <item m="1" x="784"/>
        <item m="1" x="740"/>
        <item m="1" x="165"/>
        <item m="1" x="583"/>
        <item m="1" x="712"/>
        <item m="1" x="849"/>
        <item m="1" x="465"/>
        <item m="1" x="983"/>
        <item m="1" x="181"/>
        <item m="1" x="846"/>
        <item m="1" x="431"/>
        <item m="1" x="241"/>
        <item m="1" x="906"/>
        <item m="1" x="592"/>
        <item m="1" x="816"/>
        <item m="1" x="35"/>
        <item m="1" x="744"/>
        <item m="1" x="524"/>
        <item m="1" x="468"/>
        <item m="1" x="911"/>
        <item m="1" x="3"/>
        <item m="1" x="276"/>
        <item m="1" x="595"/>
        <item m="1" x="949"/>
        <item m="1" x="905"/>
        <item m="1" x="224"/>
        <item m="1" x="221"/>
        <item m="1" x="775"/>
        <item m="1" x="653"/>
        <item m="1" x="607"/>
        <item m="1" x="305"/>
        <item m="1" x="776"/>
        <item m="1" x="225"/>
        <item m="1" x="4"/>
        <item m="1" x="608"/>
        <item m="1" x="917"/>
        <item m="1" x="370"/>
        <item m="1" x="95"/>
        <item m="1" x="277"/>
        <item m="1" x="596"/>
        <item m="1" x="950"/>
        <item m="1" x="222"/>
        <item m="1" x="350"/>
        <item m="1" x="478"/>
        <item m="1" x="937"/>
        <item m="1" x="654"/>
        <item m="1" x="306"/>
        <item m="1" x="528"/>
        <item m="1" x="957"/>
        <item m="1" x="920"/>
        <item m="1" x="362"/>
        <item m="1" x="476"/>
        <item m="1" x="815"/>
        <item m="1" x="621"/>
        <item m="1" x="127"/>
        <item m="1" x="284"/>
        <item m="1" x="251"/>
        <item m="1" x="336"/>
        <item m="1" x="352"/>
        <item m="1" x="735"/>
        <item m="1" x="235"/>
        <item m="1" x="993"/>
        <item m="1" x="625"/>
        <item m="1" x="730"/>
        <item m="1" x="209"/>
        <item m="1" x="624"/>
        <item m="1" x="954"/>
        <item m="1" x="261"/>
        <item m="1" x="953"/>
        <item m="1" x="348"/>
        <item m="1" x="54"/>
      </items>
    </pivotField>
    <pivotField axis="axisRow" showAll="0" defaultSubtotal="0">
      <items count="7">
        <item m="1" x="5"/>
        <item m="1" x="6"/>
        <item x="0"/>
        <item m="1" x="4"/>
        <item m="1" x="2"/>
        <item m="1" x="3"/>
        <item m="1" x="1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2"/>
        <item x="0"/>
        <item m="1" x="1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9">
        <item m="1" x="4"/>
        <item m="1" x="6"/>
        <item x="0"/>
        <item m="1" x="1"/>
        <item m="1" x="8"/>
        <item m="1" x="2"/>
        <item m="1" x="3"/>
        <item m="1" x="5"/>
        <item m="1" x="7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113">
      <pivotArea dataOnly="0" labelOnly="1" grandCol="1" outline="0" fieldPosition="0"/>
    </format>
    <format dxfId="112">
      <pivotArea dataOnly="0" labelOnly="1" grandCol="1" outline="0" fieldPosition="0"/>
    </format>
    <format dxfId="111">
      <pivotArea dataOnly="0" labelOnly="1" grandCol="1" outline="0" fieldPosition="0"/>
    </format>
    <format dxfId="110">
      <pivotArea dataOnly="0" labelOnly="1" grandCol="1" outline="0" fieldPosition="0"/>
    </format>
    <format dxfId="109">
      <pivotArea dataOnly="0" labelOnly="1" grandCol="1" outline="0" fieldPosition="0"/>
    </format>
    <format dxfId="108">
      <pivotArea dataOnly="0" labelOnly="1" grandCol="1" outline="0" fieldPosition="0"/>
    </format>
    <format dxfId="107">
      <pivotArea dataOnly="0" labelOnly="1" grandCol="1" outline="0" fieldPosition="0"/>
    </format>
    <format dxfId="106">
      <pivotArea dataOnly="0" labelOnly="1" grandCol="1" outline="0" fieldPosition="0"/>
    </format>
    <format dxfId="105">
      <pivotArea type="origin" dataOnly="0" labelOnly="1" outline="0" fieldPosition="0"/>
    </format>
    <format dxfId="104">
      <pivotArea type="topRight" dataOnly="0" labelOnly="1" outline="0" fieldPosition="0"/>
    </format>
    <format dxfId="103">
      <pivotArea type="origin" dataOnly="0" labelOnly="1" outline="0" fieldPosition="0"/>
    </format>
    <format dxfId="102">
      <pivotArea type="topRight" dataOnly="0" labelOnly="1" outline="0" fieldPosition="0"/>
    </format>
    <format dxfId="101">
      <pivotArea type="origin" dataOnly="0" labelOnly="1" outline="0" fieldPosition="0"/>
    </format>
    <format dxfId="100">
      <pivotArea type="topRight" dataOnly="0" labelOnly="1" outline="0" fieldPosition="0"/>
    </format>
    <format dxfId="99">
      <pivotArea type="origin" dataOnly="0" labelOnly="1" outline="0" fieldPosition="0"/>
    </format>
    <format dxfId="98">
      <pivotArea type="topRight" dataOnly="0" labelOnly="1" outline="0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12" count="0"/>
        </references>
      </pivotArea>
    </format>
    <format dxfId="95">
      <pivotArea dataOnly="0" labelOnly="1" grandCol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12" count="0"/>
        </references>
      </pivotArea>
    </format>
    <format dxfId="92">
      <pivotArea dataOnly="0" labelOnly="1" grandCol="1" outline="0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12" count="0"/>
        </references>
      </pivotArea>
    </format>
    <format dxfId="89">
      <pivotArea dataOnly="0" labelOnly="1" grandCol="1" outline="0" fieldPosition="0"/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outline="0" axis="axisValues" fieldPosition="0"/>
    </format>
    <format dxfId="83">
      <pivotArea dataOnly="0" labelOnly="1" fieldPosition="0">
        <references count="1">
          <reference field="1" count="0"/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outline="0" axis="axisValues" fieldPosition="0"/>
    </format>
    <format dxfId="76">
      <pivotArea dataOnly="0" labelOnly="1" fieldPosition="0">
        <references count="1">
          <reference field="1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16">
    <queryTableFields count="45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37">
  <autoFilter ref="K1:L4"/>
  <tableColumns count="2">
    <tableColumn id="1" name="Holyday" dataDxfId="136"/>
    <tableColumn id="2" name="Date" dataDxfId="13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34">
  <autoFilter ref="N1:P10"/>
  <tableColumns count="3">
    <tableColumn id="1" name="Release Date" dataDxfId="133"/>
    <tableColumn id="3" name="Week" dataDxfId="132">
      <calculatedColumnFormula>Releases[[#This Row],[Release Date]]-WEEKDAY(Releases[[#This Row],[Release Date]],3)</calculatedColumnFormula>
    </tableColumn>
    <tableColumn id="2" name="Release Name" dataDxfId="13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30">
  <tableColumns count="9">
    <tableColumn id="1" name="Role" totalsRowLabel="Grand Total"/>
    <tableColumn id="2" name="People" totalsRowFunction="sum" dataDxfId="129" totalsRowDxfId="128"/>
    <tableColumn id="3" name="Individual Daily Effort (net)" dataDxfId="127" totalsRowDxfId="126"/>
    <tableColumn id="4" name="Team Daily Capability" totalsRowFunction="sum" dataDxfId="125" totalsRowDxfId="124"/>
    <tableColumn id="5" name="Cycle Hours  on Backlog" totalsRowFunction="sum" dataDxfId="123" totalsRowDxfId="122"/>
    <tableColumn id="6" name="Risk" totalsRowFunction="sum" dataDxfId="121" totalsRowDxfId="120">
      <calculatedColumnFormula>Timeline[[#This Row],[Cycle Hours  on Backlog]]*$B$1</calculatedColumnFormula>
    </tableColumn>
    <tableColumn id="7" name="Total" totalsRowFunction="sum" dataDxfId="119" totalsRowDxfId="118">
      <calculatedColumnFormula>Timeline[[#This Row],[Cycle Hours  on Backlog]]+Timeline[[#This Row],[Risk]]</calculatedColumnFormula>
    </tableColumn>
    <tableColumn id="11" name="Working Days" totalsRowFunction="max" dataDxfId="117" totalsRowDxfId="116">
      <calculatedColumnFormula>IF(D10=0,0,G10/D10)</calculatedColumnFormula>
    </tableColumn>
    <tableColumn id="12" name="Last Day of Work" totalsRowFunction="max" dataDxfId="115" totalsRowDxfId="114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4" totalsRowCount="1" headerRowDxfId="73" dataDxfId="72" totalsRowDxfId="71">
  <sortState ref="A2:H38">
    <sortCondition ref="B3:B38"/>
    <sortCondition ref="C3:C38"/>
    <sortCondition ref="D3:D38"/>
  </sortState>
  <tableColumns count="9">
    <tableColumn id="1" name="Project" totalsRowLabel="Total" dataDxfId="70" totalsRowDxfId="69"/>
    <tableColumn id="2" name="Group" totalsRowFunction="count" dataDxfId="68" totalsRowDxfId="67">
      <calculatedColumnFormula>IF(ISERROR(FIND("BALLPARK",C2)), "Plan", "BALLPARK")</calculatedColumnFormula>
    </tableColumn>
    <tableColumn id="4" name="Issue Type" dataDxfId="66" totalsRowDxfId="65"/>
    <tableColumn id="5" name="Role" dataDxfId="64" totalsRowDxfId="63"/>
    <tableColumn id="3" name="Role Allocation" dataDxfId="62" totalsRowDxfId="61"/>
    <tableColumn id="6" name="Issue Type Allocation" dataDxfId="60" totalsRowDxfId="59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58" totalsRowDxfId="57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56" totalsRowDxfId="55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54" totalsRowDxfId="53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52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51"/>
    <tableColumn id="1" name="Cycle" dataDxfId="50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S10000" tableType="queryTable" totalsRowShown="0">
  <autoFilter ref="A1:AS10000"/>
  <sortState ref="A2:AS119">
    <sortCondition ref="W2:W119"/>
    <sortCondition ref="D2:D119"/>
    <sortCondition ref="I2:I119"/>
    <sortCondition ref="O2:O119"/>
  </sortState>
  <tableColumns count="45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49"/>
    <tableColumn id="26" uniqueName="26" name="CycleEstimate" queryTableFieldId="84" dataDxfId="48"/>
    <tableColumn id="14" uniqueName="14" name="EffortOnBacklog" queryTableFieldId="88" dataDxfId="47"/>
    <tableColumn id="48" uniqueName="48" name="CycleOnBacklog" queryTableFieldId="93" dataDxfId="46"/>
    <tableColumn id="31" uniqueName="31" name="BallparkEffort" queryTableFieldId="52" dataDxfId="45"/>
    <tableColumn id="30" uniqueName="30" name="PlannedEffort" queryTableFieldId="51" dataDxfId="44"/>
    <tableColumn id="25" uniqueName="25" name="EffortDone" queryTableFieldId="25" dataDxfId="43"/>
    <tableColumn id="49" uniqueName="49" name="CycleDone" queryTableFieldId="94" dataDxfId="42"/>
    <tableColumn id="21" uniqueName="21" name="WorklogDone" queryTableFieldId="96" dataDxfId="41"/>
    <tableColumn id="27" uniqueName="27" name="WorklogDoing" queryTableFieldId="97" dataDxfId="40"/>
    <tableColumn id="37" uniqueName="37" name="CountTasks" queryTableFieldId="37" dataDxfId="39"/>
    <tableColumn id="36" uniqueName="36" name="CountDemands" queryTableFieldId="36" dataDxfId="38"/>
    <tableColumn id="38" uniqueName="38" name="CountSubtasks" queryTableFieldId="38" dataDxfId="37"/>
    <tableColumn id="34" uniqueName="34" name="SubtaskEstimativeForEEPCalculation" queryTableFieldId="34" dataDxfId="36"/>
    <tableColumn id="46" uniqueName="46" name="PlannedEffortOnBug" queryTableFieldId="57" dataDxfId="35"/>
    <tableColumn id="47" uniqueName="47" name="WorklogOnBug" queryTableFieldId="58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6" sqref="A6"/>
    </sheetView>
  </sheetViews>
  <sheetFormatPr defaultColWidth="53.42578125" defaultRowHeight="15" x14ac:dyDescent="0.25"/>
  <cols>
    <col min="1" max="1" width="55.5703125" customWidth="1"/>
    <col min="2" max="2" width="9.28515625" bestFit="1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5.4257812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155</v>
      </c>
    </row>
    <row r="2" spans="1:19" x14ac:dyDescent="0.25">
      <c r="A2" s="11"/>
      <c r="B2" s="11"/>
      <c r="N2" s="6" t="s">
        <v>156</v>
      </c>
      <c r="O2" s="13">
        <f>Timeline!B2</f>
        <v>42912</v>
      </c>
      <c r="Q2" s="124">
        <f ca="1">(O4-O2-1)/(O3-O2)</f>
        <v>1.4666666666666666</v>
      </c>
    </row>
    <row r="3" spans="1:19" x14ac:dyDescent="0.25">
      <c r="F3" s="35"/>
      <c r="G3" s="35"/>
      <c r="H3" s="35"/>
      <c r="I3" s="35"/>
      <c r="N3" s="6" t="s">
        <v>157</v>
      </c>
      <c r="O3" s="13">
        <f>Timeline!I17</f>
        <v>42942</v>
      </c>
    </row>
    <row r="4" spans="1:19" x14ac:dyDescent="0.25">
      <c r="F4" s="35"/>
      <c r="G4" s="35"/>
      <c r="H4" s="35"/>
      <c r="I4" s="35"/>
      <c r="N4" s="6" t="s">
        <v>158</v>
      </c>
      <c r="O4" s="13">
        <f ca="1">TODAY()</f>
        <v>42957</v>
      </c>
    </row>
    <row r="5" spans="1:19" s="9" customFormat="1" x14ac:dyDescent="0.25">
      <c r="A5" s="1" t="s">
        <v>0</v>
      </c>
      <c r="B5" t="s">
        <v>189</v>
      </c>
    </row>
    <row r="6" spans="1:19" s="7" customFormat="1" x14ac:dyDescent="0.25">
      <c r="A6" s="1" t="s">
        <v>13</v>
      </c>
      <c r="B6" t="s">
        <v>189</v>
      </c>
      <c r="C6"/>
      <c r="D6"/>
      <c r="E6" s="16"/>
      <c r="F6" s="35"/>
      <c r="G6" s="35"/>
      <c r="H6" s="35"/>
    </row>
    <row r="7" spans="1:19" x14ac:dyDescent="0.25">
      <c r="A7" s="1" t="s">
        <v>11</v>
      </c>
      <c r="B7" t="s">
        <v>189</v>
      </c>
      <c r="F7" s="35"/>
      <c r="G7" s="35"/>
      <c r="H7" s="35"/>
      <c r="I7" s="35"/>
    </row>
    <row r="8" spans="1:19" x14ac:dyDescent="0.25">
      <c r="A8" s="1" t="s">
        <v>161</v>
      </c>
      <c r="B8" t="s">
        <v>187</v>
      </c>
      <c r="C8"/>
      <c r="D8"/>
      <c r="E8"/>
    </row>
    <row r="9" spans="1:19" x14ac:dyDescent="0.25">
      <c r="A9" s="1" t="s">
        <v>164</v>
      </c>
      <c r="B9" t="s">
        <v>189</v>
      </c>
    </row>
    <row r="10" spans="1:19" x14ac:dyDescent="0.25">
      <c r="A10" s="1" t="s">
        <v>169</v>
      </c>
      <c r="B10" t="s">
        <v>187</v>
      </c>
      <c r="C10"/>
      <c r="D10"/>
      <c r="E10"/>
    </row>
    <row r="11" spans="1:19" x14ac:dyDescent="0.25">
      <c r="A11" s="1" t="s">
        <v>168</v>
      </c>
      <c r="B11" t="s">
        <v>187</v>
      </c>
      <c r="C11"/>
      <c r="D11"/>
      <c r="E11"/>
    </row>
    <row r="12" spans="1:19" x14ac:dyDescent="0.25">
      <c r="A12" s="1" t="s">
        <v>171</v>
      </c>
      <c r="B12" t="s">
        <v>189</v>
      </c>
    </row>
    <row r="13" spans="1:19" s="10" customFormat="1" ht="15.75" x14ac:dyDescent="0.25">
      <c r="A13"/>
      <c r="B13"/>
      <c r="C13" s="130" t="s">
        <v>30</v>
      </c>
      <c r="D13" s="131"/>
      <c r="E13" s="132"/>
      <c r="F13" s="130" t="s">
        <v>121</v>
      </c>
      <c r="G13" s="131"/>
      <c r="H13" s="131"/>
      <c r="I13" s="132"/>
      <c r="J13" s="130" t="s">
        <v>122</v>
      </c>
      <c r="K13" s="131"/>
      <c r="L13" s="132"/>
      <c r="M13" s="128" t="s">
        <v>135</v>
      </c>
      <c r="N13" s="129"/>
      <c r="O13" s="129"/>
      <c r="P13" s="129"/>
      <c r="Q13" s="133"/>
      <c r="R13" s="128" t="s">
        <v>124</v>
      </c>
      <c r="S13" s="129"/>
    </row>
    <row r="14" spans="1:19" s="44" customFormat="1" ht="30" x14ac:dyDescent="0.25">
      <c r="A14" s="45" t="s">
        <v>32</v>
      </c>
      <c r="B14" s="32" t="s">
        <v>31</v>
      </c>
      <c r="C14" s="59" t="s">
        <v>25</v>
      </c>
      <c r="D14" s="60" t="s">
        <v>127</v>
      </c>
      <c r="E14" s="61" t="s">
        <v>126</v>
      </c>
      <c r="F14" s="60" t="s">
        <v>33</v>
      </c>
      <c r="G14" s="60" t="s">
        <v>34</v>
      </c>
      <c r="H14" s="60" t="s">
        <v>125</v>
      </c>
      <c r="I14" s="61" t="s">
        <v>35</v>
      </c>
      <c r="J14" s="60" t="s">
        <v>123</v>
      </c>
      <c r="K14" s="60" t="s">
        <v>10</v>
      </c>
      <c r="L14" s="61" t="s">
        <v>120</v>
      </c>
      <c r="M14" s="32" t="s">
        <v>4</v>
      </c>
      <c r="N14" s="32" t="s">
        <v>136</v>
      </c>
      <c r="O14" s="60" t="s">
        <v>55</v>
      </c>
      <c r="P14" s="60" t="s">
        <v>128</v>
      </c>
      <c r="Q14" s="60" t="s">
        <v>74</v>
      </c>
      <c r="R14" s="59" t="s">
        <v>39</v>
      </c>
      <c r="S14" s="61" t="s">
        <v>38</v>
      </c>
    </row>
    <row r="15" spans="1:19" s="7" customFormat="1" x14ac:dyDescent="0.25">
      <c r="A15" s="2" t="s">
        <v>187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187</v>
      </c>
      <c r="B16" s="8">
        <v>0</v>
      </c>
      <c r="C16" s="52">
        <v>0</v>
      </c>
      <c r="D16" s="53">
        <v>0</v>
      </c>
      <c r="E16" s="54">
        <v>0</v>
      </c>
      <c r="F16" s="47">
        <v>0</v>
      </c>
      <c r="G16" s="40" t="e">
        <v>#DIV/0!</v>
      </c>
      <c r="H16" s="47">
        <v>0</v>
      </c>
      <c r="I16" s="41" t="e">
        <v>#DIV/0!</v>
      </c>
      <c r="J16" s="47">
        <v>0</v>
      </c>
      <c r="K16" s="47">
        <v>0</v>
      </c>
      <c r="L16" s="48">
        <v>0</v>
      </c>
      <c r="M16" s="4">
        <v>0</v>
      </c>
      <c r="N16" s="25">
        <v>0</v>
      </c>
      <c r="O16" s="29">
        <v>0</v>
      </c>
      <c r="P16" s="58">
        <v>0</v>
      </c>
      <c r="Q16" s="29">
        <v>0</v>
      </c>
      <c r="R16" s="46">
        <v>0</v>
      </c>
      <c r="S16" s="48">
        <v>0</v>
      </c>
    </row>
    <row r="17" spans="1:19" s="7" customFormat="1" x14ac:dyDescent="0.25">
      <c r="A17" s="118" t="s">
        <v>187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187</v>
      </c>
      <c r="B18" s="8">
        <v>0</v>
      </c>
      <c r="C18" s="52">
        <v>0</v>
      </c>
      <c r="D18" s="53">
        <v>0</v>
      </c>
      <c r="E18" s="54">
        <v>0</v>
      </c>
      <c r="F18" s="47">
        <v>0</v>
      </c>
      <c r="G18" s="40" t="e">
        <v>#DIV/0!</v>
      </c>
      <c r="H18" s="47">
        <v>0</v>
      </c>
      <c r="I18" s="41" t="e">
        <v>#DIV/0!</v>
      </c>
      <c r="J18" s="47">
        <v>0</v>
      </c>
      <c r="K18" s="47">
        <v>0</v>
      </c>
      <c r="L18" s="48">
        <v>0</v>
      </c>
      <c r="M18" s="4">
        <v>0</v>
      </c>
      <c r="N18" s="25">
        <v>0</v>
      </c>
      <c r="O18" s="29">
        <v>0</v>
      </c>
      <c r="P18" s="58">
        <v>0</v>
      </c>
      <c r="Q18" s="29">
        <v>0</v>
      </c>
      <c r="R18" s="46">
        <v>0</v>
      </c>
      <c r="S18" s="48">
        <v>0</v>
      </c>
    </row>
    <row r="19" spans="1:19" x14ac:dyDescent="0.25">
      <c r="A19" s="123" t="s">
        <v>187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2" t="s">
        <v>188</v>
      </c>
      <c r="B20" s="8">
        <v>0</v>
      </c>
      <c r="C20" s="55">
        <v>0</v>
      </c>
      <c r="D20" s="56">
        <v>0</v>
      </c>
      <c r="E20" s="57">
        <v>0</v>
      </c>
      <c r="F20" s="50">
        <v>0</v>
      </c>
      <c r="G20" s="42" t="e">
        <v>#DIV/0!</v>
      </c>
      <c r="H20" s="50">
        <v>0</v>
      </c>
      <c r="I20" s="43" t="e">
        <v>#DIV/0!</v>
      </c>
      <c r="J20" s="50">
        <v>0</v>
      </c>
      <c r="K20" s="50">
        <v>0</v>
      </c>
      <c r="L20" s="51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9">
        <v>0</v>
      </c>
      <c r="S20" s="51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zoomScaleNormal="100" zoomScalePageLayoutView="130" workbookViewId="0">
      <selection activeCell="A6" sqref="A6"/>
    </sheetView>
  </sheetViews>
  <sheetFormatPr defaultColWidth="10.7109375" defaultRowHeight="15" x14ac:dyDescent="0.25"/>
  <cols>
    <col min="1" max="1" width="40" bestFit="1" customWidth="1"/>
    <col min="2" max="2" width="18.28515625" style="37" bestFit="1" customWidth="1"/>
    <col min="3" max="3" width="10.7109375" style="37" bestFit="1" customWidth="1"/>
    <col min="4" max="4" width="42.7109375" style="37" bestFit="1" customWidth="1"/>
    <col min="5" max="5" width="45" style="37" bestFit="1" customWidth="1"/>
    <col min="6" max="6" width="11.7109375" style="37" customWidth="1"/>
    <col min="7" max="7" width="5.5703125" style="37" customWidth="1"/>
    <col min="8" max="8" width="11.28515625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B1"/>
    </row>
    <row r="2" spans="1:7" x14ac:dyDescent="0.25">
      <c r="A2" s="1" t="s">
        <v>0</v>
      </c>
      <c r="B2" s="125" t="s">
        <v>189</v>
      </c>
    </row>
    <row r="3" spans="1:7" x14ac:dyDescent="0.25">
      <c r="A3" s="1" t="s">
        <v>12</v>
      </c>
      <c r="B3" t="s">
        <v>189</v>
      </c>
    </row>
    <row r="4" spans="1:7" x14ac:dyDescent="0.25">
      <c r="B4"/>
      <c r="C4"/>
      <c r="D4"/>
      <c r="E4"/>
      <c r="F4"/>
      <c r="G4"/>
    </row>
    <row r="5" spans="1:7" x14ac:dyDescent="0.25">
      <c r="A5" s="38" t="s">
        <v>191</v>
      </c>
      <c r="B5" s="38" t="s">
        <v>117</v>
      </c>
      <c r="C5" s="125"/>
      <c r="D5"/>
      <c r="E5"/>
      <c r="F5"/>
      <c r="G5"/>
    </row>
    <row r="6" spans="1:7" x14ac:dyDescent="0.25">
      <c r="A6" s="38" t="s">
        <v>186</v>
      </c>
      <c r="B6" s="32" t="s">
        <v>187</v>
      </c>
      <c r="C6" s="32" t="s">
        <v>188</v>
      </c>
      <c r="D6"/>
      <c r="E6"/>
      <c r="F6"/>
      <c r="G6"/>
    </row>
    <row r="7" spans="1:7" x14ac:dyDescent="0.25">
      <c r="A7" s="2" t="s">
        <v>187</v>
      </c>
      <c r="B7" s="39">
        <v>0</v>
      </c>
      <c r="C7" s="39">
        <v>0</v>
      </c>
      <c r="D7"/>
      <c r="E7"/>
      <c r="F7"/>
      <c r="G7"/>
    </row>
    <row r="8" spans="1:7" x14ac:dyDescent="0.25">
      <c r="A8" s="2" t="s">
        <v>188</v>
      </c>
      <c r="B8" s="39">
        <v>0</v>
      </c>
      <c r="C8" s="39">
        <v>0</v>
      </c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>
      <selection activeCell="I17" sqref="I17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77</v>
      </c>
      <c r="B1" s="68">
        <v>0.2</v>
      </c>
      <c r="K1" s="21" t="s">
        <v>42</v>
      </c>
      <c r="L1" s="22" t="s">
        <v>43</v>
      </c>
      <c r="N1" s="75" t="s">
        <v>93</v>
      </c>
      <c r="O1" s="75" t="s">
        <v>86</v>
      </c>
      <c r="P1" t="s">
        <v>92</v>
      </c>
      <c r="T1" t="s">
        <v>87</v>
      </c>
      <c r="U1" t="s">
        <v>48</v>
      </c>
      <c r="V1" t="s">
        <v>88</v>
      </c>
      <c r="W1" t="s">
        <v>56</v>
      </c>
    </row>
    <row r="2" spans="1:26" x14ac:dyDescent="0.25">
      <c r="A2" s="16" t="s">
        <v>145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180</v>
      </c>
      <c r="T2" t="s">
        <v>154</v>
      </c>
      <c r="U2" t="s">
        <v>151</v>
      </c>
      <c r="V2" s="13">
        <v>42912</v>
      </c>
      <c r="W2">
        <v>0</v>
      </c>
    </row>
    <row r="3" spans="1:26" x14ac:dyDescent="0.25">
      <c r="A3" s="70" t="s">
        <v>45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181</v>
      </c>
      <c r="T3" t="s">
        <v>184</v>
      </c>
      <c r="U3" t="s">
        <v>151</v>
      </c>
      <c r="V3" s="13">
        <v>42912</v>
      </c>
      <c r="W3">
        <v>0</v>
      </c>
    </row>
    <row r="4" spans="1:26" x14ac:dyDescent="0.25">
      <c r="A4" s="16" t="s">
        <v>44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85</v>
      </c>
      <c r="U4" t="s">
        <v>54</v>
      </c>
      <c r="V4" s="13">
        <v>42912</v>
      </c>
      <c r="W4">
        <v>0</v>
      </c>
    </row>
    <row r="5" spans="1:26" x14ac:dyDescent="0.25">
      <c r="A5" s="16" t="s">
        <v>46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47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48</v>
      </c>
      <c r="B9" s="32" t="s">
        <v>49</v>
      </c>
      <c r="C9" s="32" t="s">
        <v>50</v>
      </c>
      <c r="D9" s="32" t="s">
        <v>51</v>
      </c>
      <c r="E9" s="32" t="s">
        <v>132</v>
      </c>
      <c r="F9" s="32" t="s">
        <v>77</v>
      </c>
      <c r="G9" s="32" t="s">
        <v>55</v>
      </c>
      <c r="H9" s="32" t="s">
        <v>52</v>
      </c>
      <c r="I9" s="32" t="s">
        <v>53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151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54</v>
      </c>
      <c r="B11" s="28">
        <v>2</v>
      </c>
      <c r="C11" s="28">
        <v>8</v>
      </c>
      <c r="D11" s="28">
        <f t="shared" ref="D11" si="1">B11*C11</f>
        <v>16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ht="15.75" thickBot="1" x14ac:dyDescent="0.3">
      <c r="A16" t="s">
        <v>2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ht="15.75" thickTop="1" x14ac:dyDescent="0.25">
      <c r="E17" s="30"/>
      <c r="H17" s="126" t="s">
        <v>185</v>
      </c>
      <c r="I17" s="127">
        <v>42942</v>
      </c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conditionalFormatting sqref="I17">
    <cfRule type="cellIs" dxfId="33" priority="1" operator="lessThan">
      <formula>$I$16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20.28515625" bestFit="1" customWidth="1"/>
    <col min="2" max="2" width="21.85546875" bestFit="1" customWidth="1"/>
    <col min="3" max="3" width="8.8554687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15</v>
      </c>
      <c r="B1" t="s">
        <v>189</v>
      </c>
    </row>
    <row r="2" spans="1:48" x14ac:dyDescent="0.25">
      <c r="A2" s="1" t="s">
        <v>48</v>
      </c>
      <c r="B2" t="s">
        <v>189</v>
      </c>
      <c r="J2" s="34"/>
    </row>
    <row r="3" spans="1:48" s="88" customFormat="1" x14ac:dyDescent="0.25">
      <c r="A3" s="1" t="s">
        <v>84</v>
      </c>
      <c r="B3" t="s">
        <v>189</v>
      </c>
    </row>
    <row r="4" spans="1:48" s="88" customFormat="1" ht="40.5" x14ac:dyDescent="0.25">
      <c r="D4" s="88" t="s">
        <v>180</v>
      </c>
      <c r="F4" s="88" t="s">
        <v>181</v>
      </c>
    </row>
    <row r="5" spans="1:48" x14ac:dyDescent="0.25">
      <c r="A5" s="99" t="s">
        <v>150</v>
      </c>
      <c r="B5" s="38" t="s">
        <v>190</v>
      </c>
      <c r="C5" s="78"/>
    </row>
    <row r="6" spans="1:48" s="96" customFormat="1" x14ac:dyDescent="0.25">
      <c r="A6" s="95" t="s">
        <v>186</v>
      </c>
      <c r="B6" s="97" t="s">
        <v>187</v>
      </c>
      <c r="C6" s="98" t="s">
        <v>188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187</v>
      </c>
      <c r="B7" s="25"/>
      <c r="C7" s="25"/>
    </row>
    <row r="8" spans="1:48" x14ac:dyDescent="0.25">
      <c r="A8" s="2" t="s">
        <v>188</v>
      </c>
      <c r="B8" s="25"/>
      <c r="C8" s="25"/>
    </row>
  </sheetData>
  <conditionalFormatting pivot="1" sqref="B7:C8">
    <cfRule type="cellIs" dxfId="32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2"/>
  <sheetViews>
    <sheetView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60</v>
      </c>
      <c r="B1" s="78" t="s">
        <v>101</v>
      </c>
      <c r="C1" s="78" t="s">
        <v>59</v>
      </c>
      <c r="D1" s="78" t="s">
        <v>48</v>
      </c>
      <c r="E1" s="78" t="s">
        <v>75</v>
      </c>
      <c r="F1" s="100" t="s">
        <v>76</v>
      </c>
      <c r="G1" s="101" t="s">
        <v>129</v>
      </c>
      <c r="H1" s="101" t="s">
        <v>130</v>
      </c>
      <c r="I1" s="78" t="s">
        <v>110</v>
      </c>
      <c r="K1" s="99" t="s">
        <v>60</v>
      </c>
      <c r="L1" s="78" t="s">
        <v>179</v>
      </c>
    </row>
    <row r="2" spans="1:12" s="78" customFormat="1" x14ac:dyDescent="0.25">
      <c r="A2" t="s">
        <v>179</v>
      </c>
      <c r="B2" s="23" t="str">
        <f t="shared" ref="B2" si="0">IF(ISERROR(FIND("BALLPARK",C2)), "Plan", "BALLPARK")</f>
        <v>BALLPARK</v>
      </c>
      <c r="C2" s="23" t="s">
        <v>69</v>
      </c>
      <c r="D2" t="s">
        <v>151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179</v>
      </c>
      <c r="B3" s="23" t="str">
        <f t="shared" ref="B3:B33" si="1">IF(ISERROR(FIND("BALLPARK",C3)), "Plan", "BALLPARK")</f>
        <v>BALLPARK</v>
      </c>
      <c r="C3" s="23" t="s">
        <v>69</v>
      </c>
      <c r="D3" t="s">
        <v>54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178</v>
      </c>
      <c r="L3" s="78" t="s">
        <v>131</v>
      </c>
    </row>
    <row r="4" spans="1:12" s="78" customFormat="1" x14ac:dyDescent="0.25">
      <c r="A4" t="s">
        <v>179</v>
      </c>
      <c r="B4" s="23" t="str">
        <f t="shared" si="1"/>
        <v>BALLPARK</v>
      </c>
      <c r="C4" s="23" t="s">
        <v>70</v>
      </c>
      <c r="D4" t="s">
        <v>54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183</v>
      </c>
      <c r="L4" s="106"/>
    </row>
    <row r="5" spans="1:12" s="78" customFormat="1" x14ac:dyDescent="0.25">
      <c r="A5" t="s">
        <v>179</v>
      </c>
      <c r="B5" s="23" t="str">
        <f t="shared" si="1"/>
        <v>BALLPARK</v>
      </c>
      <c r="C5" s="23" t="s">
        <v>70</v>
      </c>
      <c r="D5" t="s">
        <v>151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69</v>
      </c>
      <c r="L5" s="106" t="e">
        <v>#DIV/0!</v>
      </c>
    </row>
    <row r="6" spans="1:12" s="78" customFormat="1" x14ac:dyDescent="0.25">
      <c r="A6" t="s">
        <v>179</v>
      </c>
      <c r="B6" s="23" t="str">
        <f t="shared" si="1"/>
        <v>BALLPARK</v>
      </c>
      <c r="C6" s="23" t="s">
        <v>68</v>
      </c>
      <c r="D6" t="s">
        <v>54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70</v>
      </c>
      <c r="L6" s="106" t="e">
        <v>#DIV/0!</v>
      </c>
    </row>
    <row r="7" spans="1:12" s="78" customFormat="1" x14ac:dyDescent="0.25">
      <c r="A7" t="s">
        <v>179</v>
      </c>
      <c r="B7" s="23" t="str">
        <f t="shared" si="1"/>
        <v>BALLPARK</v>
      </c>
      <c r="C7" s="23" t="s">
        <v>68</v>
      </c>
      <c r="D7" t="s">
        <v>151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68</v>
      </c>
      <c r="L7" s="106" t="e">
        <v>#DIV/0!</v>
      </c>
    </row>
    <row r="8" spans="1:12" s="78" customFormat="1" x14ac:dyDescent="0.25">
      <c r="A8" t="s">
        <v>179</v>
      </c>
      <c r="B8" s="23" t="str">
        <f t="shared" si="1"/>
        <v>BALLPARK</v>
      </c>
      <c r="C8" s="23" t="s">
        <v>109</v>
      </c>
      <c r="D8" t="s">
        <v>54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109</v>
      </c>
      <c r="L8" s="106" t="e">
        <v>#DIV/0!</v>
      </c>
    </row>
    <row r="9" spans="1:12" s="78" customFormat="1" x14ac:dyDescent="0.25">
      <c r="A9" t="s">
        <v>179</v>
      </c>
      <c r="B9" s="23" t="str">
        <f t="shared" si="1"/>
        <v>BALLPARK</v>
      </c>
      <c r="C9" s="23" t="s">
        <v>109</v>
      </c>
      <c r="D9" t="s">
        <v>151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66</v>
      </c>
      <c r="L9" s="106" t="e">
        <v>#DIV/0!</v>
      </c>
    </row>
    <row r="10" spans="1:12" s="78" customFormat="1" x14ac:dyDescent="0.25">
      <c r="A10" t="s">
        <v>179</v>
      </c>
      <c r="B10" s="23" t="str">
        <f t="shared" si="1"/>
        <v>BALLPARK</v>
      </c>
      <c r="C10" s="23" t="s">
        <v>66</v>
      </c>
      <c r="D10" t="s">
        <v>151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182</v>
      </c>
      <c r="L10" s="106" t="e">
        <v>#DIV/0!</v>
      </c>
    </row>
    <row r="11" spans="1:12" s="78" customFormat="1" x14ac:dyDescent="0.25">
      <c r="A11" t="s">
        <v>179</v>
      </c>
      <c r="B11" s="23" t="str">
        <f t="shared" si="1"/>
        <v>BALLPARK</v>
      </c>
      <c r="C11" s="23" t="s">
        <v>182</v>
      </c>
      <c r="D11" t="s">
        <v>54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108</v>
      </c>
      <c r="L11" s="106" t="e">
        <v>#DIV/0!</v>
      </c>
    </row>
    <row r="12" spans="1:12" s="78" customFormat="1" x14ac:dyDescent="0.25">
      <c r="A12" t="s">
        <v>179</v>
      </c>
      <c r="B12" s="23" t="str">
        <f t="shared" si="1"/>
        <v>BALLPARK</v>
      </c>
      <c r="C12" s="23" t="s">
        <v>182</v>
      </c>
      <c r="D12" t="s">
        <v>151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67</v>
      </c>
      <c r="L12" s="106" t="e">
        <v>#DIV/0!</v>
      </c>
    </row>
    <row r="13" spans="1:12" s="78" customFormat="1" x14ac:dyDescent="0.25">
      <c r="A13" t="s">
        <v>179</v>
      </c>
      <c r="B13" s="23" t="str">
        <f t="shared" si="1"/>
        <v>BALLPARK</v>
      </c>
      <c r="C13" s="23" t="s">
        <v>108</v>
      </c>
      <c r="D13" t="s">
        <v>54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65</v>
      </c>
      <c r="L13" s="106"/>
    </row>
    <row r="14" spans="1:12" s="78" customFormat="1" x14ac:dyDescent="0.25">
      <c r="A14" t="s">
        <v>179</v>
      </c>
      <c r="B14" s="23" t="str">
        <f t="shared" si="1"/>
        <v>BALLPARK</v>
      </c>
      <c r="C14" s="23" t="s">
        <v>108</v>
      </c>
      <c r="D14" t="s">
        <v>151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6</v>
      </c>
      <c r="L14" s="106" t="e">
        <v>#DIV/0!</v>
      </c>
    </row>
    <row r="15" spans="1:12" s="78" customFormat="1" x14ac:dyDescent="0.25">
      <c r="A15" t="s">
        <v>179</v>
      </c>
      <c r="B15" s="23" t="str">
        <f t="shared" si="1"/>
        <v>BALLPARK</v>
      </c>
      <c r="C15" s="23" t="s">
        <v>67</v>
      </c>
      <c r="D15" t="s">
        <v>54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23</v>
      </c>
      <c r="L15" s="106" t="e">
        <v>#DIV/0!</v>
      </c>
    </row>
    <row r="16" spans="1:12" s="78" customFormat="1" x14ac:dyDescent="0.25">
      <c r="A16" t="s">
        <v>179</v>
      </c>
      <c r="B16" s="23" t="str">
        <f t="shared" ref="B16" si="2">IF(ISERROR(FIND("BALLPARK",C16)), "Plan", "BALLPARK")</f>
        <v>Plan</v>
      </c>
      <c r="C16" t="s">
        <v>6</v>
      </c>
      <c r="D16" t="s">
        <v>151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9</v>
      </c>
      <c r="L16" s="106" t="e">
        <v>#DIV/0!</v>
      </c>
    </row>
    <row r="17" spans="1:12" s="78" customFormat="1" x14ac:dyDescent="0.25">
      <c r="A17" t="s">
        <v>179</v>
      </c>
      <c r="B17" s="23" t="str">
        <f t="shared" si="1"/>
        <v>Plan</v>
      </c>
      <c r="C17" t="s">
        <v>6</v>
      </c>
      <c r="D17" t="s">
        <v>54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5</v>
      </c>
      <c r="L17" s="106" t="e">
        <v>#DIV/0!</v>
      </c>
    </row>
    <row r="18" spans="1:12" s="78" customFormat="1" x14ac:dyDescent="0.25">
      <c r="A18" t="s">
        <v>179</v>
      </c>
      <c r="B18" s="23" t="str">
        <f t="shared" si="1"/>
        <v>Plan</v>
      </c>
      <c r="C18" t="s">
        <v>23</v>
      </c>
      <c r="D18" t="s">
        <v>54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57</v>
      </c>
      <c r="L18" s="106" t="e">
        <v>#DIV/0!</v>
      </c>
    </row>
    <row r="19" spans="1:12" s="78" customFormat="1" x14ac:dyDescent="0.25">
      <c r="A19" t="s">
        <v>179</v>
      </c>
      <c r="B19" s="23" t="str">
        <f t="shared" si="1"/>
        <v>Plan</v>
      </c>
      <c r="C19" t="s">
        <v>9</v>
      </c>
      <c r="D19" t="s">
        <v>151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7</v>
      </c>
      <c r="L19" s="106" t="e">
        <v>#DIV/0!</v>
      </c>
    </row>
    <row r="20" spans="1:12" s="78" customFormat="1" x14ac:dyDescent="0.25">
      <c r="A20" t="s">
        <v>179</v>
      </c>
      <c r="B20" s="23" t="str">
        <f t="shared" si="1"/>
        <v>Plan</v>
      </c>
      <c r="C20" t="s">
        <v>9</v>
      </c>
      <c r="D20" t="s">
        <v>54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58</v>
      </c>
      <c r="L20" s="106" t="e">
        <v>#DIV/0!</v>
      </c>
    </row>
    <row r="21" spans="1:12" s="78" customFormat="1" x14ac:dyDescent="0.25">
      <c r="A21" t="s">
        <v>179</v>
      </c>
      <c r="B21" s="23" t="str">
        <f t="shared" si="1"/>
        <v>Plan</v>
      </c>
      <c r="C21" t="s">
        <v>5</v>
      </c>
      <c r="D21" t="s">
        <v>151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1</v>
      </c>
      <c r="L21" s="106" t="e">
        <v>#DIV/0!</v>
      </c>
    </row>
    <row r="22" spans="1:12" s="78" customFormat="1" x14ac:dyDescent="0.25">
      <c r="A22" t="s">
        <v>179</v>
      </c>
      <c r="B22" s="23" t="str">
        <f t="shared" si="1"/>
        <v>Plan</v>
      </c>
      <c r="C22" t="s">
        <v>5</v>
      </c>
      <c r="D22" t="s">
        <v>54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8</v>
      </c>
      <c r="L22" s="106" t="e">
        <v>#DIV/0!</v>
      </c>
    </row>
    <row r="23" spans="1:12" s="78" customFormat="1" x14ac:dyDescent="0.25">
      <c r="A23" t="s">
        <v>179</v>
      </c>
      <c r="B23" s="23" t="str">
        <f t="shared" si="1"/>
        <v>Plan</v>
      </c>
      <c r="C23" t="s">
        <v>57</v>
      </c>
      <c r="D23" t="s">
        <v>151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24</v>
      </c>
      <c r="L23" s="106" t="e">
        <v>#DIV/0!</v>
      </c>
    </row>
    <row r="24" spans="1:12" s="78" customFormat="1" x14ac:dyDescent="0.25">
      <c r="A24" t="s">
        <v>179</v>
      </c>
      <c r="B24" s="23" t="str">
        <f t="shared" si="1"/>
        <v>Plan</v>
      </c>
      <c r="C24" t="s">
        <v>7</v>
      </c>
      <c r="D24" t="s">
        <v>54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3</v>
      </c>
      <c r="L24" s="106" t="e">
        <v>#DIV/0!</v>
      </c>
    </row>
    <row r="25" spans="1:12" s="78" customFormat="1" x14ac:dyDescent="0.25">
      <c r="A25" t="s">
        <v>179</v>
      </c>
      <c r="B25" s="23" t="str">
        <f t="shared" si="1"/>
        <v>Plan</v>
      </c>
      <c r="C25" t="s">
        <v>58</v>
      </c>
      <c r="D25" t="s">
        <v>151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2</v>
      </c>
      <c r="L25" s="106" t="e">
        <v>#DIV/0!</v>
      </c>
    </row>
    <row r="26" spans="1:12" s="78" customFormat="1" x14ac:dyDescent="0.25">
      <c r="A26" t="s">
        <v>179</v>
      </c>
      <c r="B26" s="23" t="str">
        <f t="shared" si="1"/>
        <v>Plan</v>
      </c>
      <c r="C26" t="s">
        <v>58</v>
      </c>
      <c r="D26" t="s">
        <v>54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179</v>
      </c>
      <c r="B27" s="23" t="str">
        <f t="shared" si="1"/>
        <v>Plan</v>
      </c>
      <c r="C27" t="s">
        <v>1</v>
      </c>
      <c r="D27" t="s">
        <v>151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179</v>
      </c>
      <c r="B28" s="23" t="str">
        <f t="shared" si="1"/>
        <v>Plan</v>
      </c>
      <c r="C28" t="s">
        <v>1</v>
      </c>
      <c r="D28" t="s">
        <v>54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179</v>
      </c>
      <c r="B29" s="23" t="str">
        <f t="shared" si="1"/>
        <v>Plan</v>
      </c>
      <c r="C29" t="s">
        <v>8</v>
      </c>
      <c r="D29" t="s">
        <v>54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179</v>
      </c>
      <c r="B30" s="23" t="str">
        <f t="shared" si="1"/>
        <v>Plan</v>
      </c>
      <c r="C30" t="s">
        <v>8</v>
      </c>
      <c r="D30" t="s">
        <v>151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179</v>
      </c>
      <c r="B31" s="23" t="str">
        <f t="shared" si="1"/>
        <v>Plan</v>
      </c>
      <c r="C31" t="s">
        <v>24</v>
      </c>
      <c r="D31" t="s">
        <v>151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179</v>
      </c>
      <c r="B32" s="23" t="str">
        <f t="shared" si="1"/>
        <v>Plan</v>
      </c>
      <c r="C32" t="s">
        <v>24</v>
      </c>
      <c r="D32" t="s">
        <v>54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179</v>
      </c>
      <c r="B33" s="23" t="str">
        <f t="shared" si="1"/>
        <v>Plan</v>
      </c>
      <c r="C33" t="s">
        <v>3</v>
      </c>
      <c r="D33" t="s">
        <v>54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55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64</v>
      </c>
      <c r="B1" s="5" t="s">
        <v>16</v>
      </c>
      <c r="C1" s="5" t="s">
        <v>15</v>
      </c>
      <c r="D1" s="36" t="s">
        <v>17</v>
      </c>
      <c r="E1" s="120" t="s">
        <v>107</v>
      </c>
      <c r="G1" t="s">
        <v>101</v>
      </c>
      <c r="H1" t="s">
        <v>102</v>
      </c>
      <c r="I1" s="24" t="s">
        <v>103</v>
      </c>
      <c r="J1" t="s">
        <v>104</v>
      </c>
    </row>
    <row r="2" spans="1:10" x14ac:dyDescent="0.25">
      <c r="A2" t="s">
        <v>6</v>
      </c>
      <c r="B2" t="s">
        <v>18</v>
      </c>
      <c r="C2" t="s">
        <v>71</v>
      </c>
      <c r="D2" s="85">
        <v>1.0638297872340425</v>
      </c>
      <c r="E2" s="121">
        <f>Clusters[[#This Row],[Effort]]*1.2</f>
        <v>1.2765957446808509</v>
      </c>
      <c r="G2" t="s">
        <v>33</v>
      </c>
      <c r="H2" t="s">
        <v>69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6</v>
      </c>
      <c r="B3" t="s">
        <v>19</v>
      </c>
      <c r="C3" t="s">
        <v>71</v>
      </c>
      <c r="D3" s="85">
        <v>2.1276595744680851</v>
      </c>
      <c r="E3" s="121">
        <f>Clusters[[#This Row],[Effort]]*1.2</f>
        <v>2.5531914893617018</v>
      </c>
      <c r="G3" t="s">
        <v>33</v>
      </c>
      <c r="H3" s="23" t="s">
        <v>70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6</v>
      </c>
      <c r="B4" t="s">
        <v>20</v>
      </c>
      <c r="C4" t="s">
        <v>71</v>
      </c>
      <c r="D4" s="85">
        <v>4.2553191489361701</v>
      </c>
      <c r="E4" s="121">
        <f>Clusters[[#This Row],[Effort]]*1.2</f>
        <v>5.1063829787234036</v>
      </c>
      <c r="G4" t="s">
        <v>33</v>
      </c>
      <c r="H4" t="s">
        <v>68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6</v>
      </c>
      <c r="B5" t="s">
        <v>21</v>
      </c>
      <c r="C5" t="s">
        <v>71</v>
      </c>
      <c r="D5" s="85">
        <v>8.5106382978723403</v>
      </c>
      <c r="E5" s="121">
        <f>Clusters[[#This Row],[Effort]]*1.2</f>
        <v>10.212765957446807</v>
      </c>
      <c r="G5" t="s">
        <v>33</v>
      </c>
      <c r="H5" t="s">
        <v>66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6</v>
      </c>
      <c r="B6" t="s">
        <v>22</v>
      </c>
      <c r="C6" t="s">
        <v>71</v>
      </c>
      <c r="D6" s="85">
        <v>16</v>
      </c>
      <c r="E6" s="121">
        <f>Clusters[[#This Row],[Effort]]*1.2</f>
        <v>19.2</v>
      </c>
      <c r="G6" t="s">
        <v>33</v>
      </c>
      <c r="H6" t="s">
        <v>109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40</v>
      </c>
      <c r="B7" t="s">
        <v>18</v>
      </c>
      <c r="C7" t="s">
        <v>71</v>
      </c>
      <c r="D7" s="85">
        <v>1.0638297872340425</v>
      </c>
      <c r="E7" s="121">
        <f>Clusters[[#This Row],[Effort]]*1.2</f>
        <v>1.2765957446808509</v>
      </c>
      <c r="G7" t="s">
        <v>33</v>
      </c>
      <c r="H7" s="23" t="s">
        <v>106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40</v>
      </c>
      <c r="B8" t="s">
        <v>19</v>
      </c>
      <c r="C8" t="s">
        <v>71</v>
      </c>
      <c r="D8" s="85">
        <v>2.1276595744680851</v>
      </c>
      <c r="E8" s="121">
        <f>Clusters[[#This Row],[Effort]]*1.2</f>
        <v>2.5531914893617018</v>
      </c>
      <c r="G8" t="s">
        <v>33</v>
      </c>
      <c r="H8" t="s">
        <v>108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40</v>
      </c>
      <c r="B9" t="s">
        <v>20</v>
      </c>
      <c r="C9" t="s">
        <v>71</v>
      </c>
      <c r="D9" s="85">
        <v>3.191489361702128</v>
      </c>
      <c r="E9" s="121">
        <f>Clusters[[#This Row],[Effort]]*1.2</f>
        <v>3.8297872340425534</v>
      </c>
      <c r="G9" t="s">
        <v>33</v>
      </c>
      <c r="H9" t="s">
        <v>67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40</v>
      </c>
      <c r="B10" t="s">
        <v>21</v>
      </c>
      <c r="C10" t="s">
        <v>71</v>
      </c>
      <c r="D10" s="85">
        <v>4.2553191489361701</v>
      </c>
      <c r="E10" s="121">
        <f>Clusters[[#This Row],[Effort]]*1.2</f>
        <v>5.1063829787234036</v>
      </c>
      <c r="G10" t="s">
        <v>33</v>
      </c>
      <c r="H10" t="s">
        <v>111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40</v>
      </c>
      <c r="B11" t="s">
        <v>22</v>
      </c>
      <c r="C11" t="s">
        <v>71</v>
      </c>
      <c r="D11" s="85">
        <v>5.3191489361702127</v>
      </c>
      <c r="E11" s="121">
        <f>Clusters[[#This Row],[Effort]]*1.2</f>
        <v>6.3829787234042552</v>
      </c>
      <c r="G11" t="s">
        <v>65</v>
      </c>
      <c r="H11" s="24" t="s">
        <v>40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9</v>
      </c>
      <c r="B12" t="s">
        <v>18</v>
      </c>
      <c r="C12" t="s">
        <v>71</v>
      </c>
      <c r="D12" s="85">
        <v>4</v>
      </c>
      <c r="E12" s="121">
        <f>Clusters[[#This Row],[Effort]]*1.2</f>
        <v>4.8</v>
      </c>
      <c r="G12" t="s">
        <v>65</v>
      </c>
      <c r="H12" s="24" t="s">
        <v>6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9</v>
      </c>
      <c r="B13" t="s">
        <v>19</v>
      </c>
      <c r="C13" t="s">
        <v>71</v>
      </c>
      <c r="D13" s="85">
        <v>16</v>
      </c>
      <c r="E13" s="121">
        <f>Clusters[[#This Row],[Effort]]*1.2</f>
        <v>19.2</v>
      </c>
      <c r="G13" t="s">
        <v>65</v>
      </c>
      <c r="H13" t="s">
        <v>9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9</v>
      </c>
      <c r="B14" t="s">
        <v>20</v>
      </c>
      <c r="C14" t="s">
        <v>71</v>
      </c>
      <c r="D14" s="85">
        <v>24</v>
      </c>
      <c r="E14" s="121">
        <f>Clusters[[#This Row],[Effort]]*1.2</f>
        <v>28.799999999999997</v>
      </c>
      <c r="G14" t="s">
        <v>65</v>
      </c>
      <c r="H14" t="s">
        <v>5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9</v>
      </c>
      <c r="B15" t="s">
        <v>21</v>
      </c>
      <c r="C15" t="s">
        <v>71</v>
      </c>
      <c r="D15" s="85">
        <v>40</v>
      </c>
      <c r="E15" s="121">
        <f>Clusters[[#This Row],[Effort]]*1.2</f>
        <v>48</v>
      </c>
      <c r="G15" t="s">
        <v>65</v>
      </c>
      <c r="H15" t="s">
        <v>57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9</v>
      </c>
      <c r="B16" t="s">
        <v>22</v>
      </c>
      <c r="C16" t="s">
        <v>71</v>
      </c>
      <c r="D16" s="85">
        <v>48</v>
      </c>
      <c r="E16" s="121">
        <f>Clusters[[#This Row],[Effort]]*1.2</f>
        <v>57.599999999999994</v>
      </c>
      <c r="G16" t="s">
        <v>65</v>
      </c>
      <c r="H16" t="s">
        <v>7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5</v>
      </c>
      <c r="B17" t="s">
        <v>18</v>
      </c>
      <c r="C17" t="s">
        <v>71</v>
      </c>
      <c r="D17" s="85">
        <v>1.0638297872340425</v>
      </c>
      <c r="E17" s="121">
        <f>Clusters[[#This Row],[Effort]]*1.2</f>
        <v>1.2765957446808509</v>
      </c>
      <c r="G17" t="s">
        <v>65</v>
      </c>
      <c r="H17" s="24" t="s">
        <v>58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5</v>
      </c>
      <c r="B18" t="s">
        <v>19</v>
      </c>
      <c r="C18" t="s">
        <v>71</v>
      </c>
      <c r="D18" s="85">
        <v>2.1276595744680851</v>
      </c>
      <c r="E18" s="121">
        <f>Clusters[[#This Row],[Effort]]*1.2</f>
        <v>2.5531914893617018</v>
      </c>
      <c r="G18" t="s">
        <v>65</v>
      </c>
      <c r="H18" t="s">
        <v>1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5</v>
      </c>
      <c r="B19" t="s">
        <v>20</v>
      </c>
      <c r="C19" t="s">
        <v>71</v>
      </c>
      <c r="D19" s="85">
        <v>4.2553191489361701</v>
      </c>
      <c r="E19" s="121">
        <f>Clusters[[#This Row],[Effort]]*1.2</f>
        <v>5.1063829787234036</v>
      </c>
      <c r="G19" t="s">
        <v>65</v>
      </c>
      <c r="H19" t="s">
        <v>8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5</v>
      </c>
      <c r="B20" t="s">
        <v>21</v>
      </c>
      <c r="C20" t="s">
        <v>71</v>
      </c>
      <c r="D20" s="85">
        <v>8.5106382978723403</v>
      </c>
      <c r="E20" s="121">
        <f>Clusters[[#This Row],[Effort]]*1.2</f>
        <v>10.212765957446807</v>
      </c>
      <c r="G20" t="s">
        <v>65</v>
      </c>
      <c r="H20" s="24" t="s">
        <v>3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5</v>
      </c>
      <c r="B21" t="s">
        <v>22</v>
      </c>
      <c r="C21" t="s">
        <v>71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57</v>
      </c>
      <c r="B22" t="s">
        <v>18</v>
      </c>
      <c r="C22" t="s">
        <v>71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57</v>
      </c>
      <c r="B23" t="s">
        <v>19</v>
      </c>
      <c r="C23" t="s">
        <v>71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57</v>
      </c>
      <c r="B24" t="s">
        <v>20</v>
      </c>
      <c r="C24" t="s">
        <v>71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57</v>
      </c>
      <c r="B25" t="s">
        <v>21</v>
      </c>
      <c r="C25" t="s">
        <v>71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57</v>
      </c>
      <c r="B26" t="s">
        <v>22</v>
      </c>
      <c r="C26" t="s">
        <v>71</v>
      </c>
      <c r="D26" s="85">
        <v>8</v>
      </c>
      <c r="E26" s="121">
        <f>Clusters[[#This Row],[Effort]]*1.2</f>
        <v>9.6</v>
      </c>
    </row>
    <row r="27" spans="1:10" x14ac:dyDescent="0.25">
      <c r="A27" t="s">
        <v>7</v>
      </c>
      <c r="B27" t="s">
        <v>18</v>
      </c>
      <c r="C27" t="s">
        <v>71</v>
      </c>
      <c r="D27" s="85">
        <v>4</v>
      </c>
      <c r="E27" s="121">
        <f>Clusters[[#This Row],[Effort]]*1.2</f>
        <v>4.8</v>
      </c>
    </row>
    <row r="28" spans="1:10" x14ac:dyDescent="0.25">
      <c r="A28" t="s">
        <v>7</v>
      </c>
      <c r="B28" t="s">
        <v>19</v>
      </c>
      <c r="C28" t="s">
        <v>71</v>
      </c>
      <c r="D28" s="85">
        <v>16</v>
      </c>
      <c r="E28" s="121">
        <f>Clusters[[#This Row],[Effort]]*1.2</f>
        <v>19.2</v>
      </c>
    </row>
    <row r="29" spans="1:10" x14ac:dyDescent="0.25">
      <c r="A29" t="s">
        <v>7</v>
      </c>
      <c r="B29" t="s">
        <v>20</v>
      </c>
      <c r="C29" t="s">
        <v>71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7</v>
      </c>
      <c r="B30" t="s">
        <v>21</v>
      </c>
      <c r="C30" t="s">
        <v>71</v>
      </c>
      <c r="D30" s="85">
        <v>40</v>
      </c>
      <c r="E30" s="121">
        <f>Clusters[[#This Row],[Effort]]*1.2</f>
        <v>48</v>
      </c>
    </row>
    <row r="31" spans="1:10" x14ac:dyDescent="0.25">
      <c r="A31" t="s">
        <v>7</v>
      </c>
      <c r="B31" t="s">
        <v>22</v>
      </c>
      <c r="C31" t="s">
        <v>71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1</v>
      </c>
      <c r="B32" t="s">
        <v>18</v>
      </c>
      <c r="C32" t="s">
        <v>71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1</v>
      </c>
      <c r="B33" t="s">
        <v>19</v>
      </c>
      <c r="C33" t="s">
        <v>71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1</v>
      </c>
      <c r="B34" t="s">
        <v>20</v>
      </c>
      <c r="C34" t="s">
        <v>71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1</v>
      </c>
      <c r="B35" t="s">
        <v>21</v>
      </c>
      <c r="C35" t="s">
        <v>71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1</v>
      </c>
      <c r="B36" t="s">
        <v>22</v>
      </c>
      <c r="C36" t="s">
        <v>71</v>
      </c>
      <c r="D36" s="85">
        <v>35</v>
      </c>
      <c r="E36" s="121">
        <f>Clusters[[#This Row],[Effort]]*1.2</f>
        <v>42</v>
      </c>
    </row>
    <row r="37" spans="1:5" x14ac:dyDescent="0.25">
      <c r="A37" t="s">
        <v>8</v>
      </c>
      <c r="B37" t="s">
        <v>18</v>
      </c>
      <c r="C37" t="s">
        <v>71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8</v>
      </c>
      <c r="B38" t="s">
        <v>19</v>
      </c>
      <c r="C38" t="s">
        <v>71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8</v>
      </c>
      <c r="B39" t="s">
        <v>20</v>
      </c>
      <c r="C39" t="s">
        <v>71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8</v>
      </c>
      <c r="B40" t="s">
        <v>21</v>
      </c>
      <c r="C40" t="s">
        <v>71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8</v>
      </c>
      <c r="B41" t="s">
        <v>22</v>
      </c>
      <c r="C41" t="s">
        <v>71</v>
      </c>
      <c r="D41" s="85">
        <v>16</v>
      </c>
      <c r="E41" s="121">
        <f>Clusters[[#This Row],[Effort]]*1.2</f>
        <v>19.2</v>
      </c>
    </row>
    <row r="42" spans="1:5" x14ac:dyDescent="0.25">
      <c r="A42" t="s">
        <v>24</v>
      </c>
      <c r="B42" t="s">
        <v>18</v>
      </c>
      <c r="C42" t="s">
        <v>71</v>
      </c>
      <c r="D42" s="85">
        <v>2</v>
      </c>
      <c r="E42" s="121">
        <f>Clusters[[#This Row],[Effort]]*1.2</f>
        <v>2.4</v>
      </c>
    </row>
    <row r="43" spans="1:5" x14ac:dyDescent="0.25">
      <c r="A43" t="s">
        <v>24</v>
      </c>
      <c r="B43" t="s">
        <v>19</v>
      </c>
      <c r="C43" t="s">
        <v>71</v>
      </c>
      <c r="D43" s="85">
        <v>4</v>
      </c>
      <c r="E43" s="121">
        <f>Clusters[[#This Row],[Effort]]*1.2</f>
        <v>4.8</v>
      </c>
    </row>
    <row r="44" spans="1:5" x14ac:dyDescent="0.25">
      <c r="A44" t="s">
        <v>24</v>
      </c>
      <c r="B44" t="s">
        <v>20</v>
      </c>
      <c r="C44" t="s">
        <v>71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24</v>
      </c>
      <c r="B45" t="s">
        <v>21</v>
      </c>
      <c r="C45" t="s">
        <v>71</v>
      </c>
      <c r="D45" s="85">
        <v>10</v>
      </c>
      <c r="E45" s="121">
        <f>Clusters[[#This Row],[Effort]]*1.2</f>
        <v>12</v>
      </c>
    </row>
    <row r="46" spans="1:5" x14ac:dyDescent="0.25">
      <c r="A46" t="s">
        <v>24</v>
      </c>
      <c r="B46" t="s">
        <v>22</v>
      </c>
      <c r="C46" t="s">
        <v>71</v>
      </c>
      <c r="D46" s="85">
        <v>16</v>
      </c>
      <c r="E46" s="121">
        <f>Clusters[[#This Row],[Effort]]*1.2</f>
        <v>19.2</v>
      </c>
    </row>
    <row r="47" spans="1:5" x14ac:dyDescent="0.25">
      <c r="A47" t="s">
        <v>3</v>
      </c>
      <c r="B47" t="s">
        <v>18</v>
      </c>
      <c r="C47" t="s">
        <v>71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3</v>
      </c>
      <c r="B48" t="s">
        <v>19</v>
      </c>
      <c r="C48" t="s">
        <v>71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3</v>
      </c>
      <c r="B49" t="s">
        <v>20</v>
      </c>
      <c r="C49" t="s">
        <v>71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3</v>
      </c>
      <c r="B50" t="s">
        <v>21</v>
      </c>
      <c r="C50" t="s">
        <v>71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3</v>
      </c>
      <c r="B51" t="s">
        <v>22</v>
      </c>
      <c r="C51" t="s">
        <v>71</v>
      </c>
      <c r="D51" s="85">
        <v>35</v>
      </c>
      <c r="E51" s="121">
        <f>Clusters[[#This Row],[Effort]]*1.2</f>
        <v>42</v>
      </c>
    </row>
    <row r="52" spans="1:5" x14ac:dyDescent="0.25">
      <c r="A52" t="s">
        <v>58</v>
      </c>
      <c r="B52" t="s">
        <v>18</v>
      </c>
      <c r="C52" t="s">
        <v>71</v>
      </c>
      <c r="D52" s="85">
        <v>2</v>
      </c>
      <c r="E52" s="121">
        <f>Clusters[[#This Row],[Effort]]*1.2</f>
        <v>2.4</v>
      </c>
    </row>
    <row r="53" spans="1:5" x14ac:dyDescent="0.25">
      <c r="A53" t="s">
        <v>58</v>
      </c>
      <c r="B53" t="s">
        <v>19</v>
      </c>
      <c r="C53" t="s">
        <v>71</v>
      </c>
      <c r="D53" s="85">
        <v>4</v>
      </c>
      <c r="E53" s="121">
        <f>Clusters[[#This Row],[Effort]]*1.2</f>
        <v>4.8</v>
      </c>
    </row>
    <row r="54" spans="1:5" x14ac:dyDescent="0.25">
      <c r="A54" t="s">
        <v>58</v>
      </c>
      <c r="B54" t="s">
        <v>20</v>
      </c>
      <c r="C54" t="s">
        <v>71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58</v>
      </c>
      <c r="B55" t="s">
        <v>21</v>
      </c>
      <c r="C55" t="s">
        <v>71</v>
      </c>
      <c r="D55" s="85">
        <v>10</v>
      </c>
      <c r="E55" s="121">
        <f>Clusters[[#This Row],[Effort]]*1.2</f>
        <v>12</v>
      </c>
    </row>
    <row r="56" spans="1:5" x14ac:dyDescent="0.25">
      <c r="A56" t="s">
        <v>58</v>
      </c>
      <c r="B56" t="s">
        <v>22</v>
      </c>
      <c r="C56" t="s">
        <v>71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177</v>
      </c>
      <c r="B57" t="s">
        <v>18</v>
      </c>
      <c r="C57" t="s">
        <v>71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177</v>
      </c>
      <c r="B58" t="s">
        <v>19</v>
      </c>
      <c r="C58" t="s">
        <v>71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177</v>
      </c>
      <c r="B59" t="s">
        <v>20</v>
      </c>
      <c r="C59" t="s">
        <v>71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177</v>
      </c>
      <c r="B60" t="s">
        <v>21</v>
      </c>
      <c r="C60" t="s">
        <v>71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177</v>
      </c>
      <c r="B61" t="s">
        <v>22</v>
      </c>
      <c r="C61" t="s">
        <v>71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66</v>
      </c>
      <c r="B62" t="s">
        <v>18</v>
      </c>
      <c r="C62" t="s">
        <v>152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66</v>
      </c>
      <c r="B63" t="s">
        <v>19</v>
      </c>
      <c r="C63" t="s">
        <v>152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66</v>
      </c>
      <c r="B64" t="s">
        <v>20</v>
      </c>
      <c r="C64" t="s">
        <v>152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66</v>
      </c>
      <c r="B65" t="s">
        <v>21</v>
      </c>
      <c r="C65" t="s">
        <v>152</v>
      </c>
      <c r="D65" s="85">
        <v>5</v>
      </c>
      <c r="E65" s="121">
        <f>Clusters[[#This Row],[Effort]]*1.2</f>
        <v>6</v>
      </c>
    </row>
    <row r="66" spans="1:5" x14ac:dyDescent="0.25">
      <c r="A66" s="23" t="s">
        <v>66</v>
      </c>
      <c r="B66" t="s">
        <v>22</v>
      </c>
      <c r="C66" t="s">
        <v>152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67</v>
      </c>
      <c r="B67" t="s">
        <v>18</v>
      </c>
      <c r="C67" t="s">
        <v>71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67</v>
      </c>
      <c r="B68" t="s">
        <v>19</v>
      </c>
      <c r="C68" t="s">
        <v>71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67</v>
      </c>
      <c r="B69" t="s">
        <v>20</v>
      </c>
      <c r="C69" t="s">
        <v>71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67</v>
      </c>
      <c r="B70" t="s">
        <v>21</v>
      </c>
      <c r="C70" t="s">
        <v>71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67</v>
      </c>
      <c r="B71" t="s">
        <v>22</v>
      </c>
      <c r="C71" t="s">
        <v>71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108</v>
      </c>
      <c r="B72" t="s">
        <v>18</v>
      </c>
      <c r="C72" t="s">
        <v>71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108</v>
      </c>
      <c r="B73" t="s">
        <v>19</v>
      </c>
      <c r="C73" t="s">
        <v>71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108</v>
      </c>
      <c r="B74" t="s">
        <v>20</v>
      </c>
      <c r="C74" t="s">
        <v>71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108</v>
      </c>
      <c r="B75" t="s">
        <v>21</v>
      </c>
      <c r="C75" t="s">
        <v>71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108</v>
      </c>
      <c r="B76" t="s">
        <v>22</v>
      </c>
      <c r="C76" t="s">
        <v>71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68</v>
      </c>
      <c r="B77" t="s">
        <v>18</v>
      </c>
      <c r="C77" t="s">
        <v>71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68</v>
      </c>
      <c r="B78" t="s">
        <v>19</v>
      </c>
      <c r="C78" t="s">
        <v>71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68</v>
      </c>
      <c r="B79" t="s">
        <v>20</v>
      </c>
      <c r="C79" t="s">
        <v>71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68</v>
      </c>
      <c r="B80" t="s">
        <v>21</v>
      </c>
      <c r="C80" t="s">
        <v>71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68</v>
      </c>
      <c r="B81" t="s">
        <v>22</v>
      </c>
      <c r="C81" t="s">
        <v>71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69</v>
      </c>
      <c r="B82" t="s">
        <v>18</v>
      </c>
      <c r="C82" t="s">
        <v>71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69</v>
      </c>
      <c r="B83" t="s">
        <v>19</v>
      </c>
      <c r="C83" t="s">
        <v>71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69</v>
      </c>
      <c r="B84" t="s">
        <v>20</v>
      </c>
      <c r="C84" t="s">
        <v>71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69</v>
      </c>
      <c r="B85" t="s">
        <v>21</v>
      </c>
      <c r="C85" t="s">
        <v>71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69</v>
      </c>
      <c r="B86" t="s">
        <v>22</v>
      </c>
      <c r="C86" t="s">
        <v>71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70</v>
      </c>
      <c r="B87" t="s">
        <v>18</v>
      </c>
      <c r="C87" t="s">
        <v>153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70</v>
      </c>
      <c r="B88" t="s">
        <v>19</v>
      </c>
      <c r="C88" t="s">
        <v>153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70</v>
      </c>
      <c r="B89" t="s">
        <v>20</v>
      </c>
      <c r="C89" t="s">
        <v>153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70</v>
      </c>
      <c r="B90" t="s">
        <v>21</v>
      </c>
      <c r="C90" t="s">
        <v>153</v>
      </c>
      <c r="D90" s="85">
        <v>5</v>
      </c>
      <c r="E90" s="121">
        <f>Clusters[[#This Row],[Effort]]*1.2</f>
        <v>6</v>
      </c>
    </row>
    <row r="91" spans="1:5" x14ac:dyDescent="0.25">
      <c r="A91" s="23" t="s">
        <v>70</v>
      </c>
      <c r="B91" t="s">
        <v>22</v>
      </c>
      <c r="C91" t="s">
        <v>153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182</v>
      </c>
      <c r="B92" t="s">
        <v>18</v>
      </c>
      <c r="C92" t="s">
        <v>152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182</v>
      </c>
      <c r="B93" t="s">
        <v>19</v>
      </c>
      <c r="C93" t="s">
        <v>152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182</v>
      </c>
      <c r="B94" t="s">
        <v>20</v>
      </c>
      <c r="C94" t="s">
        <v>152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182</v>
      </c>
      <c r="B95" t="s">
        <v>21</v>
      </c>
      <c r="C95" t="s">
        <v>152</v>
      </c>
      <c r="D95" s="85">
        <v>5</v>
      </c>
      <c r="E95" s="121">
        <f>Clusters[[#This Row],[Effort]]*1.2</f>
        <v>6</v>
      </c>
    </row>
    <row r="96" spans="1:5" x14ac:dyDescent="0.25">
      <c r="A96" s="23" t="s">
        <v>182</v>
      </c>
      <c r="B96" t="s">
        <v>22</v>
      </c>
      <c r="C96" t="s">
        <v>152</v>
      </c>
      <c r="D96" s="85">
        <v>8</v>
      </c>
      <c r="E96" s="121">
        <f>Clusters[[#This Row],[Effort]]*1.2</f>
        <v>9.6</v>
      </c>
    </row>
    <row r="97" spans="1:5" x14ac:dyDescent="0.25">
      <c r="A97" t="s">
        <v>176</v>
      </c>
      <c r="B97" t="s">
        <v>18</v>
      </c>
      <c r="C97" t="s">
        <v>71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176</v>
      </c>
      <c r="B98" t="s">
        <v>19</v>
      </c>
      <c r="C98" t="s">
        <v>71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176</v>
      </c>
      <c r="B99" t="s">
        <v>20</v>
      </c>
      <c r="C99" t="s">
        <v>71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176</v>
      </c>
      <c r="B100" t="s">
        <v>21</v>
      </c>
      <c r="C100" t="s">
        <v>71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176</v>
      </c>
      <c r="B101" t="s">
        <v>22</v>
      </c>
      <c r="C101" t="s">
        <v>71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S97"/>
  <sheetViews>
    <sheetView topLeftCell="AN1" workbookViewId="0">
      <selection activeCell="AR1" sqref="AR1:AU1"/>
    </sheetView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5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5" x14ac:dyDescent="0.25">
      <c r="A1" s="6" t="s">
        <v>0</v>
      </c>
      <c r="B1" t="s">
        <v>11</v>
      </c>
      <c r="C1" t="s">
        <v>12</v>
      </c>
      <c r="D1" t="s">
        <v>13</v>
      </c>
      <c r="E1" t="s">
        <v>160</v>
      </c>
      <c r="F1" t="s">
        <v>14</v>
      </c>
      <c r="G1" t="s">
        <v>161</v>
      </c>
      <c r="H1" t="s">
        <v>162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171</v>
      </c>
      <c r="P1" t="s">
        <v>172</v>
      </c>
      <c r="Q1" t="s">
        <v>173</v>
      </c>
      <c r="R1" t="s">
        <v>174</v>
      </c>
      <c r="S1" s="6" t="s">
        <v>159</v>
      </c>
      <c r="T1" s="6" t="s">
        <v>163</v>
      </c>
      <c r="U1" s="6" t="s">
        <v>170</v>
      </c>
      <c r="V1" s="6" t="s">
        <v>61</v>
      </c>
      <c r="W1" s="6" t="s">
        <v>62</v>
      </c>
      <c r="X1" s="6" t="s">
        <v>63</v>
      </c>
      <c r="Y1" s="6" t="s">
        <v>73</v>
      </c>
      <c r="Z1" s="6" t="s">
        <v>78</v>
      </c>
      <c r="AA1" s="6" t="s">
        <v>175</v>
      </c>
      <c r="AB1" s="6" t="s">
        <v>79</v>
      </c>
      <c r="AC1" s="6" t="s">
        <v>105</v>
      </c>
      <c r="AD1" s="6" t="s">
        <v>114</v>
      </c>
      <c r="AE1" s="6" t="s">
        <v>116</v>
      </c>
      <c r="AF1" s="6" t="s">
        <v>112</v>
      </c>
      <c r="AG1" s="6" t="s">
        <v>113</v>
      </c>
      <c r="AH1" s="6" t="s">
        <v>118</v>
      </c>
      <c r="AI1" s="6" t="s">
        <v>119</v>
      </c>
      <c r="AJ1" t="s">
        <v>72</v>
      </c>
      <c r="AK1" t="s">
        <v>115</v>
      </c>
      <c r="AL1" t="s">
        <v>133</v>
      </c>
      <c r="AM1" t="s">
        <v>134</v>
      </c>
      <c r="AN1" t="s">
        <v>28</v>
      </c>
      <c r="AO1" t="s">
        <v>27</v>
      </c>
      <c r="AP1" t="s">
        <v>29</v>
      </c>
      <c r="AQ1" t="s">
        <v>26</v>
      </c>
      <c r="AR1" t="s">
        <v>36</v>
      </c>
      <c r="AS1" t="s">
        <v>37</v>
      </c>
    </row>
    <row r="2" spans="1:45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</row>
    <row r="3" spans="1:45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</row>
    <row r="4" spans="1:45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45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</row>
    <row r="6" spans="1:45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</row>
    <row r="7" spans="1:45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</row>
    <row r="8" spans="1:45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</row>
    <row r="9" spans="1:45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</row>
    <row r="10" spans="1:45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</row>
    <row r="11" spans="1:45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</row>
    <row r="12" spans="1:45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</row>
    <row r="13" spans="1:45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</row>
    <row r="14" spans="1:45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</row>
    <row r="15" spans="1:45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</row>
    <row r="16" spans="1:45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</row>
    <row r="17" spans="25:45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</row>
    <row r="18" spans="25:45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25:45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25:45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25:45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25:45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25:45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25:45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25:45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25:45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25:45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</row>
    <row r="28" spans="25:45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</row>
    <row r="29" spans="25:45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</row>
    <row r="30" spans="25:45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</row>
    <row r="31" spans="25:45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</row>
    <row r="32" spans="25:45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</row>
    <row r="33" spans="25:45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</row>
    <row r="34" spans="25:45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</row>
    <row r="35" spans="25:45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</row>
    <row r="36" spans="25:45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</row>
    <row r="37" spans="25:45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</row>
    <row r="38" spans="25:45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</row>
    <row r="39" spans="25:45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</row>
    <row r="40" spans="25:45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</row>
    <row r="41" spans="25:45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</row>
    <row r="42" spans="25:45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</row>
    <row r="43" spans="25:45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</row>
    <row r="44" spans="25:45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</row>
    <row r="45" spans="25:45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</row>
    <row r="46" spans="25:45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</row>
    <row r="47" spans="25:45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</row>
    <row r="48" spans="25:45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</row>
    <row r="49" spans="25:45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</row>
    <row r="50" spans="25:45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</row>
    <row r="51" spans="25:45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</row>
    <row r="52" spans="25:45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</row>
    <row r="53" spans="25:45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</row>
    <row r="54" spans="25:45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</row>
    <row r="55" spans="25:45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</row>
    <row r="56" spans="25:45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</row>
    <row r="57" spans="25:45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</row>
    <row r="58" spans="25:45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</row>
    <row r="59" spans="25:45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</row>
    <row r="60" spans="25:45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</row>
    <row r="61" spans="25:45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</row>
    <row r="62" spans="25:45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</row>
    <row r="63" spans="25:45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</row>
    <row r="64" spans="25:45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</row>
    <row r="65" spans="25:45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</row>
    <row r="66" spans="25:45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</row>
    <row r="67" spans="25:45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</row>
    <row r="68" spans="25:45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</row>
    <row r="69" spans="25:45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</row>
    <row r="70" spans="25:45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</row>
    <row r="71" spans="25:45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</row>
    <row r="72" spans="25:45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</row>
    <row r="73" spans="25:45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</row>
    <row r="74" spans="25:45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</row>
    <row r="75" spans="25:45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</row>
    <row r="76" spans="25:45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</row>
    <row r="77" spans="25:45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</row>
    <row r="78" spans="25:45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</row>
    <row r="79" spans="25:45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</row>
    <row r="80" spans="25:45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</row>
    <row r="81" spans="25:45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</row>
    <row r="82" spans="25:45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</row>
    <row r="83" spans="25:45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</row>
    <row r="84" spans="25:45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</row>
    <row r="85" spans="25:45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</row>
    <row r="86" spans="25:45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</row>
    <row r="87" spans="25:45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</row>
    <row r="88" spans="25:45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</row>
    <row r="89" spans="25:45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25:45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</row>
    <row r="91" spans="25:45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</row>
    <row r="92" spans="25:45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</row>
    <row r="93" spans="25:45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</row>
    <row r="94" spans="25:45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</row>
    <row r="95" spans="25:45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</row>
    <row r="96" spans="25:45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</row>
    <row r="97" spans="25:45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90</v>
      </c>
      <c r="B1" s="79" t="s">
        <v>82</v>
      </c>
      <c r="C1" s="79" t="s">
        <v>83</v>
      </c>
      <c r="D1" s="79" t="s">
        <v>89</v>
      </c>
      <c r="E1" s="79" t="s">
        <v>91</v>
      </c>
      <c r="F1" s="79" t="s">
        <v>15</v>
      </c>
      <c r="G1" s="79" t="s">
        <v>48</v>
      </c>
      <c r="H1" s="79" t="s">
        <v>80</v>
      </c>
      <c r="I1" s="79" t="s">
        <v>17</v>
      </c>
      <c r="J1" s="79" t="s">
        <v>140</v>
      </c>
      <c r="K1" s="80" t="s">
        <v>143</v>
      </c>
      <c r="L1" s="79" t="s">
        <v>84</v>
      </c>
      <c r="M1" s="81" t="s">
        <v>86</v>
      </c>
      <c r="N1" s="82" t="s">
        <v>81</v>
      </c>
      <c r="O1" s="89" t="s">
        <v>97</v>
      </c>
      <c r="P1" s="83" t="s">
        <v>147</v>
      </c>
      <c r="Q1" s="67" t="s">
        <v>148</v>
      </c>
      <c r="R1" s="67" t="s">
        <v>149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1"/>
  <sheetViews>
    <sheetView workbookViewId="0">
      <selection activeCell="C17" sqref="C17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137</v>
      </c>
      <c r="B1" s="26" t="s">
        <v>41</v>
      </c>
      <c r="C1" s="26" t="s">
        <v>138</v>
      </c>
      <c r="D1" s="26" t="s">
        <v>139</v>
      </c>
      <c r="E1" s="26" t="s">
        <v>94</v>
      </c>
      <c r="F1" s="26" t="s">
        <v>80</v>
      </c>
      <c r="G1" s="26" t="s">
        <v>17</v>
      </c>
      <c r="H1" s="26" t="s">
        <v>107</v>
      </c>
      <c r="I1" s="26" t="s">
        <v>48</v>
      </c>
      <c r="J1" s="26" t="s">
        <v>95</v>
      </c>
      <c r="K1" s="26" t="s">
        <v>56</v>
      </c>
      <c r="L1" s="26" t="s">
        <v>142</v>
      </c>
      <c r="M1" s="26" t="s">
        <v>77</v>
      </c>
      <c r="N1" s="26" t="s">
        <v>141</v>
      </c>
      <c r="O1" s="26" t="s">
        <v>96</v>
      </c>
      <c r="P1" s="26" t="s">
        <v>87</v>
      </c>
      <c r="Q1" s="27" t="s">
        <v>97</v>
      </c>
      <c r="R1" s="27" t="s">
        <v>144</v>
      </c>
      <c r="S1" s="27" t="s">
        <v>98</v>
      </c>
      <c r="T1" s="27" t="s">
        <v>99</v>
      </c>
      <c r="U1" s="27" t="s">
        <v>100</v>
      </c>
      <c r="V1" s="27" t="s">
        <v>146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Progress by Demand</vt:lpstr>
      <vt:lpstr>Demands by Status</vt:lpstr>
      <vt:lpstr>Timeline</vt:lpstr>
      <vt:lpstr>Gantt</vt:lpstr>
      <vt:lpstr>Role Mapping &amp; Issue Type</vt:lpstr>
      <vt:lpstr>T-shirt Size</vt:lpstr>
      <vt:lpstr>From Jira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Administrador</cp:lastModifiedBy>
  <dcterms:created xsi:type="dcterms:W3CDTF">2016-10-03T16:19:42Z</dcterms:created>
  <dcterms:modified xsi:type="dcterms:W3CDTF">2017-08-10T22:10:28Z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