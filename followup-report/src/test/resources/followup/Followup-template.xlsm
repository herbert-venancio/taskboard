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dor\Downloads\"/>
    </mc:Choice>
  </mc:AlternateContent>
  <bookViews>
    <workbookView xWindow="0" yWindow="0" windowWidth="15240" windowHeight="8340"/>
  </bookViews>
  <sheets>
    <sheet name="Progress by Demand" sheetId="8" r:id="rId1"/>
    <sheet name="Demands by Status" sheetId="20" r:id="rId2"/>
    <sheet name="Timeline" sheetId="11" r:id="rId3"/>
    <sheet name="Gantt" sheetId="21" r:id="rId4"/>
    <sheet name="Role Mapping &amp; Issue Type" sheetId="13" r:id="rId5"/>
    <sheet name="T-shirt Size" sheetId="3" r:id="rId6"/>
    <sheet name="From Jira" sheetId="1" r:id="rId7"/>
    <sheet name="GanttBase" sheetId="17" r:id="rId8"/>
    <sheet name="Activities" sheetId="16" r:id="rId9"/>
  </sheets>
  <functionGroups builtInGroupCount="18"/>
  <definedNames>
    <definedName name="_">'T-shirt Size'!$H$3</definedName>
    <definedName name="_xlnm._FilterDatabase" localSheetId="8" hidden="1">Activities!$A$1:$U$1</definedName>
    <definedName name="_xlnm._FilterDatabase" localSheetId="7" hidden="1">GanttBase!$A$1:$R$94</definedName>
    <definedName name="Cluster_Name">'T-shirt Size'!$H$3</definedName>
    <definedName name="EstimateByVelocity">'Progress by Demand'!#REF!</definedName>
    <definedName name="HipotesisTreshold">'Progress by Demand'!$B$1</definedName>
    <definedName name="jira_all_issues_1" localSheetId="6" hidden="1">'From Jira'!$A$1:$AC$10000</definedName>
    <definedName name="UseBallpark">'Progress by Demand'!#REF!</definedName>
    <definedName name="Velocity">'Progress by Demand'!#REF!</definedName>
  </definedNames>
  <calcPr calcId="171027" concurrentCalc="0"/>
  <pivotCaches>
    <pivotCache cacheId="0" r:id="rId10"/>
    <pivotCache cacheId="41" r:id="rId11"/>
    <pivotCache cacheId="61" r:id="rId12"/>
    <pivotCache cacheId="77" r:id="rId13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8" l="1"/>
  <c r="G2" i="13"/>
  <c r="G5" i="13"/>
  <c r="G7" i="13"/>
  <c r="G9" i="13"/>
  <c r="G3" i="13"/>
  <c r="G4" i="13"/>
  <c r="G6" i="13"/>
  <c r="G8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E10" i="11"/>
  <c r="F10" i="11"/>
  <c r="G10" i="11"/>
  <c r="D10" i="11"/>
  <c r="H10" i="11"/>
  <c r="I10" i="11"/>
  <c r="E11" i="11"/>
  <c r="F11" i="11"/>
  <c r="G11" i="11"/>
  <c r="D11" i="11"/>
  <c r="H11" i="11"/>
  <c r="I11" i="11"/>
  <c r="I12" i="11"/>
  <c r="I13" i="11"/>
  <c r="I14" i="11"/>
  <c r="I15" i="11"/>
  <c r="I16" i="11"/>
  <c r="O2" i="8"/>
  <c r="H16" i="13"/>
  <c r="B16" i="13"/>
  <c r="B32" i="13"/>
  <c r="H32" i="13"/>
  <c r="H33" i="13"/>
  <c r="B33" i="13"/>
  <c r="H17" i="13"/>
  <c r="H19" i="13"/>
  <c r="H20" i="13"/>
  <c r="H21" i="13"/>
  <c r="H22" i="13"/>
  <c r="H25" i="13"/>
  <c r="H26" i="13"/>
  <c r="H27" i="13"/>
  <c r="H28" i="13"/>
  <c r="H29" i="13"/>
  <c r="H30" i="13"/>
  <c r="H31" i="13"/>
  <c r="H18" i="13"/>
  <c r="H23" i="13"/>
  <c r="H24" i="13"/>
  <c r="I16" i="13"/>
  <c r="F16" i="13"/>
  <c r="B2" i="13"/>
  <c r="B3" i="13"/>
  <c r="B4" i="13"/>
  <c r="B5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B6" i="13"/>
  <c r="B7" i="13"/>
  <c r="B8" i="13"/>
  <c r="B9" i="13"/>
  <c r="B10" i="13"/>
  <c r="B11" i="13"/>
  <c r="B12" i="13"/>
  <c r="B13" i="13"/>
  <c r="B14" i="13"/>
  <c r="B15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I2" i="13"/>
  <c r="F2" i="1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O3" i="11"/>
  <c r="O4" i="8"/>
  <c r="Q2" i="8"/>
  <c r="I17" i="13"/>
  <c r="I18" i="13"/>
  <c r="I19" i="13"/>
  <c r="I20" i="13"/>
  <c r="I21" i="13"/>
  <c r="I22" i="13"/>
  <c r="I23" i="13"/>
  <c r="I24" i="13"/>
  <c r="I27" i="13"/>
  <c r="I28" i="13"/>
  <c r="I29" i="13"/>
  <c r="I30" i="13"/>
  <c r="I31" i="13"/>
  <c r="I32" i="13"/>
  <c r="I33" i="13"/>
  <c r="I25" i="13"/>
  <c r="I26" i="13"/>
  <c r="I8" i="13"/>
  <c r="I9" i="13"/>
  <c r="I10" i="13"/>
  <c r="I15" i="13"/>
  <c r="I13" i="13"/>
  <c r="I14" i="13"/>
  <c r="I6" i="13"/>
  <c r="I7" i="13"/>
  <c r="I3" i="13"/>
  <c r="I4" i="13"/>
  <c r="I5" i="13"/>
  <c r="I11" i="13"/>
  <c r="I12" i="13"/>
  <c r="F22" i="13"/>
  <c r="F23" i="13"/>
  <c r="F24" i="13"/>
  <c r="F25" i="13"/>
  <c r="F26" i="13"/>
  <c r="F27" i="13"/>
  <c r="F28" i="13"/>
  <c r="F29" i="13"/>
  <c r="F30" i="13"/>
  <c r="F31" i="13"/>
  <c r="F32" i="13"/>
  <c r="F12" i="13"/>
  <c r="E12" i="11"/>
  <c r="F12" i="11"/>
  <c r="G12" i="11"/>
  <c r="E13" i="11"/>
  <c r="F13" i="11"/>
  <c r="G13" i="11"/>
  <c r="E14" i="11"/>
  <c r="F14" i="11"/>
  <c r="G14" i="11"/>
  <c r="E15" i="11"/>
  <c r="F15" i="11"/>
  <c r="G15" i="11"/>
  <c r="G16" i="11"/>
  <c r="G8" i="11"/>
  <c r="E16" i="11"/>
  <c r="E8" i="11"/>
  <c r="D12" i="11"/>
  <c r="H12" i="11"/>
  <c r="D13" i="11"/>
  <c r="H13" i="11"/>
  <c r="D14" i="11"/>
  <c r="H14" i="11"/>
  <c r="D15" i="11"/>
  <c r="H15" i="11"/>
  <c r="O2" i="11"/>
  <c r="B3" i="11"/>
  <c r="F16" i="11"/>
  <c r="B16" i="11"/>
  <c r="D16" i="11"/>
  <c r="B5" i="11"/>
  <c r="H16" i="11"/>
  <c r="B4" i="11"/>
  <c r="G34" i="13"/>
  <c r="J10" i="3"/>
  <c r="J8" i="3"/>
  <c r="B34" i="13"/>
  <c r="H34" i="13"/>
  <c r="F6" i="13"/>
  <c r="F21" i="13"/>
  <c r="F19" i="13"/>
  <c r="F18" i="13"/>
  <c r="F15" i="13"/>
  <c r="F9" i="13"/>
  <c r="J17" i="3"/>
  <c r="J20" i="3"/>
  <c r="J19" i="3"/>
  <c r="J18" i="3"/>
  <c r="J16" i="3"/>
  <c r="J15" i="3"/>
  <c r="J14" i="3"/>
  <c r="J13" i="3"/>
  <c r="J12" i="3"/>
  <c r="J11" i="3"/>
  <c r="J4" i="3"/>
  <c r="J6" i="3"/>
  <c r="J9" i="3"/>
  <c r="J2" i="3"/>
  <c r="J5" i="3"/>
  <c r="J3" i="3"/>
  <c r="J7" i="3"/>
  <c r="F5" i="13"/>
  <c r="F20" i="13"/>
  <c r="F4" i="13"/>
  <c r="F3" i="13"/>
  <c r="F7" i="13"/>
  <c r="F8" i="13"/>
  <c r="F10" i="13"/>
  <c r="F11" i="13"/>
  <c r="F13" i="13"/>
  <c r="F14" i="13"/>
  <c r="F17" i="13"/>
  <c r="F33" i="13"/>
  <c r="B6" i="11"/>
</calcChain>
</file>

<file path=xl/connections.xml><?xml version="1.0" encoding="utf-8"?>
<connections xmlns="http://schemas.openxmlformats.org/spreadsheetml/2006/main">
  <connection id="1" name="jira all_issues" type="1" refreshedVersion="6" savePassword="1" deleted="1" saveData="1">
    <dbPr connection="" command=""/>
  </connection>
</connections>
</file>

<file path=xl/sharedStrings.xml><?xml version="1.0" encoding="utf-8"?>
<sst xmlns="http://schemas.openxmlformats.org/spreadsheetml/2006/main" count="1170" uniqueCount="208">
  <si>
    <t>project</t>
  </si>
  <si>
    <t>Open</t>
  </si>
  <si>
    <t>Sub-Task</t>
  </si>
  <si>
    <t>Grand Total</t>
  </si>
  <si>
    <t>UX</t>
  </si>
  <si>
    <t>Doing</t>
  </si>
  <si>
    <t>Feature Planning</t>
  </si>
  <si>
    <t>Alpha Test</t>
  </si>
  <si>
    <t>Frontend Development</t>
  </si>
  <si>
    <t>To Do</t>
  </si>
  <si>
    <t>Tech Planning</t>
  </si>
  <si>
    <t>Backend Development</t>
  </si>
  <si>
    <t>Done</t>
  </si>
  <si>
    <t>To Review</t>
  </si>
  <si>
    <t>demand_type</t>
  </si>
  <si>
    <t>demand_status</t>
  </si>
  <si>
    <t>demand_num</t>
  </si>
  <si>
    <t>demand_description</t>
  </si>
  <si>
    <t>Type</t>
  </si>
  <si>
    <t>T-Shirt Size</t>
  </si>
  <si>
    <t>Effort</t>
  </si>
  <si>
    <t>XS</t>
  </si>
  <si>
    <t>S</t>
  </si>
  <si>
    <t>M</t>
  </si>
  <si>
    <t>L</t>
  </si>
  <si>
    <t>XL</t>
  </si>
  <si>
    <t>Alpha-Bug</t>
  </si>
  <si>
    <t>UAT</t>
  </si>
  <si>
    <t>Feature Reviewing</t>
  </si>
  <si>
    <t>To Feature Review</t>
  </si>
  <si>
    <t>Demands</t>
  </si>
  <si>
    <t>Tasks</t>
  </si>
  <si>
    <t>SubtaskEstimativeForEEPCalculation</t>
  </si>
  <si>
    <t>CountDemands</t>
  </si>
  <si>
    <t>CountTasks</t>
  </si>
  <si>
    <t>Subtasks</t>
  </si>
  <si>
    <t>CountSubtasks</t>
  </si>
  <si>
    <t>Quantity</t>
  </si>
  <si>
    <t>Progress</t>
  </si>
  <si>
    <t>UATing</t>
  </si>
  <si>
    <t>To UAT</t>
  </si>
  <si>
    <t>QAing</t>
  </si>
  <si>
    <t>To QA</t>
  </si>
  <si>
    <t>Reviewing</t>
  </si>
  <si>
    <t>Demand Status &gt; Demand &gt; Task Status &gt; Task &gt; Subtask</t>
  </si>
  <si>
    <t>Ballpark</t>
  </si>
  <si>
    <t>Ballpark %</t>
  </si>
  <si>
    <t>Planned%</t>
  </si>
  <si>
    <t>PlannedEffortOnBug</t>
  </si>
  <si>
    <t>WorklogOnBug</t>
  </si>
  <si>
    <t>Bug Worklog</t>
  </si>
  <si>
    <t>Bug Estimate</t>
  </si>
  <si>
    <t>Alpha Bug</t>
  </si>
  <si>
    <t>Demand</t>
  </si>
  <si>
    <t>Holyday</t>
  </si>
  <si>
    <t>Date</t>
  </si>
  <si>
    <t>Critical Path (Days)</t>
  </si>
  <si>
    <t>Holydays</t>
  </si>
  <si>
    <t>Critical Path (Date)</t>
  </si>
  <si>
    <t>Months</t>
  </si>
  <si>
    <t>Role</t>
  </si>
  <si>
    <t>People</t>
  </si>
  <si>
    <t>Individual Daily Effort (net)</t>
  </si>
  <si>
    <t>Team Daily Capability</t>
  </si>
  <si>
    <t>Working Days</t>
  </si>
  <si>
    <t>Last Day of Work</t>
  </si>
  <si>
    <t>Developer</t>
  </si>
  <si>
    <t>Total</t>
  </si>
  <si>
    <t>Allocation</t>
  </si>
  <si>
    <t>Feature Review</t>
  </si>
  <si>
    <t>QA</t>
  </si>
  <si>
    <t>Issue Type</t>
  </si>
  <si>
    <t>Project</t>
  </si>
  <si>
    <t>planning_type</t>
  </si>
  <si>
    <t>task_release</t>
  </si>
  <si>
    <t>worklog</t>
  </si>
  <si>
    <t>Cluster Name</t>
  </si>
  <si>
    <t>Plan</t>
  </si>
  <si>
    <t>BALLPARK - Feature Review</t>
  </si>
  <si>
    <t>BALLPARK - UX</t>
  </si>
  <si>
    <t>BALLPARK - Development</t>
  </si>
  <si>
    <t>BALLPARK - Alpha Test</t>
  </si>
  <si>
    <t>BALLPARK - Developer Support</t>
  </si>
  <si>
    <t>Hours</t>
  </si>
  <si>
    <t>EffortDone</t>
  </si>
  <si>
    <t>wrong_worklog</t>
  </si>
  <si>
    <t>_Wrong Worklog</t>
  </si>
  <si>
    <t>Role Allocation</t>
  </si>
  <si>
    <t>Issue Type Allocation</t>
  </si>
  <si>
    <t>Risk</t>
  </si>
  <si>
    <t>Demand_ballpark</t>
  </si>
  <si>
    <t>tshirt_size</t>
  </si>
  <si>
    <t>Size</t>
  </si>
  <si>
    <t>Day</t>
  </si>
  <si>
    <t>Demand Name</t>
  </si>
  <si>
    <t>Feature Name</t>
  </si>
  <si>
    <t>Thread</t>
  </si>
  <si>
    <t>Developer1</t>
  </si>
  <si>
    <t>Week</t>
  </si>
  <si>
    <t>Thread Name</t>
  </si>
  <si>
    <t>Last day of work</t>
  </si>
  <si>
    <t>SubtaskName</t>
  </si>
  <si>
    <t>Release</t>
  </si>
  <si>
    <t>Issue Status</t>
  </si>
  <si>
    <t>Release Name</t>
  </si>
  <si>
    <t>Release Date</t>
  </si>
  <si>
    <t>Activity Type</t>
  </si>
  <si>
    <t>Daily Production</t>
  </si>
  <si>
    <t>Needed Days</t>
  </si>
  <si>
    <t>Allocated Days</t>
  </si>
  <si>
    <t>Start Date</t>
  </si>
  <si>
    <t>Finish Date</t>
  </si>
  <si>
    <t>Subtask Status</t>
  </si>
  <si>
    <t>Group</t>
  </si>
  <si>
    <t>IssueType</t>
  </si>
  <si>
    <t>Distribution</t>
  </si>
  <si>
    <t>Total Distribution</t>
  </si>
  <si>
    <t>To Alpha Test</t>
  </si>
  <si>
    <t>Alpha Testing</t>
  </si>
  <si>
    <t>Cancelled</t>
  </si>
  <si>
    <t>Query_Type</t>
  </si>
  <si>
    <t>0.Cancelled</t>
  </si>
  <si>
    <t>BALLPARK - QA/UAT Support</t>
  </si>
  <si>
    <t>Cycle</t>
  </si>
  <si>
    <t>BALLPARK - Tech Planning</t>
  </si>
  <si>
    <t>BALLPARK - Feature Planning</t>
  </si>
  <si>
    <t>Group %</t>
  </si>
  <si>
    <t>Count of SubtaskFullDescription</t>
  </si>
  <si>
    <t>BALLPARK - Demand</t>
  </si>
  <si>
    <t>EffortOnBacklog</t>
  </si>
  <si>
    <t>CycleOnBacklog</t>
  </si>
  <si>
    <t>EffortEstimate</t>
  </si>
  <si>
    <t>CycleDone</t>
  </si>
  <si>
    <t>CycleEstimate</t>
  </si>
  <si>
    <t>Activity Status</t>
  </si>
  <si>
    <t>BallparkEffort</t>
  </si>
  <si>
    <t>PlannedEffort</t>
  </si>
  <si>
    <t>Total Scope</t>
  </si>
  <si>
    <t>Ballpark vs Planned</t>
  </si>
  <si>
    <t>Scope</t>
  </si>
  <si>
    <t>Backlog</t>
  </si>
  <si>
    <t>Bugs</t>
  </si>
  <si>
    <t>Planned</t>
  </si>
  <si>
    <t>Activities</t>
  </si>
  <si>
    <t>Features / Bugs</t>
  </si>
  <si>
    <t>_EEP</t>
  </si>
  <si>
    <t>Cycle on Backlog</t>
  </si>
  <si>
    <t>Effort on Backlog</t>
  </si>
  <si>
    <t>Sum of Group %</t>
  </si>
  <si>
    <t>Cycle Hours  on Backlog</t>
  </si>
  <si>
    <t>WorklogDone</t>
  </si>
  <si>
    <t>WorklogDoing</t>
  </si>
  <si>
    <t>Worklog</t>
  </si>
  <si>
    <t>_Done</t>
  </si>
  <si>
    <t>Relase</t>
  </si>
  <si>
    <t>Feature / Bug</t>
  </si>
  <si>
    <t>Activity</t>
  </si>
  <si>
    <t>Cycle Hours</t>
  </si>
  <si>
    <t>Total Cycle Hours</t>
  </si>
  <si>
    <t>Cycle Hours per Role</t>
  </si>
  <si>
    <t>Cycle Hours per Role With Risk</t>
  </si>
  <si>
    <t>Still need allocate (Days)</t>
  </si>
  <si>
    <t>First Day</t>
  </si>
  <si>
    <t>AllocatedHours</t>
  </si>
  <si>
    <t>Allocated Cycle Hours</t>
  </si>
  <si>
    <t>Completion</t>
  </si>
  <si>
    <t>Allocated Effort</t>
  </si>
  <si>
    <t>_Days</t>
  </si>
  <si>
    <t>Tech Lead</t>
  </si>
  <si>
    <t>% Of (Dev + Alpha)</t>
  </si>
  <si>
    <t>% Of Dev</t>
  </si>
  <si>
    <t>Tech Lead1</t>
  </si>
  <si>
    <t>Expected</t>
  </si>
  <si>
    <t>Start</t>
  </si>
  <si>
    <t>End</t>
  </si>
  <si>
    <t>Today</t>
  </si>
  <si>
    <t>DEMAND_ID</t>
  </si>
  <si>
    <t>DEMAND_SUMMARY</t>
  </si>
  <si>
    <t>TASK_TYPE</t>
  </si>
  <si>
    <t>TASK_STATUS</t>
  </si>
  <si>
    <t>TASK_ID</t>
  </si>
  <si>
    <t>TASK_NUM</t>
  </si>
  <si>
    <t>TASK_SUMMARY</t>
  </si>
  <si>
    <t>TASK_DESCRIPTION</t>
  </si>
  <si>
    <t>TASK_FULL_DESCRIPTION</t>
  </si>
  <si>
    <t>SUBTASK_TYPE</t>
  </si>
  <si>
    <t>SUBTASK_STATUS</t>
  </si>
  <si>
    <t>SUBTASK_ID</t>
  </si>
  <si>
    <t>SUBTASK_NUM</t>
  </si>
  <si>
    <t>SUBTASK_SUMMARY</t>
  </si>
  <si>
    <t>SUBTASK_DESCRIPTION</t>
  </si>
  <si>
    <t>SUBTASK_FULL_DESCRIPTION</t>
  </si>
  <si>
    <t>TASK_BALLPARK</t>
  </si>
  <si>
    <t>BALLPARK - Subtask</t>
  </si>
  <si>
    <t>BALLPARK - Planning</t>
  </si>
  <si>
    <t>(blank)</t>
  </si>
  <si>
    <t>(All)</t>
  </si>
  <si>
    <t>Row Labels</t>
  </si>
  <si>
    <t>Column Labels</t>
  </si>
  <si>
    <t>PROJECT - Suez</t>
  </si>
  <si>
    <t>Sprint 1</t>
  </si>
  <si>
    <t>Sprint 2</t>
  </si>
  <si>
    <t>BALLPARK - QA Support</t>
  </si>
  <si>
    <t>BALLPARK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</si>
</sst>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#,##0.0"/>
    <numFmt numFmtId="166" formatCode="0.0"/>
    <numFmt numFmtId="167" formatCode="_(* #,##0.0_);_(* \(#,##0.0\);_(* &quot;-&quot;??_);_(@_)"/>
    <numFmt numFmtId="168" formatCode="mm/dd/yy;@"/>
    <numFmt numFmtId="169" formatCode="0.0%"/>
    <numFmt numFmtId="170" formatCode="[$-F800]dddd\,\ mmmm\ dd\,\ yyyy"/>
    <numFmt numFmtId="171" formatCode="_(* #,##0.000_);_(* \(#,##0.000\);_(* &quot;-&quot;??_);_(@_)"/>
    <numFmt numFmtId="172" formatCode="[$-409]d\-m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9" tint="0.59999389629810485"/>
        <bgColor theme="8"/>
      </patternFill>
    </fill>
  </fills>
  <borders count="1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8" tint="-0.499984740745262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2" borderId="10" xfId="0" applyFont="1" applyFill="1" applyBorder="1"/>
    <xf numFmtId="9" fontId="7" fillId="2" borderId="10" xfId="0" applyNumberFormat="1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8" fillId="0" borderId="0" xfId="0" applyFont="1" applyBorder="1" applyAlignment="1">
      <alignment wrapText="1"/>
    </xf>
    <xf numFmtId="0" fontId="0" fillId="0" borderId="0" xfId="0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14" fontId="8" fillId="0" borderId="0" xfId="0" applyNumberFormat="1" applyFont="1" applyBorder="1" applyAlignment="1">
      <alignment wrapText="1"/>
    </xf>
    <xf numFmtId="14" fontId="0" fillId="0" borderId="0" xfId="0" applyNumberFormat="1" applyBorder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9" fontId="0" fillId="0" borderId="0" xfId="1" applyFont="1"/>
    <xf numFmtId="165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7" fontId="0" fillId="0" borderId="0" xfId="2" applyNumberFormat="1" applyFont="1"/>
    <xf numFmtId="167" fontId="0" fillId="0" borderId="0" xfId="0" applyNumberFormat="1"/>
    <xf numFmtId="164" fontId="0" fillId="0" borderId="0" xfId="2" applyNumberFormat="1" applyFont="1"/>
    <xf numFmtId="0" fontId="10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0" fillId="0" borderId="0" xfId="0" applyNumberFormat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7" fontId="0" fillId="0" borderId="2" xfId="0" applyNumberFormat="1" applyBorder="1"/>
    <xf numFmtId="167" fontId="0" fillId="0" borderId="0" xfId="0" applyNumberFormat="1" applyBorder="1"/>
    <xf numFmtId="167" fontId="0" fillId="0" borderId="3" xfId="0" applyNumberFormat="1" applyBorder="1"/>
    <xf numFmtId="167" fontId="0" fillId="0" borderId="4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1" fontId="0" fillId="0" borderId="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9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Font="1"/>
    <xf numFmtId="170" fontId="0" fillId="0" borderId="0" xfId="0" applyNumberFormat="1"/>
    <xf numFmtId="0" fontId="2" fillId="0" borderId="0" xfId="0" applyFont="1" applyBorder="1"/>
    <xf numFmtId="9" fontId="2" fillId="0" borderId="0" xfId="0" applyNumberFormat="1" applyFont="1" applyBorder="1"/>
    <xf numFmtId="170" fontId="0" fillId="0" borderId="0" xfId="0" applyNumberFormat="1" applyFont="1" applyFill="1" applyBorder="1"/>
    <xf numFmtId="0" fontId="0" fillId="0" borderId="0" xfId="0" applyFont="1" applyBorder="1"/>
    <xf numFmtId="3" fontId="0" fillId="0" borderId="0" xfId="0" applyNumberFormat="1" applyBorder="1"/>
    <xf numFmtId="166" fontId="0" fillId="0" borderId="0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textRotation="90"/>
    </xf>
    <xf numFmtId="0" fontId="10" fillId="0" borderId="0" xfId="0" applyFont="1" applyAlignment="1"/>
    <xf numFmtId="0" fontId="0" fillId="0" borderId="0" xfId="0" applyAlignment="1"/>
    <xf numFmtId="0" fontId="2" fillId="0" borderId="0" xfId="0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textRotation="90"/>
    </xf>
    <xf numFmtId="0" fontId="0" fillId="0" borderId="0" xfId="0" applyAlignment="1">
      <alignment textRotation="90"/>
    </xf>
    <xf numFmtId="171" fontId="2" fillId="0" borderId="0" xfId="2" applyNumberFormat="1" applyFont="1" applyFill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0" fontId="8" fillId="0" borderId="11" xfId="0" applyFont="1" applyBorder="1" applyAlignment="1">
      <alignment horizontal="center" wrapText="1"/>
    </xf>
    <xf numFmtId="172" fontId="0" fillId="0" borderId="0" xfId="0" pivotButton="1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0" fontId="0" fillId="0" borderId="0" xfId="0" pivotButton="1" applyAlignment="1"/>
    <xf numFmtId="9" fontId="0" fillId="0" borderId="0" xfId="1" applyFont="1" applyAlignment="1"/>
    <xf numFmtId="164" fontId="0" fillId="0" borderId="0" xfId="2" applyNumberFormat="1" applyFont="1" applyAlignment="1"/>
    <xf numFmtId="0" fontId="0" fillId="0" borderId="0" xfId="0" applyAlignment="1">
      <alignment wrapText="1"/>
    </xf>
    <xf numFmtId="9" fontId="0" fillId="0" borderId="0" xfId="0" applyNumberFormat="1" applyAlignment="1"/>
    <xf numFmtId="9" fontId="0" fillId="0" borderId="0" xfId="1" applyFont="1" applyAlignment="1">
      <alignment wrapText="1"/>
    </xf>
    <xf numFmtId="164" fontId="0" fillId="0" borderId="0" xfId="2" applyNumberFormat="1" applyFont="1" applyAlignment="1">
      <alignment wrapText="1"/>
    </xf>
    <xf numFmtId="10" fontId="0" fillId="0" borderId="0" xfId="0" applyNumberFormat="1" applyAlignment="1"/>
    <xf numFmtId="0" fontId="0" fillId="0" borderId="0" xfId="0" applyNumberFormat="1" applyAlignment="1">
      <alignment wrapText="1"/>
    </xf>
    <xf numFmtId="164" fontId="0" fillId="0" borderId="0" xfId="0" applyNumberFormat="1" applyFont="1" applyAlignment="1">
      <alignment wrapText="1"/>
    </xf>
    <xf numFmtId="164" fontId="0" fillId="0" borderId="0" xfId="0" applyNumberFormat="1" applyFont="1" applyAlignment="1"/>
    <xf numFmtId="170" fontId="10" fillId="0" borderId="0" xfId="0" applyNumberFormat="1" applyFont="1" applyAlignment="1">
      <alignment horizontal="left"/>
    </xf>
    <xf numFmtId="170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wrapText="1"/>
    </xf>
    <xf numFmtId="14" fontId="10" fillId="0" borderId="0" xfId="0" applyNumberFormat="1" applyFont="1"/>
    <xf numFmtId="17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1" applyNumberFormat="1" applyFont="1" applyAlignment="1">
      <alignment wrapText="1"/>
    </xf>
    <xf numFmtId="2" fontId="1" fillId="0" borderId="11" xfId="1" applyNumberFormat="1" applyFont="1" applyBorder="1" applyAlignment="1">
      <alignment horizontal="center"/>
    </xf>
    <xf numFmtId="2" fontId="0" fillId="0" borderId="0" xfId="1" applyNumberFormat="1" applyFon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10" fontId="2" fillId="0" borderId="0" xfId="1" applyNumberFormat="1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170" fontId="11" fillId="3" borderId="16" xfId="0" applyNumberFormat="1" applyFont="1" applyFill="1" applyBorder="1"/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67"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numFmt numFmtId="165" formatCode="#,##0.0"/>
    </dxf>
    <dxf>
      <numFmt numFmtId="166" formatCode="0.0"/>
    </dxf>
    <dxf>
      <numFmt numFmtId="1" formatCode="0"/>
    </dxf>
    <dxf>
      <alignment vertical="center" wrapText="1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  <fill>
        <patternFill>
          <fgColor indexed="64"/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9"/>
      </font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textRotation="0"/>
    </dxf>
    <dxf>
      <alignment textRotation="0"/>
    </dxf>
    <dxf>
      <alignment textRotation="90"/>
    </dxf>
    <dxf>
      <alignment textRotation="90"/>
    </dxf>
    <dxf>
      <alignment vertical="bottom"/>
    </dxf>
    <dxf>
      <alignment vertical="bottom"/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vertical="bottom"/>
    </dxf>
    <dxf>
      <alignment vertical="center"/>
    </dxf>
    <dxf>
      <alignment horizontal="general"/>
    </dxf>
    <dxf>
      <alignment horizontal="center"/>
    </dxf>
    <dxf>
      <font>
        <sz val="9"/>
      </font>
    </dxf>
    <dxf>
      <font>
        <sz val="10"/>
      </font>
    </dxf>
    <dxf>
      <numFmt numFmtId="170" formatCode="[$-F800]dddd\,\ mmmm\ dd\,\ yyyy"/>
    </dxf>
    <dxf>
      <numFmt numFmtId="170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 vertical="center" textRotation="0" wrapText="1" indent="0" justifyLastLine="0" shrinkToFit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 wrapText="1" readingOrder="0"/>
    </dxf>
    <dxf>
      <numFmt numFmtId="1" formatCode="0"/>
    </dxf>
    <dxf>
      <numFmt numFmtId="166" formatCode="0.0"/>
    </dxf>
    <dxf>
      <numFmt numFmtId="165" formatCode="#,##0.0"/>
    </dxf>
    <dxf>
      <numFmt numFmtId="4" formatCode="#,##0.00"/>
    </dxf>
    <dxf>
      <alignment vertical="center" wrapText="1"/>
    </dxf>
    <dxf>
      <border>
        <top style="thin">
          <color indexed="64"/>
        </top>
        <bottom style="thin">
          <color indexed="64"/>
        </bottom>
      </border>
    </dxf>
    <dxf>
      <alignment vertical="center" wrapText="1" readingOrder="0"/>
    </dxf>
    <dxf>
      <numFmt numFmtId="169" formatCode="0.0%"/>
    </dxf>
    <dxf>
      <alignment horizontal="center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wrapText="1"/>
    </dxf>
    <dxf>
      <alignment vertical="center" wrapText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6"/>
      <tableStyleElement type="headerRow" dxfId="16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28575</xdr:rowOff>
        </xdr:from>
        <xdr:to>
          <xdr:col>4</xdr:col>
          <xdr:colOff>123825</xdr:colOff>
          <xdr:row>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123825</xdr:rowOff>
        </xdr:from>
        <xdr:to>
          <xdr:col>4</xdr:col>
          <xdr:colOff>466725</xdr:colOff>
          <xdr:row>2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9525</xdr:rowOff>
        </xdr:from>
        <xdr:to>
          <xdr:col>3</xdr:col>
          <xdr:colOff>504825</xdr:colOff>
          <xdr:row>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142875</xdr:rowOff>
        </xdr:from>
        <xdr:to>
          <xdr:col>3</xdr:col>
          <xdr:colOff>333375</xdr:colOff>
          <xdr:row>1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elo Walter" refreshedDate="42933.693175925924" createdVersion="6" refreshedVersion="6" minRefreshableVersion="3" recordCount="32">
  <cacheSource type="worksheet">
    <worksheetSource name="IssueTypeVsRoleMapping"/>
  </cacheSource>
  <cacheFields count="9">
    <cacheField name="Project" numFmtId="0">
      <sharedItems count="4">
        <s v="PROJECT - Suez"/>
        <s v="PROJECT - Cemex Web" u="1"/>
        <s v="PROJECT - Google LMS" u="1"/>
        <s v="PROJECT - Bemis CP" u="1"/>
      </sharedItems>
    </cacheField>
    <cacheField name="Group" numFmtId="0">
      <sharedItems count="2">
        <s v="BALLPARK"/>
        <s v="Plan"/>
      </sharedItems>
    </cacheField>
    <cacheField name="Issue Type" numFmtId="0">
      <sharedItems count="23"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Alpha Test"/>
        <s v="Alpha-Bug"/>
        <s v="Backend Development"/>
        <s v="Feature Planning"/>
        <s v="Feature Review"/>
        <s v="Frontend Development"/>
        <s v="QA"/>
        <s v="Sub-Task"/>
        <s v="Tech Planning"/>
        <s v="UAT"/>
        <s v="UX"/>
        <s v="BALLPARK - Planning" u="1"/>
        <s v="BALLPARK - Demand" u="1"/>
        <s v="BALLPARK - QA/UAT Support" u="1"/>
        <s v="Developer Support" u="1"/>
      </sharedItems>
    </cacheField>
    <cacheField name="Role" numFmtId="0">
      <sharedItems count="7">
        <s v="Tech Lead"/>
        <s v="Developer"/>
        <s v="UX Analyst" u="1"/>
        <s v="Coach" u="1"/>
        <s v="UX" u="1"/>
        <s v="Scrum Master" u="1"/>
        <s v="Senior Developer" u="1"/>
      </sharedItems>
    </cacheField>
    <cacheField name="Role Allocation" numFmtId="9">
      <sharedItems containsSemiMixedTypes="0" containsString="0" containsNumber="1" minValue="0.2" maxValue="1"/>
    </cacheField>
    <cacheField name="Issue Type Allocation" numFmtId="9">
      <sharedItems containsSemiMixedTypes="0" containsString="0" containsNumber="1" containsInteger="1" minValue="1" maxValue="1"/>
    </cacheField>
    <cacheField name="Cycle on Backlog" numFmtId="164">
      <sharedItems containsSemiMixedTypes="0" containsString="0" containsNumber="1" containsInteger="1" minValue="0" maxValue="0"/>
    </cacheField>
    <cacheField name="Effort on Backlog" numFmtId="164">
      <sharedItems containsSemiMixedTypes="0" containsString="0" containsNumber="1" containsInteger="1" minValue="0" maxValue="0"/>
    </cacheField>
    <cacheField name="Group %" numFmtId="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Administrador" refreshedDate="42957.796060532404" createdVersion="6" refreshedVersion="6" minRefreshableVersion="3" recordCount="10000">
  <cacheSource type="worksheet">
    <worksheetSource ref="A1:R1048576" sheet="GanttBase"/>
  </cacheSource>
  <cacheFields count="18">
    <cacheField name="Release" numFmtId="0">
      <sharedItems containsNonDate="0" containsBlank="1" count="27">
        <m/>
        <s v="Sprint 4" u="1"/>
        <s v="Release 7" u="1"/>
        <s v="Release 1 QA" u="1"/>
        <s v="No release set" u="1"/>
        <s v="Sprint 3" u="1"/>
        <s v="Release 4 QA" u="1"/>
        <s v="Release 3" u="1"/>
        <s v="Z . No Release Set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Sprint 5" u="1"/>
        <s v="Release 2 QA" u="1"/>
        <s v="Release 1" u="1"/>
        <s v="Release 5 QA" u="1"/>
        <s v="Management" u="1"/>
        <s v="Release 4" u="1"/>
      </sharedItems>
    </cacheField>
    <cacheField name="Demand Name" numFmtId="0">
      <sharedItems containsNonDate="0" containsBlank="1" count="63">
        <m/>
        <s v="00004 - Google LMS Integration" u="1"/>
        <s v=" 00003 - OpenID Connect SSO Support " u="1"/>
        <s v=" 00015 - JIRA Customizations/Automations" u="1"/>
        <s v=" 00016 - Media Center" u="1"/>
        <s v=" 00054 - Our Story" u="1"/>
        <s v=" 00142 - Ethics and compliance page" u="1"/>
        <s v=" 00139 - Global sites" u="1"/>
        <s v=" 00443 - Buyer views Customer and User Profiles" u="1"/>
        <s v=" 00002 - User Activity Tracking" u="1"/>
        <s v="00001 - Azure Base" u="1"/>
        <s v=" 01570 - Enhancement - Buyer Reports" u="1"/>
        <s v=" 00004 - Google LMS Integration" u="1"/>
        <s v="00069 - UI &amp; Theme" u="1"/>
        <s v=" 00539 - Buyer - Inventory Management" u="1"/>
        <s v="00002 - User Activity Tracking" u="1"/>
        <s v=" | 00002 - User Activity Tracking" u="1"/>
        <s v=" 00444 - CSR - Customer and User Profile" u="1"/>
        <s v="00005 - System Architecture" u="1"/>
        <s v="00003 - OpenID Connect SSO Support " u="1"/>
        <s v=" 00523 - CSR - Portal Foundations" u="1"/>
        <s v=" 00533 - Bemis CP Theme" u="1"/>
        <s v=" 00008 - Homepage" u="1"/>
        <s v=" | 00004 - Google LMS Integration" u="1"/>
        <s v=" | 00005 - System Architecture" u="1"/>
        <s v=" 00016 - Stories" u="1"/>
        <s v=" | 00001 - Enhanced Group Functionality (Site)" u="1"/>
        <s v=" 00056 - Sustainability" u="1"/>
        <s v=" 01439 - Enhanced Portal Foundation Settings" u="1"/>
        <s v=" 00006 - Theme" u="1"/>
        <s v=" 00055 - Products + Service" u="1"/>
        <s v="00004 - Define strategy around docker and Azure" u="1"/>
        <s v=" 00501 - IBB Integration" u="1"/>
        <s v=" 00531 - System Architecture" u="1"/>
        <s v="00026 - Install on Production" u="1"/>
        <s v=" 01437 - Enhancement - Buyer Shipment Management" u="1"/>
        <s v=" 01429 - Enhancement - Buyer Order Management" u="1"/>
        <s v=" 00017 - Investor Center" u="1"/>
        <s v=" 00065 - Roles Configuration" u="1"/>
        <s v=" 00001 - Objective Taskboard" u="1"/>
        <s v=" 00005 - System Architecture" u="1"/>
        <s v="00001 - Enhanced Group Functionality (Site)" u="1"/>
        <s v="00013 - Azure Cluster" u="1"/>
        <s v=" 00420 - Buyer - Shipment Management" u="1"/>
        <s v=" 00001 - Enhanced Group Functionality (Site)" u="1"/>
        <s v="00024 - Lfieray Governance" u="1"/>
        <s v=" 00519 - Buyer - Portal Foundations" u="1"/>
        <s v=" 00510 - Buyer - Release Management" u="1"/>
        <s v=" 00065 - Permissions" u="1"/>
        <s v=" 01438 - Enhancement - Buyer Inventory Management " u="1"/>
        <s v=" 00032 - Content Workflow" u="1"/>
        <s v=" 00540 - Buyer - Dashboard" u="1"/>
        <s v=" 00366 - Buyer - Order Management" u="1"/>
        <s v=" | 00003 - OpenID Connect SSO Support " u="1"/>
        <s v=" 01657 - Enhancement - Buyer Portal Foundations" u="1"/>
        <s v="00016 - Web Sermubeniel" u="1"/>
        <s v=" 00055 - Products" u="1"/>
        <s v=" 00151 - Management Team" u="1"/>
        <s v=" 00017 - Investors" u="1"/>
        <s v=" 00538 - Buyer - Reports" u="1"/>
        <s v=" | 00069 - UI &amp; Theme" u="1"/>
        <s v=" 00054 - About Us" u="1"/>
        <s v=" 00149 - Company profile page" u="1"/>
      </sharedItems>
    </cacheField>
    <cacheField name="Feature Name" numFmtId="0">
      <sharedItems containsNonDate="0" containsBlank="1" count="418">
        <m/>
        <s v="Bug |  01307 - BIT-90 Report Landing Page- Open Order Status Report- remove parameters from selection screen" u="1"/>
        <s v="Feature | 00014 - Capture user info" u="1"/>
        <s v="Task |  00905 - Add History and Start dates to a number of Fields" u="1"/>
        <s v="Task |  00266 - Create data sync process to bulk upload data from IBB" u="1"/>
        <s v="Feature |  00146 - Two Factor Authentication" u="1"/>
        <s v="Bug |  02880 - User navigates to blank portal page  " u="1"/>
        <s v="Feature |  01661 - Update default settings for locations filter" u="1"/>
        <s v="Bug |  02964 - 487 (BDT) - Issues with ship to filter" u="1"/>
        <s v="Feature |  02864 - CR45 - Shipment Deletes" u="1"/>
        <s v="Feature |  00166 - Add behaviour to Homepage links" u="1"/>
        <s v="Bug |  02959 - BDT 483- Forgot Password error message" u="1"/>
        <s v="Feature |  00033 - Content Workflow" u="1"/>
        <s v="Bug |  01256 - BOL and INVOICE Hyperlink fails to load PDF" u="1"/>
        <s v="Bug |  02962 - Pinnacle Foods Bemis Order# 40009316 Shipment Missing (BDT 486)" u="1"/>
        <s v="Feature |  00144 - Our story page without timeline section" u="1"/>
        <s v="Bug |  01451 - BIT-159 CSR- editing buyer profile" u="1"/>
        <s v="Bug |  00128 - Adjust homepage layout in different screen resolutions" u="1"/>
        <s v="Bug |  01316 - All Reports- Default Column Fields " u="1"/>
        <s v="Task |  00020 - Create Google Local Environment" u="1"/>
        <s v="Feature |  00537 - Link from Portal Logo" u="1"/>
        <s v="Bug |  01290 - Pinnacle Foods/Ethicon Inc SAP Orders missing in Orders Page" u="1"/>
        <s v="Bug |  01198 - Customer Address does not display on Customer Profile" u="1"/>
        <s v="Feature |  00230 - Products Overview" u="1"/>
        <s v="Bug |  01257 - Missing Address should be empty" u="1"/>
        <s v="Bug |  01418 - Release PO and Customer PO are wrapping on the same line" u="1"/>
        <s v="Feature |  01575 - User friendly error messaging for CSR and Buyers" u="1"/>
        <s v="Feature |  | 00007 - Add expiration date" u="1"/>
        <s v="Feature | 00006 - Add version" u="1"/>
        <s v="Feature | 00006 - Create docker image for Elasticsearch" u="1"/>
        <s v="Feature |  00018 - Create Google CI" u="1"/>
        <s v="Feature |  00513 - Release Search" u="1"/>
        <s v="Bug |  01423 - BIT-46 Cards on Page incorrect" u="1"/>
        <s v="Feature |  01861 - Remove Buyer access to edit display settings" u="1"/>
        <s v="Task |  01775 - Theme Dependency needs to be updated due to core changes" u="1"/>
        <s v="Bug |  00905 - Update On Hand Inv data fields to allow for decimals " u="1"/>
        <s v="Task |  01102 - Export to SIMPS enhancements required" u="1"/>
        <s v="Bug |  01270 - Column picks disappear in report form" u="1"/>
        <s v="Bug |  01307 - Report Landing Page- Open Order Status Report- remove parameters from selection screen" u="1"/>
        <s v="Bug |  01311 - BIT-94 All Reports from Reports Landing Page- Optional column formatting" u="1"/>
        <s v="Bug |  01139 - Padding issues with left nav menu" u="1"/>
        <s v="Feature |  00167 - Add behaviour to concrete incubator link" u="1"/>
        <s v="Ballpark - Demand |  00000 - Dummy Feature of Permissions" u="1"/>
        <s v="Feature |  00143 - Ethics and compliance page" u="1"/>
        <s v="Bug |  02935 - Documents page- title running off of screen box" u="1"/>
        <s v="Task |  00220 - Research: Error when creating a WebContent with nested WebContent" u="1"/>
        <s v="Task |  00593 - Change country menu cut off vertically" u="1"/>
        <s v="Feature |  00723 - Add content for Portal dashboard landing page" u="1"/>
        <s v="Feature |  01440 - Update search criteria on Orders Landing Page" u="1"/>
        <s v="Feature |  00022 - Add support for OpenID Connect Single Sign-on" u="1"/>
        <s v="Bug |  01535 - The calculation for the total location qty and batch lines displayed do not match  " u="1"/>
        <s v="Feature |  00217 - Update Customer logo" u="1"/>
        <s v="Bug |  00115 - Ajustments in full stories layout" u="1"/>
        <s v="Feature |  02957 - 482 BDT - Optimizing report performance to 4 sec" u="1"/>
        <s v="Bug |  01324 - BIT-134 Hide Edit options that Buyers do not have access to " u="1"/>
        <s v="Feature |  01127 - Create Page for CSRs to View Customer Locations " u="1"/>
        <s v="Feature |  | 00033 - REST service for Enhanced Groups" u="1"/>
        <s v="Feature |  00033 - REST service for Enhanced Groups" u="1"/>
        <s v="Feature | 00018 - Install theme and layouts" u="1"/>
        <s v="Feature |  00016 - Capture learning events" u="1"/>
        <s v="Feature |  00326 - Search &amp; browse - customer &amp; user profiles - Sales restricted view" u="1"/>
        <s v="Ballpark - Demand |  00000 - Dummy Feature of Our Story" u="1"/>
        <s v="Feature |  00446 - CSR View of Customer Profile" u="1"/>
        <s v="Feature |  00254 - View/Edit my User Profile" u="1"/>
        <s v="Bug |  01534 - Customer Data Sync is checking wrong address for validity" u="1"/>
        <s v="Feature |  00535 - User Profile Dropdown" u="1"/>
        <s v="Bug |  01296 - Improve data sync logging to capture invalid data" u="1"/>
        <s v="Task |  01019 - Update page What We Do" u="1"/>
        <s v="Feature |  00512 - Release expanded view" u="1"/>
        <s v="Bug |  00906 - Update Scheduled Releases data fields to allow for decimals " u="1"/>
        <s v="Feature |  00370 - Order updates from IBB" u="1"/>
        <s v="Feature |  01475 - Update default Sort Order and Add Sort Functioanlity on Orders Landing Page " u="1"/>
        <s v="Feature |  00233 - Investors - Contact Us" u="1"/>
        <s v="Bug |  00903 - Update Releases data fields to allow for decimals " u="1"/>
        <s v="Task |  00584 - Make the user Jose Alberto as a site admin" u="1"/>
        <s v="Bug |  01272 - Fix sort order column names" u="1"/>
        <s v="Feature |  00088 - Customer Org Hierarchy" u="1"/>
        <s v="Feature |  00010 - Modern tile with &quot;MORE&quot; animation" u="1"/>
        <s v="Feature |  | 00016 - Capture learning events" u="1"/>
        <s v="Feature | 00021 - Adjust styles of basic Liferay DXP components" u="1"/>
        <s v="Bug |  01292 - The 'Bemis QA Portal Data' spreadsheet shows inventory data but the sales order is not on the orders tab" u="1"/>
        <s v="Bug |  00832 - Interface between SIMPS and IPS - issues that have been identified" u="1"/>
        <s v="Bug |  00585 - Page Fix for Careers page" u="1"/>
        <s v="Bug |  01068 - Do not display Schedule Lines when confirmedQty = 0 on Orders Landing  Page" u="1"/>
        <s v="Task |  00525 - As a privileged user, I can add image (urls) to a Ministry" u="1"/>
        <s v="Bug |  00634 - Orders -  Bemis Order # (line No) should be moved below Bemis ProductID" u="1"/>
        <s v="Bug |  01203 - SSRS integration config had wrong password for QA" u="1"/>
        <s v="Feature |  00222 - Order Detail in Orders by Item View" u="1"/>
        <s v="Feature |  01019 - Link Bemis/TheHub Logo back CSR Bemis Site" u="1"/>
        <s v="Feature |  01396 - Allow Buyers to update display settings " u="1"/>
        <s v="Bug |  01297 - Data Issue on Bemis QA Environment" u="1"/>
        <s v="Feature |  00208 - Press Releases Page" u="1"/>
        <s v="Task |  | 00034 - Setup Dev Infrasctructure" u="1"/>
        <s v="Task |  00547 - Automated tests for Sprint 3" u="1"/>
        <s v="Feature | 00002 - Create docker image for Liferay installation" u="1"/>
        <s v="Bug |  01309 - BIT-92 Report Landing Page- Inventory Detail Report" u="1"/>
        <s v="Feature | 00056 - Implement Celsus sync job to index Liferay Sites" u="1"/>
        <s v="Bug |  01267 - Cancel button on Locations filter does not cancel " u="1"/>
        <s v="Feature |  00514 - Release Report" u="1"/>
        <s v="Feature | 00019 - Create different pages to show layouts" u="1"/>
        <s v="Feature |  01669 - Refactor Inventory Sync/WS Classes for data refresh calls." u="1"/>
        <s v="Feature |  00286 - Global search" u="1"/>
        <s v="Feature |  00302 - Filter Data by Customer Location" u="1"/>
        <s v="Feature |  00017 - Workflows Customizations" u="1"/>
        <s v="Bug |  02426 - 378 (BDT) - No pagination on the Reports Download page " u="1"/>
        <s v="Feature |  00006 - Add version" u="1"/>
        <s v="Bug |  01450 - BIT-157 Wording on Dynamic Reports preview page needs to be changed to improve usability" u="1"/>
        <s v="Feature |  00023 - Add SCORM support" u="1"/>
        <s v="Bug |  00892 - LDAP bulk import cannot be disable if 2FA is enabled" u="1"/>
        <s v="Bug |  01266 - Welcome Name Banner" u="1"/>
        <s v="Bug |  01257 - BIT-60 Missing Address should be empty" u="1"/>
        <s v="Feature |  00236 - Global Solutions" u="1"/>
        <s v="Feature |  01473 - Switch to SOAP calls" u="1"/>
        <s v="Feature |  01442 - Update search criteria on Release Landing Page " u="1"/>
        <s v="Feature | 00010 - Configure Elasticsearch with Azure local instance storage" u="1"/>
        <s v="Feature |  00011 - Carousel with three images and timer" u="1"/>
        <s v="Task |  00710 - Automated Tests" u="1"/>
        <s v="Task |  01254 - Automated Tests" u="1"/>
        <s v="Feature |  00124 - View closed orders in Order Views" u="1"/>
        <s v="Feature | 00099 - Add sorting capability to Site REST API" u="1"/>
        <s v="Feature |  00249 - Shipment Search" u="1"/>
        <s v="Bug |  01420 - Time, status and report freezes" u="1"/>
        <s v="Feature |  00162 - Render iframe to show old content" u="1"/>
        <s v="Feature | 00159 - Feature without assignee GOOGLE" u="1"/>
        <s v="Feature |  00021 - Asset publisher filter" u="1"/>
        <s v="Task |  00678 - Adjust BeL to the BG Security Team recommendations" u="1"/>
        <s v="Feature |  00227 - Add ExpandAll option to Orders Summaries." u="1"/>
        <s v="Feature |  00015 - Place remaining Webcontents on Homepage" u="1"/>
        <s v="Bug |  02918 - BDT 474 Reporting errors for Customer id 0138680" u="1"/>
        <s v="Feature |  00152 - Management Team" u="1"/>
        <s v="Feature |  00022 - Webcontent - Investors to Key Statistics" u="1"/>
        <s v="Bug |  01261 - Optional fields not correctly formatted or are missing in open and closed order report" u="1"/>
        <s v="Bug |  00633 - Orders - Add &quot;cust&quot; before PO label" u="1"/>
        <s v="Feature | 00007 - Add expiration date" u="1"/>
        <s v="Bug |  00196 - Adjust company profile page" u="1"/>
        <s v="Feature |  | 00014 - Capture user info" u="1"/>
        <s v="Feature |  01211 - Wildcard search for certain fields" u="1"/>
        <s v="Feature | 00016 - Capture learning events" u="1"/>
        <s v="Feature |  00175 - Order Status Report" u="1"/>
        <s v="Bug |  02638 - BDT 428 -ID 4191- Documents should not be using File Entry LocalService" u="1"/>
        <s v="Task |  00956 - Creation of 3 Queries" u="1"/>
        <s v="Feature |  01344 - Update decimals display on Bemis Portal Landing pages" u="1"/>
        <s v="Feature |  00262 - On-Hand Inventory View for a specific item" u="1"/>
        <s v="Feature |  00024 - Questions Portlet" u="1"/>
        <s v="Feature |  00172 - Password Policy" u="1"/>
        <s v="Feature |  00308 - Customer - Org - Permissions" u="1"/>
        <s v="Bug |  00830 - Two Factor authentication configuration is in the wrong category" u="1"/>
        <s v="Task |  01065 - Have a way to restrict permissions in Receiving role" u="1"/>
        <s v="Feature |  01180 - Updates to Bemis Portal Navigation" u="1"/>
        <s v="Bug |  01491 - Customer Site Template was not updated correctly" u="1"/>
        <s v="Bug |  01426 - On Hand Inventory Details shows a Total Qty but there are no details " u="1"/>
        <s v="Bug |  00902 - BIT-42 Update orders data fields to allow for decimals " u="1"/>
        <s v="Task |  01291 - Automated Tests SP6 PQ3" u="1"/>
        <s v="Bug |  02239 - Zip code is missing from Inventory Layout" u="1"/>
        <s v="Task |  00057 - Management work" u="1"/>
        <s v="Feature |  00389 - Create a sign in page" u="1"/>
        <s v="Feature |  01526 - Update the report that is called from the Open Order Landing Page" u="1"/>
        <s v="Bug |  00822 - UI Navigation bar" u="1"/>
        <s v="Task |  00228 - Allow patches to be source-controlled and installed into bundle by workspace" u="1"/>
        <s v="Task |  00102 - OSGI Dependencies" u="1"/>
        <s v="Bug |  00808 - Arrow Font Size on Releases Page is too small" u="1"/>
        <s v="Feature |  00174 - Corporate Governance Page" u="1"/>
        <s v="Feature |  01113 - Redesign for product description display" u="1"/>
        <s v="Task |  00511 - Identify .lpkg files in default bundle which we don't need to speepup the initial Tomcat start" u="1"/>
        <s v="Bug |  01417 - The Company logo will not populate on Welcome page" u="1"/>
        <s v="Feature |  00237 - Trading" u="1"/>
        <s v="Task |  00013 - BEMISCP-11 Terms &amp; Condition docs (site)(by customer specific)" u="1"/>
        <s v="Feature |  01668 - Refactor Shipment Sync/WS Classes for data refresh calls." u="1"/>
        <s v="Bug |  01212 - Clicking on Shipped Qty or Scheduled Releases throws an error" u="1"/>
        <s v="Task |  01013 - Update home page issues" u="1"/>
        <s v="Bug |  01310 - Report Landing Page- Inventory Detail Report- remove unnecessary Parameters" u="1"/>
        <s v="Feature |  00353 - Sort Orders by Specific Fields" u="1"/>
        <s v="Bug |  01054 - Entries on the Release Page are not displaying " u="1"/>
        <s v="Feature |  00365 - Left Navigation Expand / Collapse on all pages" u="1"/>
        <s v="Task |  00218 - As a user, I can see the Cemex stock price for NYSE and BMV" u="1"/>
        <s v="Bug |  01043 - Issues within IPS PROD at this time that need to be cleared up." u="1"/>
        <s v="Task |  00003 - Setup LCS activation" u="1"/>
        <s v="Bug |  00902 - Update orders data fields to allow for decimals " u="1"/>
        <s v="Feature |  01692 - Update the Footer Content " u="1"/>
        <s v="Task |  00824 - Architectural document for Sprint 6" u="1"/>
        <s v="Bug |  00753 - Fix Gradle theme build " u="1"/>
        <s v="Feature |  00002 - Multi-criteria search" u="1"/>
        <s v="Feature | 00008 - Connect Liferay Docker with BBDD" u="1"/>
        <s v="Task |  00818 - Need to Simplify the way to add a Candidate Photo" u="1"/>
        <s v="Feature |  00239 - Hide Pricing Fields for Logistics, Co-Packer, and Quality roles" u="1"/>
        <s v="Bug |  00805 - On the Customer profile page format is incorrect" u="1"/>
        <s v="Feature | 00009 - Connect Liferay with Azure File Storage " u="1"/>
        <s v="Feature | 00020 - Creation of content structures and templates" u="1"/>
        <s v="Feature |  01687 - Create a hook so that CSR users can see which users have completed setup" u="1"/>
        <s v="Bug |  00854 - Orders Page - Quantity Fields Show 0 Value" u="1"/>
        <s v="Bug |  01262 - BIT-143 Sub-header font color on Reports Landing page are incorrect" u="1"/>
        <s v="Feature |  02692 - ID 4191/4190 Update the CSR permissions to be organization based" u="1"/>
        <s v="Task |  00034 - Setup Project Infrasctructure" u="1"/>
        <s v="Feature |  | 00022 - Add support for OpenID Connect Single Sign-on" u="1"/>
        <s v="Feature |  01250 - Update Sales Order to take in different order statuses" u="1"/>
        <s v="Bug |  01088 - Carrier Link is not working " u="1"/>
        <s v="Bug |  00168 - Redirect Not Allowed" u="1"/>
        <s v="Bug |  00194 - Make bootstrap grid match theme media widths" u="1"/>
        <s v="Feature |  00063 - Show full story on Media Center" u="1"/>
        <s v="Bug |  01218 - Landing page redirection does not work when impersonating" u="1"/>
        <s v="Feature |  00101 - Product landing page" u="1"/>
        <s v="Bug |  02633 - 387 (BDT) - Missing any Shipments for Premium Waters" u="1"/>
        <s v="Feature |  02853 - Upgrade liferay bundle to DE fix-pack 13" u="1"/>
        <s v="Feature |  00297 - Browser compatibility" u="1"/>
        <s v="Feature |  00172 - Debt Information" u="1"/>
        <s v="Feature |  00270 - Browse Customer Profiles" u="1"/>
        <s v="Feature |  00211 - Stock Information page" u="1"/>
        <s v="Bug |  01068 - BIT-112 Do not display Schedule Lines when confirmedQty = 0 on Orders Landing  Page" u="1"/>
        <s v="Task |  00297 - Install fixes for PDF preview on QA env" u="1"/>
        <s v="Feature |  00242 - Link Product Id in Orders Detail to Product Spec Page." u="1"/>
        <s v="Bug |  01177 - BIT-136 Importing Orgs from UAT generates exception" u="1"/>
        <s v="Feature |  00536 - Remove Top Bar for External User" u="1"/>
        <s v="Bug |  01151 - CSR should have access to limited control panel " u="1"/>
        <s v="Bug |  01316 - BIT-78 All Reports- Default Column Fields " u="1"/>
        <s v="Feature |  00029 - Stock ticker portlet" u="1"/>
        <s v="Ballpark - Demand |  00000 - Dummy Feature of Roles Configuration" u="1"/>
        <s v="Feature |  00071 - Full story version 2" u="1"/>
        <s v="Feature | 00023 - Add SCORM support" u="1"/>
        <s v="Bug |  00804 - User Customer Name (Employer) is incorrect" u="1"/>
        <s v="Feature |  00083 - Manage DL folder &amp; files" u="1"/>
        <s v="Feature |  00018 - Concrete Incubator webcontent" u="1"/>
        <s v="Bug |  00806 - Ship To Filter Issue with Name Format and number of items" u="1"/>
        <s v="Bug |  01414 - BIT-121 Report time range selection box sizing - Shipments and Releases Report Test" u="1"/>
        <s v="Bug |  01177 - Importing Orgs from UAT generates exception" u="1"/>
        <s v="Bug |  02904 - Premium Waters Index Issue" u="1"/>
        <s v="Feature |  00072 - Full story version 4" u="1"/>
        <s v="Bug |  01310 - BIT-93 Report Landing Page- Inventory Detail Report- remove unnecessary Parameters" u="1"/>
        <s v="Feature |  00009 - Place webcontent in the grid acording to wireframe" u="1"/>
        <s v="Bug |  00954 - Import of Organizations fails due to a NoSuchListTypeException" u="1"/>
        <s v="Bug |  01348 - BIT-107 Order Report URL too long " u="1"/>
        <s v="Bug |  00554 - Notifications Configuration does not include Country Documents yet." u="1"/>
        <s v="Feature |  00358 - Co-Packer - orders Ship to no pricing" u="1"/>
        <s v="Bug |  00632 - Orders - Move view details link below order Date" u="1"/>
        <s v="Feature |  00022 - Investors - Overview" u="1"/>
        <s v="Feature |  00235 - Building Solutions" u="1"/>
        <s v="Task |  00316 - Install Audience Targeting on QA servers" u="1"/>
        <s v="Bug |  01364 - Scheduled Releases Customer PO" u="1"/>
        <s v="Feature |  00011 - All Projects Configuration" u="1"/>
        <s v="Feature |  00406 - Adjust forms layouts" u="1"/>
        <s v="Bug |  00225 - In Cemex, fix where the theme gets placed in the bundle by workspace" u="1"/>
        <s v="Bug |  02934 - BIN Doc Service Test Invoice URL Parameters" u="1"/>
        <s v="Feature | 00011 - Configure Liferay with LCS Activation" u="1"/>
        <s v="Feature |  00080 - All external users are re-directed to the  dashboard" u="1"/>
        <s v="Feature | 00025 - Notify Google LMS of User activity" u="1"/>
        <s v="Feature |  | 00025 - Notify Google LMS of User activity" u="1"/>
        <s v="Task |  00975 - Sprint Documentation SP10" u="1"/>
        <s v="Task |  00425 - Architectural design document - Sprint 2" u="1"/>
        <s v="Task |  01504 - Automated Tests SP7 PQ3" u="1"/>
        <s v="Feature | 00070 - Create Theme" u="1"/>
        <s v="Feature |  | 00056 - Implement Celsus sync job to index Liferay Sites" u="1"/>
        <s v="Feature |  00020 - Asset publisher layout" u="1"/>
        <s v="Feature |  00136 - Choose the section of the image to show" u="1"/>
        <s v="Bug |  01448 - BIT-154 User Agreement Link " u="1"/>
        <s v="Feature |  00375 - Buyer - Reports Landing Page" u="1"/>
        <s v="Bug |  01324 - Hide Edit options that Buyers do not have access to " u="1"/>
        <s v="Feature |  02976 - Schedule Line Deletes" u="1"/>
        <s v="Bug |  02453 - 375 (BDT) - Inventory Report - URL too long error " u="1"/>
        <s v="Bug |  01309 - Report Landing Page- Inventory Detail Report" u="1"/>
        <s v="Bug |  01198 - BIT-146 Customer Address does not display on Customer Profile" u="1"/>
        <s v="Feature |  01480 - Performance Testing and Tuning" u="1"/>
        <s v="Task |  01331 - Trocar chamadas fake pelos Serviços SUC / Testar o retorno dos dados e corrigir incosistências" u="1"/>
        <s v="Feature |  00645 - Buyer - Security" u="1"/>
        <s v="Bug |  01030 - Add open condition to Search Orders" u="1"/>
        <s v="Bug |  01005 - Do not show Scheduled Releases with a Confirmed Qty =  0" u="1"/>
        <s v="Bug |  01256 - BOL Hyperlink fails to load PDF" u="1"/>
        <s v="Task |  00370 - Common and specific infrastructure to the angular-portlet" u="1"/>
        <s v="Feature |  00161 - Format text and add links to image description" u="1"/>
        <s v="Bug |  01139 - BIT-48 Padding issues with left nav menu " u="1"/>
        <s v="Feature | 00022 - Add support for OpenID Connect Single Sign-on" u="1"/>
        <s v="Feature |  00184 - Key Company Data" u="1"/>
        <s v="Feature | 00010 - Add status: draft, published, archived, invisible " u="1"/>
        <s v="Feature |  00225 - Search Orders by Indexed fields" u="1"/>
        <s v="Feature |  00007 - Design menus" u="1"/>
        <s v="Feature |  00016 - Required Fields" u="1"/>
        <s v="Bug |  01195 -  Icons do not display properly on the Global Search Results Page" u="1"/>
        <s v="Bug |  01267 - Cancel button on Locations filter does not work 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Feature |  00511 - Releases landing page" u="1"/>
        <s v="Feature |  00352 - Location selection persists between logout and login" u="1"/>
        <s v="Feature |  00138 - Carrousel for full story pages" u="1"/>
        <s v="Feature |  02407 - Change date field used for selecting invoices" u="1"/>
        <s v="Bug |  01548 - Customer logo is not displayed on parent or child location dashboards" u="1"/>
        <s v="Task |  01089 - Analyse test coverage and improve it if necessary (Controllers and Services)" u="1"/>
        <s v="Feature |  00296 - Mobile compatibility &amp; responsive design" u="1"/>
        <s v="Feature |  00077 - Import Users and Groups from AD" u="1"/>
        <s v="Feature |  00359 - Batch details in on-hand inventory" u="1"/>
        <s v="Bug |  01684 - Add dependency in Theme for freemarker contributor" u="1"/>
        <s v="Bug |  01338 - Shipment Card Item Detail Box Scrolling Bar" u="1"/>
        <s v="Bug |  01183 - Reports Landing Page - Report Header is not aligned properly" u="1"/>
        <s v="Task |  00481 - UAT/Prod Deployment" u="1"/>
        <s v="Feature |  00141 - Country micro site subpages" u="1"/>
        <s v="Task |  00834 - Automated tests for Sprint 6" u="1"/>
        <s v="Feature | 00025 - Liferay Governance" u="1"/>
        <s v="Bug |  00541 - Stock Ticker portlet has content that is not localiz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Feature |  01527 - Updates for all Report " u="1"/>
        <s v="Feature |  00014 - Language selection functionality" u="1"/>
        <s v="Feature |  00328 - Custom 404 page" u="1"/>
        <s v="Feature |  00347 - Product values in different currencies" u="1"/>
        <s v="Feature |  00144 - Our history page without timeline section" u="1"/>
        <s v="Feature |  00058 - Carrier List CRUD" u="1"/>
        <s v="Task |  00670 - Automated tests for Sprint 4" u="1"/>
        <s v="Bug |  01414 - Report time range selection box sizing - Shipments and Releases Report Test" u="1"/>
        <s v="Task |  02939 - Update LDAP configs now that FP 13 has fixed automatic loading of configs" u="1"/>
        <s v="Feature |  01622 - Menu position does not remain closed when navigating from one page to another " u="1"/>
        <s v="Bug |  00716 - When an order is deleted, the associated AssetEntries are not removed" u="1"/>
        <s v="Feature |  01643 - Update Sales Order Data Sync logic" u="1"/>
        <s v="Bug |  01020 - Checkboxes for Locations in filter do not show " u="1"/>
        <s v="Bug |  01348 - Order Report URL too long " u="1"/>
        <s v="Feature |  00023 - Events + Calendar Portlet" u="1"/>
        <s v="Bug |  00578 - Image Animations do not match mockups for Stories" u="1"/>
        <s v="Bug |  01194 - 'Show More' link missing from Report description" u="1"/>
        <s v="Bug |  01415 - Invoice Report Field" u="1"/>
        <s v="Bug |  01639 - BIT-159 Create Access Path for CSRs to Customer and User Profiles" u="1"/>
        <s v="Bug |  00175 - Sprint 2 minor fixes" u="1"/>
        <s v="Feature |  00025 - Notify Google LMS of User activity" u="1"/>
        <s v="Feature |  00074 - Related articles" u="1"/>
        <s v="Feature |  00256 - Buyer View of Customer Profile" u="1"/>
        <s v="Task |  00839 - Sprint Documentation" u="1"/>
        <s v="Feature |  00230 - Create/edit Order Note" u="1"/>
        <s v="Task |  00058 - Update SendEmail Jobs" u="1"/>
        <s v="Task |  00372 - E2.1 Login - Use SoapUI to validate WSDL/WS" u="1"/>
        <s v="Feature |  00377 - Generate Shipping Reports" u="1"/>
        <s v="Task |  00587 - Register Device adjustments" u="1"/>
        <s v="Feature |  00007 - Add expiration date" u="1"/>
        <s v="Feature |  00371 - Customer Profile updates from IBB" u="1"/>
        <s v="Feature |  00073 - Unified boiler plate text" u="1"/>
        <s v="Bug |  00784 - Modify default date range for shipment, release, and order screens" u="1"/>
        <s v="Feature |  00013 - Footer" u="1"/>
        <s v="Feature |  00361 - Footer" u="1"/>
        <s v="Feature |  01476 - Remove default e-mail suffix from login page" u="1"/>
        <s v="Bug |  01421 - Bemis Logo displayed on Bemis' QA is incorrect" u="1"/>
        <s v="Task | 00005 - Define strategy around docker and Azure" u="1"/>
        <s v="Feature |  00218 - Customer site template" u="1"/>
        <s v="Bug |  01240 - Formatting Error when Resizing" u="1"/>
        <s v="Feature |  00150 - Company profile page" u="1"/>
        <s v="Feature | 00027 - Install on Azure Production" u="1"/>
        <s v="Bug |  02885 - (BDT 467) - Releases and Shipments do not display for new customer setup " u="1"/>
        <s v="Bug |  01364 - BIT-114 Scheduled Releases Customer PO" u="1"/>
        <s v="Bug |  01056 - Location and ShipTo filter dropdowns are missing a border in FF and IE" u="1"/>
        <s v="Feature |  00223 - View Orders by PO" u="1"/>
        <s v="Bug |  00855 - Orders Page - Marshal Orders with NULL Statuses Displayed" u="1"/>
        <s v="Task |  | 00020 - Create Google Local Environment" u="1"/>
        <s v="Feature |  01007 - Requirement changes for Reports" u="1"/>
        <s v="Feature |  | 00006 - Add version" u="1"/>
        <s v="Bug |  01057 - User profile editing is accessible to users other than the profile owner." u="1"/>
        <s v="Feature |  00305 - Co-Packer - Role by Ship To" u="1"/>
        <s v="Task | 00020 - Create Google Local Environment" u="1"/>
        <s v="Feature |  00509 - View and Download Invoice and BoL " u="1"/>
        <s v="Bug |  01558 - BIT-166 Disabled User shows up in Members section on company profile page" u="1"/>
        <s v="Feature |  00801 - List shipments from specific Order" u="1"/>
        <s v="Feature |  01480 - Performance Testing and Tunning" u="1"/>
        <s v="Ballpark - Demand |  00000 - Dummy Feature of Products" u="1"/>
        <s v="Feature |  00211 - Style and colors" u="1"/>
        <s v="Feature |  00014 - Capture user info" u="1"/>
        <s v="Task |  01732 - Automated Tests SP9 - Functional tests" u="1"/>
        <s v="Bug |  01323 - Add documents button is inside the footer" u="1"/>
        <s v="Bug |  00836 - Logon with incorrect password doesn't fail immediately with 2FA enabled" u="1"/>
        <s v="Bug |  01297 - BIT-84 Data Issue on Bemis QA Environment" u="1"/>
        <s v="Bug |  00069 - Menu not working when on mobile mode" u="1"/>
        <s v="Task |  00025 - Configuração da infraestrutura de DevOps" u="1"/>
        <s v="Feature |  00066 - Investor center effects" u="1"/>
        <s v="Feature |  00019 - Asset publisher - Simple version" u="1"/>
        <s v="Bug |  01338 - BIT-99 Shipment Card Item Detail Box Scrolling Bar" u="1"/>
        <s v="Feature |  00010 - Add status: draft, published, archived, invisible " u="1"/>
        <s v="Bug |  01265 - Bemis Logo Compression/Crowding" u="1"/>
        <s v="Feature |  02886 - Always display BOL and Invoice links" u="1"/>
        <s v="Feature |  | 00070 - Create Theme" u="1"/>
        <s v="Feature |  | 00010 - Add status: draft, published, archived, invisible " u="1"/>
        <s v="Task |  01606 - Automated Tests SP8 PQ3" u="1"/>
        <s v="Ballpark - Demand |  00000 - Dummy Feature of Sustainability" u="1"/>
        <s v="Task |  00913 - Automated test sprint 7" u="1"/>
        <s v="Feature |  01891 - Add Google Analytics to the Customer Portal Sites" u="1"/>
        <s v="Feature | 00014 - Configure Liferay clustering " u="1"/>
        <s v="Bug |  01261 - BIT-68 Optional fields not correctly formatted or are missing in open and closed order report" u="1"/>
        <s v="Feature |  00224 - Order Detail in Orders by PO" u="1"/>
        <s v="Bug |  00371 - RDR sync failing halfway through ORG sync" u="1"/>
        <s v="Task |  00965 - Part of Phase 1.5 - A number of small changes" u="1"/>
        <s v="Feature |  00145 - Sustainability Overview" u="1"/>
        <s v="Feature |  00445 -  View/Edit User Profile" u="1"/>
        <s v="Feature |  00234 - Services Page" u="1"/>
        <s v="Task |  00971 - Automated test sprint 9" u="1"/>
        <s v="Bug |  00915 - Increase size limit for profile picture" u="1"/>
        <s v="Feature |  00110 - Buyer - Show Expanded Shipment View" u="1"/>
        <s v="Task |  00171 - Replace stock images with real images from Bank of America" u="1"/>
        <s v="Feature | 00015 - Configure Docker Swarm to auto scale Liferay" u="1"/>
        <s v="Feature |  00118 - Include videos on the full story page" u="1"/>
        <s v="Bug |  00860 - Date Format is incorrect on all Pages" u="1"/>
        <s v="Feature | 00033 - Enhanced Group REST Service" u="1"/>
        <s v="Bug |  00576 - Home page &quot;More&quot; button does not work for Internet Explorer 10 or 11" u="1"/>
        <s v="Feature | 00007 - Create repository for software images" u="1"/>
        <s v="Task |  00596 - Anchor tags not working for some pages" u="1"/>
        <s v="Feature |  00341 - User agreement - BNA" u="1"/>
        <s v="Feature |  02878 - Update Carrier list for portal " u="1"/>
        <s v="Feature |  00140 - Country micro site single page" u="1"/>
        <s v="Feature |  00107 - Shipments Landing Page" u="1"/>
        <s v="Bug |  02593 - Report Preview UI issues " u="1"/>
        <s v="Bug |  00904 - Update Shipments data fields to allow for decimals " u="1"/>
        <s v="Bug |  01088 - BIT-17 Carrier Link is not working " u="1"/>
        <s v="Feature |  01784 - Improve data display on all pages " u="1"/>
        <s v="Feature |  00232 - Reports Page" u="1"/>
        <s v="Feature |  00156 - Create and assign customer Roles" u="1"/>
        <s v="Bug |  00672 - Items per Page does not allow you to return to default setting" u="1"/>
        <s v="Feature |  00802 - List Releases of specifc Order" u="1"/>
        <s v="Feature |  | 00023 - Add SCORM support" u="1"/>
        <s v="Bug |  00829 - Order Description not wrapping correctly" u="1"/>
        <s v="Feature |  00008 - Check graphics record (to monitor order progress)" u="1"/>
        <s v="Bug |  00444 - Deleting record/site" u="1"/>
        <s v="Bug |  00120 - Story carrousel on homepage does not animate (zoom)" u="1"/>
        <s v="Bug |  00188 - Fix java script errors" u="1"/>
        <s v="Feature | 00017 - Design concepts, site creation, roles and users" u="1"/>
        <s v="Bug |  01181 - My Locations navigation on Mobile view is not working" u="1"/>
        <s v="Feature |  00012 - Country Selection content" u="1"/>
      </sharedItems>
    </cacheField>
    <cacheField name="SubtaskName" numFmtId="0">
      <sharedItems containsNonDate="0" containsBlank="1" count="1026">
        <m/>
        <s v="Frontend Development | S 00070 - Fix menu when on mobile mode" u="1"/>
        <s v="BALLPARK - Feature Review | S 00000 - Page Fix for Careers page" u="1"/>
        <s v="BALLPARK - Alpha Test | 00000 - Creation of content structures and templates" u="1"/>
        <s v="BALLPARK - QA Support | 00000 - Creation of content structures and templates" u="1"/>
        <s v="BALLPARK - Feature Planning | S 00000 - Browse Customer Profiles" u="1"/>
        <s v="QA | M 00747 - QA for View/Edit my User Profile" u="1"/>
        <s v="QA | M 00749 - QA for View/Edit User Profile" u="1"/>
        <s v="Alpha Test | S | 00119 - Alpha for Implement Celsus sync job to index Liferay Sites" u="1"/>
        <s v="Frontend Development | M 00064 - Show full story on media center" u="1"/>
        <s v="Backend Development | S 01460 - Research BOL - PDF loading failure" u="1"/>
        <s v="Sub-Task |  00723 - Math operands should be cast before any assignment." u="1"/>
        <s v="Feature Review | S 01807 - Review of Theme Dependency needs to be updated due to core changes" u="1"/>
        <s v="BALLPARK - Alpha Test | S 00000 - Investor center effects" u="1"/>
        <s v="BALLPARK - Alpha Test | M 00000 - Global search" u="1"/>
        <s v="QA | S 00900 - QA for Customer - Org - Permissions" u="1"/>
        <s v="Feature Planning | L | 00024 - Add SCORM support - Feature Planning" u="1"/>
        <s v="BALLPARK - Feature Planning | S 00000 - Add Google Analytics to the Customer Portal Sites" u="1"/>
        <s v="QA | S 00085 - QA for Place webcontent in the grid acording to wireframe" u="1"/>
        <s v="Alpha Test | M 00945 - Alpha for BoL and Invoice links" u="1"/>
        <s v="BALLPARK - Alpha Test | S 00000 - Add version" u="1"/>
        <s v="BALLPARK - QA Support | S 00000 - Add version" u="1"/>
        <s v="Backend Development | M 01066 - Update BoL field logic " u="1"/>
        <s v="BALLPARK - QA/UAT Support | XS 00000 - Product values in different currencies" u="1"/>
        <s v="Feature Review | S 00993 - Review of List Releases of specifc Order" u="1"/>
        <s v="BALLPARK - Feature Planning | M 00000 - Check graphics record (to monitor order progress)" u="1"/>
        <s v="QA | S 02937 - QA for BDT 474 Reporting errors for Customer id 0138680" u="1"/>
        <s v="Feature Review | S 01391 - Review of Hide Edit options that Buyers do not have access to " u="1"/>
        <s v="BALLPARK - Development | M 00000 - Performance Testing and Tunning" u="1"/>
        <s v="Sub-Task |  00845 - Service Map" u="1"/>
        <s v="Sub-Task |  01020 - What We Do: Correct styles of Stories" u="1"/>
        <s v="Sub-Task | S | 00044 - OpenID Integration - Feature Planning" u="1"/>
        <s v="BALLPARK - Feature Review | S 00000 - Global search" u="1"/>
        <s v="BALLPARK - QA/UAT Support | L 00000 - Global search" u="1"/>
        <s v="BALLPARK - Tech Planning | S 00000 - Create/edit Order Note" u="1"/>
        <s v="BALLPARK - Developer Support | 00000 - Configure Elasticsearch with Azure local instance storage" u="1"/>
        <s v="Sub-Task |  00852 - The FreeMaker template  engine allows the execution of actions on the server side. This could allow java code execution from the client side." u="1"/>
        <s v="Sub-Task |  00849 - Libraries with known vulnerabilities" u="1"/>
        <s v="QA | S 00971 - QA for Arrow Font Size on Releases Page is too small" u="1"/>
        <s v="BALLPARK - Alpha Test | S 00000 - Carousel with three images and timer" u="1"/>
        <s v="BALLPARK - Alpha Test | S 00000 - View closed orders in Order Views" u="1"/>
        <s v="QA | S 00242 - QA for Sustainability Overview" u="1"/>
        <s v="BALLPARK - Feature Review | S 00000 - Add version" u="1"/>
        <s v="BALLPARK - Alpha Test | S 00000 - Render iframe to show old content" u="1"/>
        <s v="BALLPARK - Tech Planning | S 00000 - Hide Pricing Fields for Logistics, Co-Packer, and Quality roles" u="1"/>
        <s v="Sub-Task | M 00061 - Scrum master - January - 9 to 13" u="1"/>
        <s v="BALLPARK - Feature Review | S 00000 - Add SCORM support" u="1"/>
        <s v="Sub-Task |  00172 - Replace stock images for Securescape Homepage" u="1"/>
        <s v="Alpha Test | S 01425 - Alpha for Data Issue on Bemis QA Environment" u="1"/>
        <s v="Backend Development | S 00037 - Add status to Site service" u="1"/>
        <s v="Frontend Development | M 01009 - Reorder Reports on the landing page" u="1"/>
        <s v="BALLPARK - Tech Planning | S 00000 - List shipments from specific Order" u="1"/>
        <s v="Alpha Test | S 01466 - Alpha for Release PO and Customer PO are wrapping on the same line" u="1"/>
        <s v="Sub-Task |  00682 - Functional Test for Dashboard with no accounts" u="1"/>
        <s v="Frontend Development | XS | 00032 - Create content structure and template for Genérico" u="1"/>
        <s v="Alpha Test | S 01659 - Alpha for BIT-159 Create Access Path for CSRs to Customer and User Profiles" u="1"/>
        <s v="BALLPARK - Development | S 00000 - Search &amp; browse - customer &amp; user profiles - Sales restricted view" u="1"/>
        <s v="BALLPARK - Feature Planning | S 00000 - Content Workflow" u="1"/>
        <s v="BALLPARK - Developer Support | S 00000 - Hide Pricing Fields for Logistics, Co-Packer, and Quality roles" u="1"/>
        <s v="BALLPARK - Tech Planning | XS 00000 - Switch to SOAP calls" u="1"/>
        <s v="Sub-Task |  01104 - Provide a Dashboard to show the records from ExportQueue" u="1"/>
        <s v="BALLPARK - Development | XS 00000 - Remove default e-mail suffix from login page" u="1"/>
        <s v="BALLPARK - Tech Planning | S 00000 - Co-Packer - orders Ship to no pricing" u="1"/>
        <s v="BALLPARK - Feature Planning | M 00000 - Co-Packer - Role by Ship To" u="1"/>
        <s v="BALLPARK - Tech Planning | XS 00000 - Carousel with three images and timer" u="1"/>
        <s v="BALLPARK - Feature Review | S 00000 - View closed orders in Order Views" u="1"/>
        <s v="BALLPARK - QA/UAT Support | S 00000 - View closed orders in Order Views" u="1"/>
        <s v="Frontend Development | M 00041 - Carousel with three images and timer" u="1"/>
        <s v="BALLPARK - Tech Planning | S 00000 - View closed orders in Order Views" u="1"/>
        <s v="Backend Development | M 01691 - Replicate Order Sync refactoring for Shipment" u="1"/>
        <s v="BALLPARK - Developer Support | S 00000 - Add ExpandAll option to Orders Summaries." u="1"/>
        <s v="QA | S 01409 - QA for Scheduled Releases Customer PO" u="1"/>
        <s v="QA | S 01134 - QA for Update Scheduled Releases data fields to allow for decimals " u="1"/>
        <s v="Alpha Test | S 01591 - Alpha for Customer Data Sync is checking wrong address for validity" u="1"/>
        <s v="BALLPARK - Alpha Test | S 00000 - Sustainability Overview" u="1"/>
        <s v="Frontend Development | M 00044 - Create a configurable footer" u="1"/>
        <s v="BALLPARK - Alpha Test | S 00000 - Asset publisher layout" u="1"/>
        <s v="Ballpark - Demand | S 00000 - Dummy Activity of Sustainability" u="1"/>
        <s v="Tech Planning | M 01434 - Tech Planning - Review Order Data Sync and update" u="1"/>
        <s v="QA | M 00962 - QA for On-Hand Inventory View" u="1"/>
        <s v="BALLPARK - Tech Planning | XS 00000 - Asset publisher filter" u="1"/>
        <s v="BALLPARK - Alpha Test | XS 00000 - Add behaviour to concrete incubator link" u="1"/>
        <s v="BALLPARK - Development | S 00000 - Add behaviour to concrete incubator link" u="1"/>
        <s v="QA | S 01933 - QA for Link Bemis/TheHub Logo back CSR Bemis Site" u="1"/>
        <s v="BALLPARK - Feature Review | S 00000 - Add ExpandAll option to Orders Summaries." u="1"/>
        <s v="BALLPARK - QA/UAT Support | S 00000 - Add ExpandAll option to Orders Summaries." u="1"/>
        <s v="Feature Planning | M 00482 - Coordinate steps needed to reset environments for testing." u="1"/>
        <s v="Sub-Task | M 00586 - Create Installation documentation" u="1"/>
        <s v="Alpha Test | S 01463 - Alpha for Time, status and report freezes" u="1"/>
        <s v="QA | S 00967 - QA for Logon with incorrect password doesn't fail immediately with 2FA enabled" u="1"/>
        <s v="Sub-Task |  00840 - Sketch Files" u="1"/>
        <s v="Sub-Task |  00976 - Sketch Files" u="1"/>
        <s v="BALLPARK - Tech Planning | M 00000 - CR45 - Shipment Deletes" u="1"/>
        <s v="BALLPARK - UX | S 00000 - Create Google Local Environment" u="1"/>
        <s v="BALLPARK - Alpha Test | 00000 - Create repository for software images" u="1"/>
        <s v="BALLPARK - QA Support | 00000 - Create repository for software images" u="1"/>
        <s v="Alpha Test | S 00026 - Alpha for Concrete Incubator webcontent" u="1"/>
        <s v="BALLPARK - Alpha Test | XS 00000 - Add behaviour to Homepage links" u="1"/>
        <s v="BALLPARK - Development | S 00000 - Add behaviour to Homepage links" u="1"/>
        <s v="BALLPARK - Developer Support | S 00000 - Order Detail in Orders by PO" u="1"/>
        <s v="Backend Development | S 01217 - Prevent data sync from triggering before server startup is complete" u="1"/>
        <s v="BALLPARK - Development | S 00000 - View closed orders in Order Views" u="1"/>
        <s v="BALLPARK - Developer Support | S 00000 - View closed orders in Order Views" u="1"/>
        <s v="BALLPARK - Feature Planning | XS 00000 - View closed orders in Order Views" u="1"/>
        <s v="BALLPARK - Feature Review | S | 00000 - Capture user info" u="1"/>
        <s v="Sub-Task |  00679 - Functional Test for Changing security questions flow/OTP users" u="1"/>
        <s v="BALLPARK - UX | S 00000 - Manage DL folder &amp; files" u="1"/>
        <s v="Alpha Test | S 00980 - Alpha for List shipments from specific Order" u="1"/>
        <s v="BALLPARK - Development | M | 00000 - Capture learning events" u="1"/>
        <s v="BALLPARK - Tech Planning | S 00000 - Capture learning events" u="1"/>
        <s v="Sub-Task |  00914 - Refactoring in first access tests (Setting up security questions)" u="1"/>
        <s v="Frontend Development | S 00148 - Create micro site page" u="1"/>
        <s v="Frontend Development | S 00164 - Remove &quot;sign in&quot; link from the footer" u="1"/>
        <s v="BALLPARK - QA Support | S 00000 - In Cemex, fix where the theme gets placed in the bundle by workspace" u="1"/>
        <s v="Sub-Task |  00181 - Ultimo regresso header adjustment" u="1"/>
        <s v="QA | M 00939 - QA for Open and Closed Order Status Report " u="1"/>
        <s v="BALLPARK - Development | M 00000 - Product values in different currencies" u="1"/>
        <s v="Feature Review | S | 00145 - Review of Implement Celsus sync job to index Liferay Sites" u="1"/>
        <s v="QA | S 01280 - QA for  Icons do not display properly on the Global Search Results Page" u="1"/>
        <s v="BALLPARK - Feature Review | S 00000 - On-Hand Inventory View for a specific item" u="1"/>
        <s v="BALLPARK - Developer Support | 00000 - Configure Liferay clustering " u="1"/>
        <s v="QA | S 02933 - QA for Always display BOL and Invoice links" u="1"/>
        <s v="Feature Review | S | 00131 - Review of Add sorting capability to Site REST API" u="1"/>
        <s v="Sub-Task |  00967 - Implement changes in Assignment to Potential Entity and Sending Entity Start Date" u="1"/>
        <s v="Sub-Task |  00426 - Support" u="1"/>
        <s v="Alpha Test | S 01690 - Alpha for Add dependency in Theme for freemarker contributor" u="1"/>
        <s v="Frontend Development | XS 00197 - Adjust company profile page" u="1"/>
        <s v="BALLPARK - Development | 00000 - Connect Liferay Docker with BBDD" u="1"/>
        <s v="BALLPARK - QA Support | S 00000 - CR45 - Shipment Deletes" u="1"/>
        <s v="BALLPARK - Tech Planning | S 00000 - View Order Note." u="1"/>
        <s v="Feature Planning | S 01676 - Document/Update requirements for new sort functionality" u="1"/>
        <s v="QA | S 00104 - QA for Concrete Incubator webcontent" u="1"/>
        <s v="Feature Review | M | 00114 - Review of Enhanced Group REST Service" u="1"/>
        <s v="Sub-Task |  00732 - Standard outputs should not be used directly to log anything" u="1"/>
        <s v="BALLPARK - Development | XS 00000 - Release Report" u="1"/>
        <s v="BALLPARK - UX | XS 00000 - Buyer View of Customer Profile" u="1"/>
        <s v="QA | S | 00109 - QA for Add support for OpenID Connect Single Sign-on" u="1"/>
        <s v="QA | S 01377 - QA for All Reports- Default Column Fields " u="1"/>
        <s v="BALLPARK - Alpha Test | XS 00000 - Products Overview" u="1"/>
        <s v="BALLPARK - Alpha Test | S 00000 - Unified boiler plate text" u="1"/>
        <s v="Alpha Test | S 01484 - Alpha for Link Bemis/TheHub Logo back CSR Bemis Site" u="1"/>
        <s v="Alpha Test | S 00025 - Alpha for Design menus" u="1"/>
        <s v="Feature Review | S 01507 - Review of Customer Site Template was not updated correctly" u="1"/>
        <s v="Sub-Task | XS 00005 - Activate Production" u="1"/>
        <s v="Feature Review | S 00222 - Review of Research: Error when creating a WebContent with nested WebContent" u="1"/>
        <s v="Frontend Development | S 00040 - Adjust the layout of webcontent" u="1"/>
        <s v="BALLPARK - Development | M 00000 - Add SCORM support" u="1"/>
        <s v="BALLPARK - Alpha Test | S 00000 - Show full story on Media Center" u="1"/>
        <s v="Feature Review | S | 00121 - Review of Create Google Local Environment" u="1"/>
        <s v="QA | S 01486 - QA for Bemis Logo Compression/Crowding" u="1"/>
        <s v="BALLPARK - UX | S 00000 - Setup Project Infrasctructure" u="1"/>
        <s v="Feature Planning | S 00026 - Notify Google LMS of User activity - Feature Planning" u="1"/>
        <s v="BALLPARK - Alpha Test | S | 00000 - Capture learning events" u="1"/>
        <s v="BALLPARK - QA Support | S | 00000 - Capture learning events" u="1"/>
        <s v="BALLPARK - UX | S 00000 - List shipments from specific Order" u="1"/>
        <s v="QA | S 01353 - QA for Orders Page - Quantity Fields Show 0 Value" u="1"/>
        <s v="QA | M 01104 - QA for Left Navigation Expand / Collapse on all pages" u="1"/>
        <s v="QA | M 00956 - QA for Reports Landing Page" u="1"/>
        <s v="Backend Development | S 00013 - Create Jira Template project" u="1"/>
        <s v="Sub-Task |  00488 - Clean up indexer when SIM object gets deleted" u="1"/>
        <s v="QA | S 01384 - QA for Report Landing Page- Inventory Detail Report- remove unnecessary Parameters" u="1"/>
        <s v="QA | S 00240 - QA for Press Releases Page" u="1"/>
        <s v="BALLPARK - UX | XS 00000 - Co-Packer - orders Ship to no pricing" u="1"/>
        <s v="Sub-Task | M 01091 - AccountServiceImpl.java" u="1"/>
        <s v="BALLPARK - Tech Planning | S 00000 - Generate Shipping Reports" u="1"/>
        <s v="BALLPARK - Feature Review | 00000 - Create repository for software images" u="1"/>
        <s v="BALLPARK - Development | M 00000 - Add ExpandAll option to Orders Summaries." u="1"/>
        <s v="Sub-Task |  00525 - Steps Component - Infrastructure" u="1"/>
        <s v="QA | S 00970 - QA for UI Navigation bar" u="1"/>
        <s v="Feature Review |  00586 - Review of Make the user Jose Alberto as a site admin" u="1"/>
        <s v="BALLPARK - Alpha Test | S 00000 - Upgrade liferay bundle to DE fix-pack 13" u="1"/>
        <s v="BALLPARK - Tech Planning | S 00000 - Release Report" u="1"/>
        <s v="BALLPARK - Development | S 00000 - Create and assign customer Roles" u="1"/>
        <s v="Alpha Test | S 01125 - Alpha for Footer" u="1"/>
        <s v="Sub-Task |  00961 - Creation of Query: People Movement" u="1"/>
        <s v="Alpha Test | S 00053 - Alpha for Questions Portlet" u="1"/>
        <s v="Sub-Task |  00036 - Criar VM com Database Oracle" u="1"/>
        <s v="BALLPARK - Alpha Test | S 00000 - Capture learning events" u="1"/>
        <s v="BALLPARK - QA Support | S 00000 - Capture learning events" u="1"/>
        <s v="QA | S 00781 - QA for Orders - Move view details link below order Date" u="1"/>
        <s v="Feature Review | S 00394 - Review of Install Audience Targeting on QA servers" u="1"/>
        <s v="BALLPARK - Feature Review | 00000 - Install theme and layouts" u="1"/>
        <s v="BALLPARK - UX | S 00000 - Carrier List CRUD" u="1"/>
        <s v="BALLPARK - Feature Review | S 00000 - In Cemex, fix where the theme gets placed in the bundle by workspace" u="1"/>
        <s v="Frontend Development | M 00814 - UI for Mobile compatibility &amp; responsive design" u="1"/>
        <s v="Feature Review | S 01653 - Review of BIT-46 Cards on Page incorrect" u="1"/>
        <s v="BALLPARK - Development | M 00000 - Workflows Customizations" u="1"/>
        <s v="QA | S | 00151 - QA for Add sorting capability to Site REST API" u="1"/>
        <s v="QA | S 00217 - QA for Country micro site subpages" u="1"/>
        <s v="BALLPARK - Alpha Test | S 00000 - Setup Project Infrasctructure" u="1"/>
        <s v="BALLPARK - QA Support | S 00000 - Setup Project Infrasctructure" u="1"/>
        <s v="BALLPARK - Development | XS 00000 - Update Customer logo" u="1"/>
        <s v="BALLPARK - Alpha Test | S | 00000 - Notify Google LMS of User activity" u="1"/>
        <s v="BALLPARK - QA Support | S | 00000 - Notify Google LMS of User activity" u="1"/>
        <s v="Backend Development | M 01112 - Add location facet" u="1"/>
        <s v="Sub-Task |  01021 - What We Do: Stories details page" u="1"/>
        <s v="Sub-Task |  01282 - Automated tests for DCU45 - No accounts dashboard" u="1"/>
        <s v="Tech Planning | M 01673 - Tech Planning - Data Sync Changes - Inventory " u="1"/>
        <s v="QA | S 02953 - QA for 470 (BDT) Updates to Consignment logic - Completed Shipments Sub-page shipped qty mismatched" u="1"/>
        <s v="QA | S 02668 - QA for Report Preview UI issues " u="1"/>
        <s v="BALLPARK - Development | S 00000 - View Order Note." u="1"/>
        <s v="BALLPARK - UX | XS 00000 - Order Status Report" u="1"/>
        <s v="QA | S 00972 - QA for Modify default date range for shipment, release, and order screens" u="1"/>
        <s v="BALLPARK - Feature Review | S 00000 - Sort Orders by Specific Fields" u="1"/>
        <s v="BALLPARK - QA/UAT Support | S 00000 - Sort Orders by Specific Fields" u="1"/>
        <s v="BALLPARK - QA/UAT Support | XS 00000 - Link Product Id in Orders Detail to Product Spec Page." u="1"/>
        <s v="QA | S 02950 - QA for Update Carrier list for portal " u="1"/>
        <s v="QA | S 01135 - QA for Do not show Scheduled Releases with a Confirmed Qty =  0" u="1"/>
        <s v="Frontend Development | M 00049 - Set up the filter for the asset publisher" u="1"/>
        <s v="Frontend Development | XS | 00035 - Create content structure and template for Avisos" u="1"/>
        <s v="Backend Development | M 01435 - Backend Dev - Update Order Data Sync/Model" u="1"/>
        <s v="Backend Development | S 00042 - Create a configurable OSGI property to obtein API endpoint" u="1"/>
        <s v="Tech Planning | M | 00072 - Discuss UI Architecture" u="1"/>
        <s v="Frontend Development | M 01350 - Development for - Customer Address does not display on Customer Profile" u="1"/>
        <s v="BALLPARK - Tech Planning | M 00000 - REST service for Enhanced Groups" u="1"/>
        <s v="Sub-Task | S 00245 - Work on frontend / ADT / UI" u="1"/>
        <s v="Sub-Task |  00173 - Replace stock images for Intelligence Reports &amp; Analysis Overview page" u="1"/>
        <s v="BALLPARK - Developer Support | 00000 - Create docker image for Liferay installation" u="1"/>
        <s v="QA | S 01506 - QA for Padding issues with left nav menu" u="1"/>
        <s v="Sub-Task | M 00058 - Meetings with client" u="1"/>
        <s v="Backend Development | M 01427 - Update 'View Details' display logic" u="1"/>
        <s v="BALLPARK - Alpha Test | 00000 - Configure Liferay with LCS Activation" u="1"/>
        <s v="BALLPARK - QA Support | 00000 - Configure Liferay with LCS Activation" u="1"/>
        <s v="Sub-Task |  00731 - Strings literals should be placed on the left side when checking for equality" u="1"/>
        <s v="BALLPARK - Alpha Test | 00000 - Configure Docker Swarm to auto scale Liferay" u="1"/>
        <s v="BALLPARK - QA Support | 00000 - Configure Docker Swarm to auto scale Liferay" u="1"/>
        <s v="Sub-Task |  00479 - Set up Email Server on Dev" u="1"/>
        <s v="Sub-Task |  01015 - Update link to stories details" u="1"/>
        <s v="QA | S 00089 - QA for Carousel with three images and timer" u="1"/>
        <s v="BALLPARK - Feature Review | S 00000 - Hide Pricing Fields for Logistics, Co-Packer, and Quality roles" u="1"/>
        <s v="BALLPARK - QA/UAT Support | M 00000 - Hide Pricing Fields for Logistics, Co-Packer, and Quality roles" u="1"/>
        <s v="Sub-Task |  00713 - Calendar Component" u="1"/>
        <s v="Sub-Task |  00826 - Calendar Component" u="1"/>
        <s v="BALLPARK - Developer Support | 00000 - Design concepts, site creation, roles and users" u="1"/>
        <s v="Alpha Test | S 00028 - Alpha for Webcontent - Investors to Key Statistics" u="1"/>
        <s v="BALLPARK - Development | 00000 - Liferay Governance" u="1"/>
        <s v="BALLPARK - Feature Planning | S | 00000 - Add expiration date" u="1"/>
        <s v="Alpha Test | S 01625 - Alpha for Customer logo is not displayed on parent or child location dashboards" u="1"/>
        <s v="QA | M 00740 - QA for User Profile Dropdown" u="1"/>
        <s v="Alpha Test | S 00068 - Alpha for Asset publisher layout" u="1"/>
        <s v="Backend Development | M 01645 - Refactor Order Sync/WS Classes for data refresh calls." u="1"/>
        <s v="BALLPARK - Feature Review | 00000 - Liferay Governance" u="1"/>
        <s v="Ballpark - Demand | S 00000 - Dummy Activity of Our Story" u="1"/>
        <s v="Backend Development | S | 00031 - Backport OpenId Connect implementation to DXP" u="1"/>
        <s v="Sub-Task |  00564 - Functional Test for Block User" u="1"/>
        <s v="QA | S 00134 - QA for Ajustments in full stories layout" u="1"/>
        <s v="QA | S 01131 - QA for Update Releases data fields to allow for decimals " u="1"/>
        <s v="BALLPARK - Tech Planning | S 00000 - Browse Customer Profiles" u="1"/>
        <s v="BALLPARK - Feature Planning | S | 00000 - Add status: draft, published, archived, invisible " u="1"/>
        <s v="BALLPARK - Tech Planning | M | 00000 - REST service for Enhanced Groups" u="1"/>
        <s v="QA | S 02820 - QA for BOL and INVOICE Hyperlink fails to load PDF" u="1"/>
        <s v="BALLPARK - Development | 00000 - Configure Elasticsearch with Azure local instance storage" u="1"/>
        <s v="QA | S 01504 - QA for Bemis Logo displayed on Bemis' QA is incorrect" u="1"/>
        <s v="BALLPARK - Feature Review | 00000 - Configure Docker Swarm to auto scale Liferay" u="1"/>
        <s v="Sub-Task |  00726 - Controles de flujo como &quot;if&quot;, &quot;for&quot;, &quot;while&quot;, &quot;switch&quot; y &quot;try&quot; no deben ser muy anidados." u="1"/>
        <s v="BALLPARK - QA Support | S 00000 - Image Animations do not match mockups for Stories" u="1"/>
        <s v="Alpha Test | S 01467 - Alpha for Report time range selection box sizing - Shipments and Releases Report Test" u="1"/>
        <s v="BALLPARK - Developer Support | XS 00000 - Link Product Id in Orders Detail to Product Spec Page." u="1"/>
        <s v="BALLPARK - Development | M 00000 - Related articles" u="1"/>
        <s v="Sub-Task |  00733 - &quot;Public static&quot; fields should be constant" u="1"/>
        <s v="QA | S 01053 - QA for Import of Organizations fails due to a NoSuchListTypeException" u="1"/>
        <s v="Tech Planning | XS | 00036 - Analize the search configuration" u="1"/>
        <s v="BALLPARK - Feature Review | 00000 - Creation of content structures and templates" u="1"/>
        <s v="BALLPARK - Feature Planning | S 00000 - Add support for OpenID Connect Single Sign-on" u="1"/>
        <s v="BALLPARK - Feature Review | S | 00000 - Add support for OpenID Connect Single Sign-on" u="1"/>
        <s v="Alpha Test | S 01274 - Alpha for Redesign for product description display" u="1"/>
        <s v="BALLPARK - Alpha Test | S 00000 - Notify Google LMS of User activity" u="1"/>
        <s v="BALLPARK - QA Support | S 00000 - Notify Google LMS of User activity" u="1"/>
        <s v="Sub-Task |  00709 - Automated Tests for Setting up Security Image" u="1"/>
        <s v="BALLPARK - Feature Planning | XS 00000 - Release expanded view" u="1"/>
        <s v="Alpha Test | S 01289 - Alpha for Missing Address should be empty" u="1"/>
        <s v="QA | S 00006 - QA for Multi-criteria search" u="1"/>
        <s v="BALLPARK - Development | S 00000 - Sort Orders by Specific Fields" u="1"/>
        <s v="Sub-Task |  00960 - Creation of Query: Applicants in Process" u="1"/>
        <s v="Sub-Task | S 00044 - OpenID Integration - Feature Planning" u="1"/>
        <s v="Backend Development | S 01678 - New Sort Functionality for Orders - Backend" u="1"/>
        <s v="BALLPARK - Alpha Test | 00000 - Connect Liferay Docker with BBDD" u="1"/>
        <s v="BALLPARK - QA Support | 00000 - Connect Liferay Docker with BBDD" u="1"/>
        <s v="Backend Development | M 01582 - Add support for new Preview parameter" u="1"/>
        <s v="Backend Development | M 01702 - Update Shipment WS Client and mapping" u="1"/>
        <s v="Sub-Task |  00526 - Frontend" u="1"/>
        <s v="BALLPARK - Tech Planning | S 00000 - Releases landing page" u="1"/>
        <s v="Tech Planning | M 01693 - Tech Planning for Update Footer Content" u="1"/>
        <s v="QA | S 00897 - QA for Create and assign customer Roles" u="1"/>
        <s v="BALLPARK - Development | 00000 - Connect Liferay with Azure File Storage " u="1"/>
        <s v="BALLPARK - Feature Review | S 00000 - Upgrade liferay bundle to DE fix-pack 13" u="1"/>
        <s v="QA | S | 00116 - QA for Notify Google LMS of User activity" u="1"/>
        <s v="Tech Planning | S | 00093 - Expiration Date - Tech Planning" u="1"/>
        <s v="BALLPARK - Alpha Test | XS 00000 - Our story page without timeline section" u="1"/>
        <s v="BALLPARK - Development | S 00000 - Our story page without timeline section" u="1"/>
        <s v="QA | S 01544 - QA for Report time range selection box sizing - Shipments and Releases Report Test" u="1"/>
        <s v="QA | M 01103 - QA for Customer site template" u="1"/>
        <s v="Backend Development | S 00041 - Create an scheduler to send information to LMS" u="1"/>
        <s v="QA | M 00546 - QA for Two Factor Authentication " u="1"/>
        <s v="BALLPARK - Tech Planning | S | 00000 - Capture learning events" u="1"/>
        <s v="BALLPARK - Tech Planning | S 00000 - Setup Project Infrasctructure" u="1"/>
        <s v="BALLPARK - Alpha Test | S 00000 - View Orders by PO" u="1"/>
        <s v="BALLPARK - UX | XS 00000 - View Order Note." u="1"/>
        <s v="Tech Planning | M 01566 - Tech Planning for new Sort Functionality for Orders" u="1"/>
        <s v="Backend Development | M 01206 - Determine what's causing the issue with the organization type" u="1"/>
        <s v="BALLPARK - Alpha Test | XS 00000 - Our history page without timeline section" u="1"/>
        <s v="BALLPARK - Feature Review | S 00000 - Link Product Id in Orders Detail to Product Spec Page." u="1"/>
        <s v="BALLPARK - Alpha Test | S | 00000 - Add version" u="1"/>
        <s v="BALLPARK - QA Support | S | 00000 - Add version" u="1"/>
        <s v="QA | S | 00081 - QA for Add status: draft, published, archived, invisible " u="1"/>
        <s v="BALLPARK - Alpha Test | 00000 - Install on Azure Production" u="1"/>
        <s v="BALLPARK - QA Support | 00000 - Install on Azure Production" u="1"/>
        <s v="QA | S 01138 - QA for User profile editing is accessible to users other than the profile owner." u="1"/>
        <s v="BALLPARK - Alpha Test | M 00000 - Co-Packer - Role by Ship To" u="1"/>
        <s v="QA | S 02667 - QA for Improve data display on all pages " u="1"/>
        <s v="BALLPARK - Alpha Test | S 00000 - Capture user info" u="1"/>
        <s v="BALLPARK - QA Support | S 00000 - Capture user info" u="1"/>
        <s v="Sub-Task |  00556 - Automated test for Terms and Conditions flow" u="1"/>
        <s v="Sub-Task |  00428 - Make sync process parallel" u="1"/>
        <s v="BALLPARK - Alpha Test | M 00000 - Performance Testing and Tunning" u="1"/>
        <s v="Sub-Task | S | 00057 - Set up Jenkins in Google local environment" u="1"/>
        <s v="BALLPARK - Development | M | 00000 - Add SCORM support" u="1"/>
        <s v="BALLPARK - Tech Planning | S 00000 - Add SCORM support" u="1"/>
        <s v="Sub-Task |  01734 - Simulate file for functional tests" u="1"/>
        <s v="BALLPARK - Feature Review | S 00000 - Manage DL folder &amp; files" u="1"/>
        <s v="BALLPARK - QA/UAT Support | S 00000 - Manage DL folder &amp; files" u="1"/>
        <s v="BALLPARK - Feature Planning | M 00000 - Shipment Search" u="1"/>
        <s v="Tech Planning | S 02981 - Tech Planning for Schedule Line Deletes" u="1"/>
        <s v="Alpha Test | S 01468 - Alpha for On Hand Inventory Details shows a Total Qty but there are no details " u="1"/>
        <s v="QA | S 00094 - QA for Country Selection content" u="1"/>
        <s v="Frontend Development | S | 00061 - Get open ID Connect Token from server" u="1"/>
        <s v="BALLPARK - Developer Support | 00000 - Create docker image for Elasticsearch" u="1"/>
        <s v="BALLPARK - Alpha Test | S 00000 - Country Selection content" u="1"/>
        <s v="BALLPARK - Alpha Test | XS 00000 - Language selection functionality" u="1"/>
        <s v="BALLPARK - Development | M 00000 - Language selection functionality" u="1"/>
        <s v="BALLPARK - Developer Support | S 00000 - Generate Shipping Reports" u="1"/>
        <s v="Sub-Task |  00843 - Use Cases" u="1"/>
        <s v="Sub-Task |  00977 - Use Cases" u="1"/>
        <s v="BALLPARK - Feature Planning | S 00000 - View/Edit my User Profile" u="1"/>
        <s v="QA | S 01303 - QA for 'Show More' link missing from Report description" u="1"/>
        <s v="Feature Review | S 00305 - Review of Install fixes for PDF preview on QA env" u="1"/>
        <s v="BALLPARK - Development | 00000 - Configure Liferay clustering " u="1"/>
        <s v="Alpha Test | S | 00084 - Alpha for Capture user info" u="1"/>
        <s v="BALLPARK - Alpha Test | S 00000 - Order Detail in Orders by PO" u="1"/>
        <s v="Frontend Development | S 00588 - Development for - Page Fix for Careers page" u="1"/>
        <s v="BALLPARK - Alpha Test | S | 00000 - Add status: draft, published, archived, invisible " u="1"/>
        <s v="BALLPARK - QA Support | S | 00000 - Add status: draft, published, archived, invisible " u="1"/>
        <s v="QA | S 00206 - QA for Management Team" u="1"/>
        <s v="BALLPARK - Alpha Test | S 00000 - Add ExpandAll option to Orders Summaries." u="1"/>
        <s v="Sub-Task |  00451 - Cache Management Definition" u="1"/>
        <s v="Sub-Task |  00711 - Cache Management Definition" u="1"/>
        <s v="Sub-Task |  00825 - Cache Management Definition" u="1"/>
        <s v="QA | S 00091 - QA for Place remaining Webcontents on Homepage" u="1"/>
        <s v="Frontend Development | XS | 00033 - Create content structure and template for Noticia" u="1"/>
        <s v="BALLPARK - Alpha Test | 00000 - Design concepts, site creation, roles and users" u="1"/>
        <s v="BALLPARK - QA Support | 00000 - Design concepts, site creation, roles and users" u="1"/>
        <s v="BALLPARK - Developer Support | XS 00000 - Batch details in on-hand inventory" u="1"/>
        <s v="BALLPARK - Development | 00000 - Configure Docker Swarm to auto scale Liferay" u="1"/>
        <s v="Feature Review | S 02986 - Review of CR45 - Shipment Deletes" u="1"/>
        <s v="QA | S 00200 - QA for Fix java script errors" u="1"/>
        <s v="Backend Development | M | 00075 - Implement Group Version" u="1"/>
        <s v="BALLPARK - Development | S 00000 - Sustainability Overview" u="1"/>
        <s v="Alpha Test | S 01464 - Alpha for Cancel button on Locations filter does not cancel " u="1"/>
        <s v="Alpha Test | S | 00091 - Alpha for Add support for OpenID Connect Single Sign-on" u="1"/>
        <s v="BALLPARK - Feature Planning | S 00000 - Hide Pricing Fields for Logistics, Co-Packer, and Quality roles" u="1"/>
        <s v="QA | S 00083 - QA for Design menus" u="1"/>
        <s v="Alpha Test | S 01094 - Alpha for Buyer - Security" u="1"/>
        <s v="BALLPARK - Development | 00000 - Create repository for software images" u="1"/>
        <s v="Sub-Task |  00728 - The diamond operator (&quot;&lt;&gt;&quot;) should be used" u="1"/>
        <s v="Backend Development | XS | 00053 - Add property definition for Liferay version number in Celsus" u="1"/>
        <s v="BALLPARK - Feature Review | XS 00000 - Co-Packer - orders Ship to no pricing" u="1"/>
        <s v="BALLPARK - QA/UAT Support | XS 00000 - Co-Packer - orders Ship to no pricing" u="1"/>
        <s v="QA | S 00105 - QA for Modern tile with &quot;MORE&quot; animation" u="1"/>
        <s v="Backend Development | M | 00136 - Add scheduler to expire sites" u="1"/>
        <s v="BALLPARK - Alpha Test | 00000 - Create docker image for Elasticsearch" u="1"/>
        <s v="BALLPARK - QA Support | 00000 - Create docker image for Elasticsearch" u="1"/>
        <s v="BALLPARK - Developer Support | S 00000 - Release Report" u="1"/>
        <s v="BALLPARK - Feature Planning | XS 00000 - Release Report" u="1"/>
        <s v="Sub-Task | M 01096 - ThirdPartyTransferController.java" u="1"/>
        <s v="Feature Planning | S 00497 - Discuss document migration with Bemis" u="1"/>
        <s v="QA | M 00742 - QA for Browse Customer Profile" u="1"/>
        <s v="QA | M 00730 - QA for Release expanded view" u="1"/>
        <s v="Backend Development | S 01685 - Update Search Criteria for Release" u="1"/>
        <s v="BALLPARK - Alpha Test | M 00000 - Hide Pricing Fields for Logistics, Co-Packer, and Quality roles" u="1"/>
        <s v="BALLPARK - Developer Support | XS 00000 - Switch to SOAP calls" u="1"/>
        <s v="BALLPARK - Development | L 00000 - Co-Packer - Role by Ship To" u="1"/>
        <s v="BALLPARK - Tech Planning | S 00000 - Release expanded view" u="1"/>
        <s v="Sub-Task |  00551 - Functional Test for Security Question configuration" u="1"/>
        <s v="Alpha Test | S 01456 - Alpha for Padding issues with left nav menu" u="1"/>
        <s v="QA | M 01102 - QA for All external users are re-directed to the dashboard" u="1"/>
        <s v="Frontend Development | M 01689 - Development for Create a hook so that CSR users can see which users have completed setup" u="1"/>
        <s v="Sub-Task | M 01908 - QA for Remove Buyer Access to edit display settings" u="1"/>
        <s v="BALLPARK - Alpha Test | M 00000 - Check graphics record (to monitor order progress)" u="1"/>
        <s v="BALLPARK - UX | S 00000 - Product values in different currencies" u="1"/>
        <s v="Feature Review |  02954 - Review of Update LDAP configs now that FP 13 has fixed automatic loading of configs" u="1"/>
        <s v="BALLPARK - UX | M 00000 - Search Orders by Indexed fields" u="1"/>
        <s v="Sub-Task |  00724 - &quot;Equals(Object obj)&quot; and &quot;hashCode()&quot; should be overridden in pairs" u="1"/>
        <s v="Feature Planning | L 00024 - Add SCORM support - Feature Planning" u="1"/>
        <s v="Feature Planning | S | 00008 - Expiration Date - Feature Planning" u="1"/>
        <s v="BALLPARK - Feature Review | S | 00000 - Notify Google LMS of User activity" u="1"/>
        <s v="BALLPARK - Alpha Test | XS 00000 - Global Solutions" u="1"/>
        <s v="BALLPARK - Development | M 00000 - Global Solutions" u="1"/>
        <s v="Sub-Task |  00180 - Fixes" u="1"/>
        <s v="BALLPARK - Feature Review | S 00000 - Setup Project Infrasctructure" u="1"/>
        <s v="Alpha Test | S 01638 - Alpha for User Agreement Link " u="1"/>
        <s v="Alpha Test | S 00060 - Alpha for Events + Calendar Portlet" u="1"/>
        <s v="BALLPARK - UX | S 00000 - Create and assign customer Roles" u="1"/>
        <s v="Backend Development | M 00032 - Implement Single Sign Off" u="1"/>
        <s v="BALLPARK - Alpha Test | XS 00000 - Company profile page" u="1"/>
        <s v="BALLPARK - Development | M 00000 - Company profile page" u="1"/>
        <s v="BALLPARK - Tech Planning | M 00000 - Performance Testing and Tuning" u="1"/>
        <s v="BALLPARK - Alpha Test | M 00000 - Content Workflow" u="1"/>
        <s v="BALLPARK - Feature Review | S 00000 - Pinnacle Foods Bemis Order# 40009316 Shipment Missing (BDT 486)" u="1"/>
        <s v="BALLPARK - Feature Planning | XS 00000 - Language selection functionality" u="1"/>
        <s v="BALLPARK - Developer Support | S 00000 - Product values in different currencies" u="1"/>
        <s v="Sub-Task | M 01097 - TransferController.java" u="1"/>
        <s v="BALLPARK - Feature Review | S | 00000 - Implement Celsus sync job to index Liferay Sites" u="1"/>
        <s v="BALLPARK - Tech Planning | XS | 00000 - Implement Celsus sync job to index Liferay Sites" u="1"/>
        <s v="BALLPARK - Alpha Test | XS 00000 - Investors - Contact Us" u="1"/>
        <s v="BALLPARK - Development | M 00000 - Investors - Contact Us" u="1"/>
        <s v="BALLPARK - Tech Planning | XS 00000 - Choose the section of the image to show" u="1"/>
        <s v="BALLPARK - Alpha Test | S 00000 - Manage DL folder &amp; files" u="1"/>
        <s v="QA | S 01372 - QA for Fix sort order column names" u="1"/>
        <s v="QA | S 01322 - QA for Landing page redirection does not work when impersonating" u="1"/>
        <s v="BALLPARK - Feature Review | S 00000 - Schedule Line Deletes" u="1"/>
        <s v="Backend Development | S 00012 - Integrate REST API with Liferay service layer" u="1"/>
        <s v="QA | S 02909 - QA for User navigates to blank portal page  " u="1"/>
        <s v="BALLPARK - UX | S 00000 - List Releases of specifc Order" u="1"/>
        <s v="BALLPARK - Development | S 00000 - Setup Project Infrasctructure" u="1"/>
        <s v="BALLPARK - Tech Planning | L 00000 - Shipment Search" u="1"/>
        <s v="Feature Review | S 02971 - Review of 482 BDT - Optimizing report performance to 4 sec" u="1"/>
        <s v="BALLPARK - Alpha Test | S 00000 - Create Google CI" u="1"/>
        <s v="BALLPARK - QA Support | S 00000 - Create Google CI" u="1"/>
        <s v="Alpha Test | S 00812 - Alpha for Customer Profile updates from IBB" u="1"/>
        <s v="BALLPARK - Alpha Test | XS 00000 - Full story version 4" u="1"/>
        <s v="BALLPARK - Development | S 00000 - Full story version 4" u="1"/>
        <s v="BALLPARK - Feature Review | 00000 - Adjust styles of basic Liferay DXP components" u="1"/>
        <s v="Backend Development | M 01529 - Analysis and fix" u="1"/>
        <s v="Backend Development | S 01552 - Analysis and fix" u="1"/>
        <s v="BALLPARK - Developer Support | XS 00000 - Create and assign customer Roles" u="1"/>
        <s v="QA | S 00215 - QA for Ethics and compliance page" u="1"/>
        <s v="Frontend Development | M 00231 - Products Overview Page" u="1"/>
        <s v="BALLPARK - Developer Support | S 00000 - Sort Orders by Specific Fields" u="1"/>
        <s v="BALLPARK - Development | M 00000 - Create/edit Order Note" u="1"/>
        <s v="Sub-Task |  00591 - Rename 'thumbnail' image to 'alternate'" u="1"/>
        <s v="BALLPARK - QA Support | S 00000 - Home page &quot;More&quot; button does not work for Internet Explorer 10 or 11" u="1"/>
        <s v="BALLPARK - Development | M 00000 - Required Fields" u="1"/>
        <s v="BALLPARK - Development | M 00000 - Add version" u="1"/>
        <s v="QA | M 00997 - QA from link Bemis logo " u="1"/>
        <s v="BALLPARK - Alpha Test | S 00000 - Schedule Line Deletes" u="1"/>
        <s v="BALLPARK - QA Support | S 00000 - Schedule Line Deletes" u="1"/>
        <s v="BALLPARK - UX | XS 00000 - Add ExpandAll option to Orders Summaries." u="1"/>
        <s v="BALLPARK - Developer Support | S 00000 - View Orders by PO" u="1"/>
        <s v="Alpha Test | S | 00078 - Tests within Google Environment" u="1"/>
        <s v="QA | S 02623 - QA for Wildcard search for certain fields" u="1"/>
        <s v="BALLPARK - Development | S 00000 - Customer - Org - Permissions" u="1"/>
        <s v="BALLPARK - UX | XS 00000 - Customer - Org - Permissions" u="1"/>
        <s v="BALLPARK - Development | S 00000 - Investor center effects" u="1"/>
        <s v="QA | S 01227 - QA for Entries on the Release Page are not displaying " u="1"/>
        <s v="Sub-Task | S 00017 - Capture learning events - Feature Planning" u="1"/>
        <s v="BALLPARK - Tech Planning | M 00000 - Add support for OpenID Connect Single Sign-on" u="1"/>
        <s v="BALLPARK - Development | XS 00000 - Global Solutions" u="1"/>
        <s v="Backend Development | M 01646 - Refactor data filters/sanitizers" u="1"/>
        <s v="Alpha Test | S 01469 - Alpha for Create Page for CSRs to View Customer Locations " u="1"/>
        <s v="QA | M 00943 - QA for Release Report" u="1"/>
        <s v="Tech Planning | S | 00008 - Expiration Date - Feature Planning" u="1"/>
        <s v="Sub-Task |  00104 - application.startup.events OSGI service" u="1"/>
        <s v="Alpha Test | S 00577 - Alpha for Home page &quot;More&quot; button does not work for Internet Explorer 10 or 11" u="1"/>
        <s v="BALLPARK - Feature Planning | M 00000 - View Order Note." u="1"/>
        <s v="Backend Development | S | 00046 - Add expiration date - Backend Dev" u="1"/>
        <s v="BALLPARK - Feature Review | 00000 - Configure Liferay with LCS Activation" u="1"/>
        <s v="QA | S 02642 - QA for 387 (BDT) - Missing any Shipments for Premium Waters" u="1"/>
        <s v="Sub-Task |  00932 - Keep the auditing dates for historical data" u="1"/>
        <s v="BALLPARK - Developer Support | 00000 - Adjust styles of basic Liferay DXP components" u="1"/>
        <s v="BALLPARK - Feature Planning | XS 00000 - Switch to SOAP calls" u="1"/>
        <s v="QA | S 00769 - QA for Carrier List CRUD" u="1"/>
        <s v="QA | S 01278 - QA for CSR should have access to limited control panel " u="1"/>
        <s v="Backend Development | M 01581 - Update existing Report Definitions parmeters/fields" u="1"/>
        <s v="BALLPARK - Developer Support | 00000 - Creation of content structures and templates" u="1"/>
        <s v="Backend Development | S 00031 - Backport OpenId Connect implementation to DXP" u="1"/>
        <s v="Sub-Task |  00599 - Add Country Document Expiration Dates to Notifications" u="1"/>
        <s v="BALLPARK - Development | 00000 - Install theme and layouts" u="1"/>
        <s v="BALLPARK - Alpha Test | 00000 - Install theme and layouts" u="1"/>
        <s v="BALLPARK - QA Support | 00000 - Install theme and layouts" u="1"/>
        <s v="Alpha Test | S 00934 - Alpha for Import Users and Groups from AD" u="1"/>
        <s v="QA | S 01500 - QA for Data Issue on Bemis QA Environment" u="1"/>
        <s v="BALLPARK - Feature Planning | S 00000 - Setup Project Infrasctructure" u="1"/>
        <s v="Sub-Task |  01733 - Maintenance in functional tests" u="1"/>
        <s v="Tech Planning | S 00008 - Expiration Date - Feature Planning" u="1"/>
        <s v="Alpha Test | S | 00100 - Alpha for Add sorting capability to Site REST API" u="1"/>
        <s v="Backend Development | M 01647 - Update Order Data Model" u="1"/>
        <s v="BALLPARK - Alpha Test | S | 00000 - REST service for Enhanced Groups" u="1"/>
        <s v="BALLPARK - QA Support | S | 00000 - REST service for Enhanced Groups" u="1"/>
        <s v="BALLPARK - Feature Review | S 00000 - View Order Note." u="1"/>
        <s v="BALLPARK - QA/UAT Support | M 00000 - View Order Note." u="1"/>
        <s v="Sub-Task |  01103 - Modify Export logic to send data only if needed information was changed" u="1"/>
        <s v="QA | S 01368 - QA for Shipment Card Item Detail Box Scrolling Bar" u="1"/>
        <s v="BALLPARK - Tech Planning | S 00000 - Customer - Org - Permissions" u="1"/>
        <s v="Backend Development | S | 00102 - Dates fields should be saved in UTC" u="1"/>
        <s v="BALLPARK - Alpha Test | S 00000 - Search &amp; browse - customer &amp; user profiles - Sales restricted view" u="1"/>
        <s v="Tech Planning | M 01644 - Tech Planning - Data Sync Changes" u="1"/>
        <s v="QA | S 02559 - QA for Add Google Analytics to the Customer Portal Sites" u="1"/>
        <s v="QA | S 02284 - QA for Mobile compatibility &amp; responsive design" u="1"/>
        <s v="QA | S 00107 - QA for Full story version 2" u="1"/>
        <s v="Sub-Task | S | 00160 - Sub-task of the feature without assignee" u="1"/>
        <s v="BALLPARK - Feature Review | 00000 - Configure Liferay clustering " u="1"/>
        <s v="BALLPARK - Alpha Test | S 00000 - Product values in different currencies" u="1"/>
        <s v="Sub-Task |  00929 - Automated tests for Personal Transfers - Step 1" u="1"/>
        <s v="Feature Review |  00600 - Review of Change country menu cut off vertically" u="1"/>
        <s v="QA | S 01300 - QA for Optional fields not correctly formatted or are missing in open and closed order report" u="1"/>
        <s v="BALLPARK - Development | L 00000 - Content Workflow" u="1"/>
        <s v="Frontend Development | S 00043 - Set up change country component" u="1"/>
        <s v="BALLPARK - Feature Planning | XS 00000 - List shipments from specific Order" u="1"/>
        <s v="Feature Review | S 01602 - Review of Link Bemis/TheHub Logo back CSR Bemis Site" u="1"/>
        <s v="Alpha Test | S 01306 - Alpha for Updates to Bemis Portal Navigation" u="1"/>
        <s v="QA | S 00135 - QA for Language selection functionality" u="1"/>
        <s v="Frontend Development | M | 00059 - Send collected user information to Google LMS" u="1"/>
        <s v="BALLPARK - Developer Support | S 00000 - Create Google Local Environment" u="1"/>
        <s v="Alpha Test | S 01346 - Alpha for User agreement - BNA" u="1"/>
        <s v="Backend Development | S 02984 - Add Scheduled Lines based on IBB ActiveCode" u="1"/>
        <s v="BALLPARK - Developer Support | XS 00000 - Co-Packer - orders Ship to no pricing" u="1"/>
        <s v="Backend Development | M | 00064 - Implement Celsus sync job" u="1"/>
        <s v="UX | S | 00112 - Define logout splash page" u="1"/>
        <s v="BALLPARK - Alpha Test | S 00000 - Modern tile with &quot;MORE&quot; animation" u="1"/>
        <s v="Sub-Task |  00593 - Steps Components - Backend" u="1"/>
        <s v="Feature Planning | S 00019 - Google CI Environment - Feature Planning" u="1"/>
        <s v="QA | S 02874 - QA for Create Page for CSRs to View Customer Locations " u="1"/>
        <s v="Sub-Task |  01056 - Automated test for Personal Transfers - Step 2" u="1"/>
        <s v="BALLPARK - Feature Review | S 00000 - Product values in different currencies" u="1"/>
        <s v="BALLPARK - Developer Support | 00000 - Install theme and layouts" u="1"/>
        <s v="Feature Planning | XS 00137 - Analyze the best options to select the part of the image to display" u="1"/>
        <s v="BALLPARK - UX | S 00000 - Buyer - Reports Landing Page" u="1"/>
        <s v="BALLPARK - UX | XS 00000 - View Orders by PO" u="1"/>
        <s v="BALLPARK - Development | 00000 - Create docker image for Liferay installation" u="1"/>
        <s v="BALLPARK - Feature Review | S 00000 - Create Google Local Environment" u="1"/>
        <s v="BALLPARK - Alpha Test | S 00000 - Add expiration date" u="1"/>
        <s v="BALLPARK - QA Support | S 00000 - Add expiration date" u="1"/>
        <s v="Backend Development | M 01674 - Replicate Order Sync refactoring for Inventory" u="1"/>
        <s v="BALLPARK - Feature Review | S 00000 - Image Animations do not match mockups for Stories" u="1"/>
        <s v="BALLPARK - Feature Planning | XS 00000 - List Releases of specifc Order" u="1"/>
        <s v="BALLPARK - Feature Planning | S 00000 - Batch details in on-hand inventory" u="1"/>
        <s v="Alpha Test | S | 00094 - Alpha for Enhanced Group REST Service" u="1"/>
        <s v="BALLPARK - Development | S 00000 - Order Detail in Orders by PO" u="1"/>
        <s v="BALLPARK - Alpha Test | S 00000 - Add SCORM support" u="1"/>
        <s v="BALLPARK - QA Support | S 00000 - Add SCORM support" u="1"/>
        <s v="QA | S 02309 - QA for Zip code is missing from Inventory Layout" u="1"/>
        <s v="Sub-Task |  01106 - Have an administrative portlet to handle Export after migration date" u="1"/>
        <s v="Sub-Task |  01272 - Automated tests for DCU45" u="1"/>
        <s v="QA | S 00114 - QA for Questions Portlet" u="1"/>
        <s v="BALLPARK - Alpha Test | S 00000 - 487 (BDT) - Issues with ship to filter" u="1"/>
        <s v="BALLPARK - QA Support | S 00000 - 487 (BDT) - Issues with ship to filter" u="1"/>
        <s v="BALLPARK - Feature Planning | M 00000 - Global search" u="1"/>
        <s v="Frontend Development | S 01578 - Create user-friendly error page" u="1"/>
        <s v="Backend Development | S | 00037 - Add status to Site service" u="1"/>
        <s v="QA | S 00965 - QA for Increase size limit for profile picture" u="1"/>
        <s v="Alpha Test | S 00027 - Alpha for Asset publisher - Simple version" u="1"/>
        <s v="Sub-Task |  01607 - Maintenance in automated tests 004/003" u="1"/>
        <s v="BALLPARK - Developer Support | S 00000 - Create/edit Order Note" u="1"/>
        <s v="Frontend Development | M 01694 - Footer Content" u="1"/>
        <s v="Sub-Task |  00383 - Backend - Angular Portlet Infrastructure" u="1"/>
        <s v="BALLPARK - Tech Planning | M | 00000 - Add support for OpenID Connect Single Sign-on" u="1"/>
        <s v="BALLPARK - Alpha Test | S 00000 - Pinnacle Foods Bemis Order# 40009316 Shipment Missing (BDT 486)" u="1"/>
        <s v="BALLPARK - QA Support | S 00000 - Pinnacle Foods Bemis Order# 40009316 Shipment Missing (BDT 486)" u="1"/>
        <s v="QA | S 00969 - QA for Order Description not wrapping correctly" u="1"/>
        <s v="QA | S 01166 - QA for Carrier Link is not working " u="1"/>
        <s v="BALLPARK - Feature Review | S 00000 - Notify Google LMS of User activity" u="1"/>
        <s v="Backend Development | M 01654 - Order - update search criteria" u="1"/>
        <s v="Backend Development | S 01211 - Wildcard search for certain fields" u="1"/>
        <s v="Tech Planning | M 01665 - Tech Planning for Default Location Settings and Persistance" u="1"/>
        <s v="QA | S 01171 - QA for Add content for Portal dashboard landing page" u="1"/>
        <s v="QA | S 00127 - QA for Full story version 4" u="1"/>
        <s v="BALLPARK - Tech Planning | M 00000 - Performance Testing and Tunning" u="1"/>
        <s v="BALLPARK - Alpha Test | XS 00000 - Choose the section of the image to show" u="1"/>
        <s v="BALLPARK - Development | S 00000 - Choose the section of the image to show" u="1"/>
        <s v="BALLPARK - Feature Review | S 00000 - Create/edit Order Note" u="1"/>
        <s v="BALLPARK - QA/UAT Support | M 00000 - Create/edit Order Note" u="1"/>
        <s v="QA | S 02726 - QA for ID 4191- Documents should not be using File Entry LocalService" u="1"/>
        <s v="Sub-Task |  00487 - Create a UserListener in the applicant-portlet" u="1"/>
        <s v="BALLPARK - Alpha Test | XS 00000 - Management Team" u="1"/>
        <s v="BALLPARK - Development | S 00000 - Management Team" u="1"/>
        <s v="Frontend Development | S 00043 - Calculate &quot;Action Status&quot;" u="1"/>
        <s v="Sub-Task |  00382 - Frontend - Angular Portlet Infrastructure" u="1"/>
        <s v="Tech Planning | S 02965 - Tech Planning for Pinnacle Food Bemis Order" u="1"/>
        <s v="QA | S 01502 - QA for Cancel button on Locations filter does not work " u="1"/>
        <s v="Sub-Task | S | 00052 - Add logic to redirect unauthenticated users to login" u="1"/>
        <s v="Sub-Task |  01067 - Figure out the solution to restrict some features for Receiving Personnel" u="1"/>
        <s v="BALLPARK - Feature Review | S 00000 - Add expiration date" u="1"/>
        <s v="BALLPARK - QA/UAT Support | S 00000 - Customer Profile updates from IBB" u="1"/>
        <s v="BALLPARK - Feature Review | 00000 - Connect Liferay Docker with BBDD" u="1"/>
        <s v="QA | S 00968 - QA for Two Factor authentication configuration is in the wrong category" u="1"/>
        <s v="BALLPARK - Alpha Test | XS 00000 - Services Page" u="1"/>
        <s v="BALLPARK - Development | S 00000 - Services Page" u="1"/>
        <s v="Frontend Development | M 00045 - Ajust the layout of contents" u="1"/>
        <s v="Sub-Task | S | 00058 - Set up Oracle database in Google local environment" u="1"/>
        <s v="Backend Development | S 00043 - Calculate &quot;Action Status&quot;" u="1"/>
        <s v="BALLPARK - Alpha Test | XS 00000 - Country micro site subpages" u="1"/>
        <s v="BALLPARK - Development | S 00000 - Country micro site subpages" u="1"/>
        <s v="BALLPARK - Developer Support | 00000 - Connect Liferay Docker with BBDD" u="1"/>
        <s v="BALLPARK - Tech Planning | XS 00000 - Footer" u="1"/>
        <s v="Sub-Task |  00586 - Front-end part" u="1"/>
        <s v="BALLPARK - Alpha Test | 00000 - Connect Liferay with Azure File Storage " u="1"/>
        <s v="BALLPARK - QA Support | 00000 - Connect Liferay with Azure File Storage " u="1"/>
        <s v="Alpha Test | S 00035 - Alpha for Place webcontent in the grid acording to wireframe" u="1"/>
        <s v="BALLPARK - Alpha Test | XS 00000 - Format text and add links to image description" u="1"/>
        <s v="BALLPARK - Development | S 00000 - Format text and add links to image description" u="1"/>
        <s v="Sub-Task |  00735 - IP addresses should not be hardcoded. Never hard code sensitive information." u="1"/>
        <s v="QA | S 01333 - QA for Location and ShipTo filter dropdowns are missing a border in FF and IE" u="1"/>
        <s v="BALLPARK - Development | XS 00000 - Fix Gradle theme build " u="1"/>
        <s v="QA | S 01277 - QA for Clicking on Shipped Qty or Scheduled Releases throws an error" u="1"/>
        <s v="Feature Planning | S | 00071 - Discuss UX" u="1"/>
        <s v="Frontend Development | M 00048 - Configure Layout for the Asset Publisher" u="1"/>
        <s v="QA | S 01386 - QA for Report Landing Page- Open Order Status Report- remove parameters from selection screen" u="1"/>
        <s v="BALLPARK - Alpha Test | 00000 - Adjust styles of basic Liferay DXP components" u="1"/>
        <s v="BALLPARK - QA Support | 00000 - Adjust styles of basic Liferay DXP components" u="1"/>
        <s v="Backend Development | S 01236 - Remove background-task mode from data sync" u="1"/>
        <s v="Sub-Task |  01570 - Develop automated tests for DCU004" u="1"/>
        <s v="Tech Planning | M 00498 - Define document migration process" u="1"/>
        <s v="BALLPARK - UX | S 00000 - Check graphics record (to monitor order progress)" u="1"/>
        <s v="BALLPARK - Alpha Test | XS 00000 - Reports Page" u="1"/>
        <s v="BALLPARK - Development | M 00000 - Reports Page" u="1"/>
        <s v="BALLPARK - Developer Support | S 00000 - Setup Project Infrasctructure" u="1"/>
        <s v="BALLPARK - Feature Review | S 00000 - 487 (BDT) - Issues with ship to filter" u="1"/>
        <s v="QA | S 02979 - QA for BDT 483- Forgot Password error message" u="1"/>
        <s v="QA | S 01498 - QA for Hide Edit options that Buyers do not have access to " u="1"/>
        <s v="BALLPARK - Alpha Test | XS 00000 - Stock Information page" u="1"/>
        <s v="BALLPARK - Development | S 00000 - Stock Information page" u="1"/>
        <s v="BALLPARK - Development | 00000 - Creation of content structures and templates" u="1"/>
        <s v="Tech Planning | S | 00118 - Tech Planning for Implement Celsus sync" u="1"/>
        <s v="Sub-Task |  00721 - Define and show custom exceptions instead of the generic ones." u="1"/>
        <s v="Frontend Development | XS | 00034 - Create content structure and template for Preguntas frecuentes" u="1"/>
        <s v="BALLPARK - Development | 00000 - Install on Azure Production" u="1"/>
        <s v="BALLPARK - Feature Review | S 00000 - View Orders by PO" u="1"/>
        <s v="BALLPARK - QA/UAT Support | S 00000 - View Orders by PO" u="1"/>
        <s v="BALLPARK - Development | M 00000 - Capture learning events" u="1"/>
        <s v="Sub-Task |  00853 - WS Error Codes" u="1"/>
        <s v="QA | S 01393 - QA for Add documents button is inside the footer" u="1"/>
        <s v="Sub-Task |  00548 - Create a back botton" u="1"/>
        <s v="BALLPARK - Tech Planning | S 00000 - Order Status Report" u="1"/>
        <s v="BALLPARK - Development | XS 00000 - Stock ticker portlet" u="1"/>
        <s v="Alpha Test | S 01518 - Alpha for Importing Orgs from UAT generates exception" u="1"/>
        <s v="BALLPARK - Alpha Test | S 00000 - Sort Orders by Specific Fields" u="1"/>
        <s v="Sub-Task |  00879 - Automated test for Next Transactions Box" u="1"/>
        <s v="QA | S 00973 - QA for When an order is deleted, the associated AssetEntries are not removed" u="1"/>
        <s v="BALLPARK - Feature Review | S | 00000 - Add version" u="1"/>
        <s v="BALLPARK - Alpha Test | XS 00000 - Co-Packer - orders Ship to no pricing" u="1"/>
        <s v="Sub-Task |  00071 - emailer must retrieve and use location specific configuration" u="1"/>
        <s v="Feature Review | S 00224 - Review of As a user, I can see the Cemex stock price for NYSE and BMV" u="1"/>
        <s v="Frontend Development | M 00229 - Our history" u="1"/>
        <s v="BALLPARK - Development | S 00000 - Link Product Id in Orders Detail to Product Spec Page." u="1"/>
        <s v="BALLPARK - Feature Review | M 00000 - Co-Packer - Role by Ship To" u="1"/>
        <s v="BALLPARK - QA/UAT Support | S 00000 - Co-Packer - Role by Ship To" u="1"/>
        <s v="BALLPARK - Feature Review | S 00000 - List shipments from specific Order" u="1"/>
        <s v="Frontend Development | M 01085 - Style Document Upload portlet" u="1"/>
        <s v="BALLPARK - Feature Review | S 00000 - Capture user info" u="1"/>
        <s v="Tech Planning | M 01565 - Tech Planning for Remove Date limit on Orders Landing Page display" u="1"/>
        <s v="Sub-Task | M | 00063 - Set up Liferay CI" u="1"/>
        <s v="QA | S 00154 - QA for Adjust homepage layout in different screen resolutions" u="1"/>
        <s v="Tech Planning | M 01679 - Tech Planning - Data Sync Changes - Shipment" u="1"/>
        <s v="BALLPARK - Alpha Test | 00000 - Liferay Governance" u="1"/>
        <s v="BALLPARK - QA Support | 00000 - Liferay Governance" u="1"/>
        <s v="QA | S 01398 - QA for LDAP bulk import cannot be disable if 2FA is enabled" u="1"/>
        <s v="BALLPARK - Alpha Test | S 00000 - Asset publisher filter" u="1"/>
        <s v="Feature Review | S 01487 - Review of Remove default e-mail suffix from login page" u="1"/>
        <s v="BALLPARK - Developer Support | 00000 - Liferay Governance" u="1"/>
        <s v="BALLPARK - Feature Review | XS 00000 - Batch details in on-hand inventory" u="1"/>
        <s v="BALLPARK - QA/UAT Support | XS 00000 - Batch details in on-hand inventory" u="1"/>
        <s v="QA | S | 00124 - QA for Capture user info" u="1"/>
        <s v="Backend Development | M 01340 - Improve data sync logging to capture invalid data" u="1"/>
        <s v="BALLPARK - Tech Planning | S 00000 - Product values in different currencies" u="1"/>
        <s v="Backend Development | M 01584 - Add support for new Customer Item optional parameter" u="1"/>
        <s v="BALLPARK - Feature Review | S 00000 - Add status: draft, published, archived, invisible " u="1"/>
        <s v="QA | S 01137 - QA for Add open condition to Search Orders" u="1"/>
        <s v="BALLPARK - Development | M 00000 - Render iframe to show old content" u="1"/>
        <s v="Backend Development | M 00995 - Change no of max ShipTos in the ShipTo filter" u="1"/>
        <s v="BALLPARK - Alpha Test | S | 00000 - Add support for OpenID Connect Single Sign-on" u="1"/>
        <s v="BALLPARK - QA Support | S | 00000 - Add support for OpenID Connect Single Sign-on" u="1"/>
        <s v="Backend Development | S | 00077 - Create module to create mock sites" u="1"/>
        <s v="Backend Development | S 01573 - Review exception handling" u="1"/>
        <s v="QA | M 00999 - QA for List Shipments for a specific Item " u="1"/>
        <s v="QA | M 01000 - QA for List of Releases for Specific Item " u="1"/>
        <s v="BALLPARK - Feature Planning | S 00000 - Add status: draft, published, archived, invisible " u="1"/>
        <s v="BALLPARK - Feature Review | S | 00000 - Add status: draft, published, archived, invisible " u="1"/>
        <s v="Sub-Task |  00881 - Update integration test for portlet Candidate photo" u="1"/>
        <s v="Feature Planning | S | 00009 - Version - Feature Planning" u="1"/>
        <s v="QA | S 00779 - QA for Orders - Add &quot;cust&quot; before PO label" u="1"/>
        <s v="Alpha Test | S 00067 - Alpha for Modern tile with &quot;MORE&quot; animation" u="1"/>
        <s v="BALLPARK - Feature Planning | M 00000 - Order Status Report" u="1"/>
        <s v="Sub-Task |  00722 - Logging should be use for this exceptions. Throwable.printStackTrace(...) should not be called" u="1"/>
        <s v="BALLPARK - Feature Review | M 00000 - Order Detail in Orders by PO" u="1"/>
        <s v="BALLPARK - QA/UAT Support | S 00000 - Order Detail in Orders by PO" u="1"/>
        <s v="BALLPARK - Tech Planning | XS 00000 - Order Detail in Orders by PO" u="1"/>
        <s v="QA | M 00735 - QA for Shipment Search" u="1"/>
        <s v="BALLPARK - UX | XS 00000 - View/Edit my User Profile" u="1"/>
        <s v="BALLPARK - Alpha Test | S | 00000 - Add SCORM support" u="1"/>
        <s v="BALLPARK - QA Support | S | 00000 - Add SCORM support" u="1"/>
        <s v="QA | S 00925 - QA for Orders Page - Marshal Orders with NULL Statuses Displayed" u="1"/>
        <s v="BALLPARK - Alpha Test | S 00000 - Link Product Id in Orders Detail to Product Spec Page." u="1"/>
        <s v="QA | M 01607 - QA Task - Scheduled Releases Customer PO " u="1"/>
        <s v="BALLPARK - Development | XS 00000 - Co-Packer - orders Ship to no pricing" u="1"/>
        <s v="BALLPARK - Development | L 00000 - Check graphics record (to monitor order progress)" u="1"/>
        <s v="Sub-Task |  00560 - Functional Test for Login Next Time" u="1"/>
        <s v="Sub-Task | S 00038 - Status - Feature Planning" u="1"/>
        <s v="Alpha Test | S | 00085 - Alpha for Capture learning events" u="1"/>
        <s v="QA | S | 00126 - QA for Capture learning events" u="1"/>
        <s v="BALLPARK - Alpha Test | S | 00000 - Add expiration date" u="1"/>
        <s v="BALLPARK - QA Support | S | 00000 - Add expiration date" u="1"/>
        <s v="BALLPARK - Tech Planning | S 00000 - Search &amp; browse - customer &amp; user profiles - Sales restricted view" u="1"/>
        <s v="Frontend Development | M 01666 - Update default selection when user logs in to the portal " u="1"/>
        <s v="BALLPARK - Alpha Test | XS 00000 - Carrousel for full story pages" u="1"/>
        <s v="BALLPARK - Development | S 00000 - Carrousel for full story pages" u="1"/>
        <s v="QA | M 00946 - QA for BoL and Invoice Links" u="1"/>
        <s v="QA | S 02985 - QA for BIN Doc Service Test Invoice URL Parameters" u="1"/>
        <s v="BALLPARK - Development | M 00000 - Adjust forms layouts" u="1"/>
        <s v="BALLPARK - UX | XS 00000 - Update Customer logo" u="1"/>
        <s v="Sub-Task |  00719 - Exception handlers should preserve the original message" u="1"/>
        <s v="Sub-Task | M 01093 - LoginController.java" u="1"/>
        <s v="QA | S 02895 - QA for User Profile dropdown is wrapping " u="1"/>
        <s v="BALLPARK - Feature Review | 00000 - Connect Liferay with Azure File Storage " u="1"/>
        <s v="Sub-Task | S | 00017 - Capture learning events - Feature Planning" u="1"/>
        <s v="BALLPARK - Alpha Test | S 00000 - Add support for OpenID Connect Single Sign-on" u="1"/>
        <s v="BALLPARK - QA Support | S 00000 - Add support for OpenID Connect Single Sign-on" u="1"/>
        <s v="Ballpark - Demand | S 00000 - Dummy Activity of Permissions" u="1"/>
        <s v="QA | S 01225 - QA for User Customer Name (Employer) is incorrect" u="1"/>
        <s v="BALLPARK - Feature Planning | XS | 00000 - Implement Celsus sync job to index Liferay Sites" u="1"/>
        <s v="BALLPARK - Alpha Test | XS 00000 - Trading" u="1"/>
        <s v="BALLPARK - Development | M 00000 - Trading" u="1"/>
        <s v="BALLPARK - UX | M 00000 - Shipment Search" u="1"/>
        <s v="Backend Development | M 01583 - Add support for optional columns parameter" u="1"/>
        <s v="Frontend Development | S 00042 - Create effect when click on &quot;Change country&quot; link" u="1"/>
        <s v="Frontend Development | M 01221 - Development for - Search in Locations filter fails when no location match is found" u="1"/>
        <s v="QA | M 00734 - QA for Buyer - Show Expanded Shipment View" u="1"/>
        <s v="QA | M 01613 - QA for Customer Profile Format" u="1"/>
        <s v="Feature Review | S 01599 - Review of Allow Buyers to update display settings " u="1"/>
        <s v="BALLPARK - Alpha Test | XS 00000 - Building Solutions" u="1"/>
        <s v="BALLPARK - Development | S 00000 - Building Solutions" u="1"/>
        <s v="Backend Development | S | 00031 - Create docker images" u="1"/>
        <s v="QA | S 01168 - QA for Items per Page does not allow you to return to default setting" u="1"/>
        <s v="Feature Review | XS 00543 - Review of Stock Ticker portlet has content that is not localized" u="1"/>
        <s v="BALLPARK - QA/UAT Support | S 00000 - User agreement - BNA" u="1"/>
        <s v="BALLPARK - Tech Planning | XS 00000 - User agreement - BNA" u="1"/>
        <s v="BALLPARK - Development | 00000 - Configure Liferay with LCS Activation" u="1"/>
        <s v="QA | S 01382 - QA for All Reports from Reports Landing Page- Optional column formatting" u="1"/>
        <s v="BALLPARK - UX | L 00000 - Global search" u="1"/>
        <s v="Backend Development | S 00040 - Create a service builder to persist collected information" u="1"/>
        <s v="QA | S 00192 - QA for Country micro site single page" u="1"/>
        <s v="BALLPARK - Feature Review | 00000 - Create docker image for Elasticsearch" u="1"/>
        <s v="QA | S 01374 - QA for SSRS integration config had wrong password for QA" u="1"/>
        <s v="Sub-Task |  01403 - Adaptar a solicitação de processo visto e a edição do processo de visto para colaborador e candidato." u="1"/>
        <s v="BALLPARK - Feature Planning | XS 00000 - Releases landing page" u="1"/>
        <s v="BALLPARK - Developer Support | 00000 - Configure Liferay with LCS Activation" u="1"/>
        <s v="Sub-Task |  00059 - use pagination when retrieving notification" u="1"/>
        <s v="BALLPARK - Alpha Test | S | 00000 - Implement Celsus sync job to index Liferay Sites" u="1"/>
        <s v="BALLPARK - QA Support | S | 00000 - Implement Celsus sync job to index Liferay Sites" u="1"/>
        <s v="Sub-Task |  00962 - Creation of Query: Assigned Entity" u="1"/>
        <s v="Frontend Development | M 00491 - Product details - Frontend" u="1"/>
        <s v="BALLPARK - Feature Planning | XS 00000 - Release Search" u="1"/>
        <s v="BALLPARK - Tech Planning | S 00000 - Sort Orders by Specific Fields" u="1"/>
        <s v="BALLPARK - Alpha Test | XS 00000 - Debt Information" u="1"/>
        <s v="BALLPARK - Development | S 00000 - Debt Information" u="1"/>
        <s v="QA | S 01631 - QA for BIT-107 Order Report URL too long " u="1"/>
        <s v="BALLPARK - Alpha Test | S 00000 - Create/edit Order Note" u="1"/>
        <s v="BALLPARK - Tech Planning | XS 00000 - List Releases of specifc Order" u="1"/>
        <s v="Alpha Test | M 00748 - Alpha for View/Edit User Profile" u="1"/>
        <s v="BALLPARK - Feature Review | S | 00000 - Add SCORM support" u="1"/>
        <s v="Sub-Task |  01039 - Migration run in Prod, all people Assigned to Thailand ended up in CSEA" u="1"/>
        <s v="Sub-Task | M 00463 - Scrum master - March" u="1"/>
        <s v="QA | M 00744 - QA for CSR View of Customer Profile" u="1"/>
        <s v="BALLPARK - Alpha Test | S 00000 - View Order Note." u="1"/>
        <s v="BALLPARK - Alpha Test | S 00000 - Page Fix for Careers page" u="1"/>
        <s v="BALLPARK - QA Support | S 00000 - Page Fix for Careers page" u="1"/>
        <s v="QA | S 01610 - QA for The calculation for the total location qty and batch lines displayed do not match  " u="1"/>
        <s v="BALLPARK - Developer Support | 00000 - Install on Azure Production" u="1"/>
        <s v="Tech Planning | S 00011 - Status - Tech Planning" u="1"/>
        <s v="BALLPARK - UX | 00000 - Create different pages to show layouts" u="1"/>
        <s v="BALLPARK - Feature Review | M 00000 - Check graphics record (to monitor order progress)" u="1"/>
        <s v="Alpha Test | S 00226 - Alpha for In Cemex, fix where the theme gets placed in the bundle by workspace" u="1"/>
        <s v="Sub-Task |  01380 - Initial tests for dcu004" u="1"/>
        <s v="BALLPARK - QA Support | XS 00000 - Stock Ticker portlet has content that is not localized" u="1"/>
        <s v="Sub-Task |  00105 - managing OSGI dependencies " u="1"/>
        <s v="BALLPARK - Alpha Test | S 00000 - Batch details in on-hand inventory" u="1"/>
        <s v="BALLPARK - Alpha Test | 00000 - Configure Liferay clustering " u="1"/>
        <s v="BALLPARK - QA Support | 00000 - Configure Liferay clustering " u="1"/>
        <s v="BALLPARK - Alpha Test | S | 00000 - Capture user info" u="1"/>
        <s v="BALLPARK - QA Support | S | 00000 - Capture user info" u="1"/>
        <s v="Sub-Task |  00946 - Modify import logic to include new fields" u="1"/>
        <s v="Frontend Development | L | 00073 - Implement Theme POC" u="1"/>
        <s v="QA | M 01175 - QA for Footer" u="1"/>
        <s v="QA | S 00157 - QA for Asset publisher filter" u="1"/>
        <s v="BALLPARK - Tech Planning | S 00000 - Create Google Local Environment" u="1"/>
        <s v="BALLPARK - Feature Review | 00000 - Create docker image for Liferay installation" u="1"/>
        <s v="BALLPARK - Feature Planning | M 00000 - Create/edit Order Note" u="1"/>
        <s v="BALLPARK - Tech Planning | XS 00000 - Country Selection content" u="1"/>
        <s v="Sub-Task |  01532 - Maintenance in automated tests" u="1"/>
        <s v="QA | M 00941 - QA for Shipping Report" u="1"/>
        <s v="QA | M 00745 - QA for Buyer View of Customer Profile" u="1"/>
        <s v="Sub-Task |  00996 - Verify Notification job is running" u="1"/>
        <s v="BALLPARK - Alpha Test | S 00000 - Create Google Local Environment" u="1"/>
        <s v="BALLPARK - QA Support | S 00000 - Create Google Local Environment" u="1"/>
        <s v="BALLPARK - Alpha Test | XS 00000 - Include videos on the full story page" u="1"/>
        <s v="BALLPARK - Development | S 00000 - Include videos on the full story page" u="1"/>
        <s v="BALLPARK - Development | S 00000 - Hide Pricing Fields for Logistics, Co-Packer, and Quality roles" u="1"/>
        <s v="BALLPARK - Developer Support | 00000 - Configure Docker Swarm to auto scale Liferay" u="1"/>
        <s v="QA | S 01395 - QA for Do not display Schedule Lines when confirmedQty = 0 on Orders Landing  Page" u="1"/>
        <s v="QA | S 00160 - QA for Menu not working when on mobile mode" u="1"/>
        <s v="Alpha Test | S 01660 - Alpha for Formatting Error when Resizing" u="1"/>
        <s v="Sub-Task | M 01099 - UserLiferayServiceImpl.java" u="1"/>
        <s v="QA | S 01136 - QA for Checkboxes for Locations in filter do not show " u="1"/>
        <s v="BALLPARK - Alpha Test | S 00000 - Related articles" u="1"/>
        <s v="Backend Development | M 01473 - Switch to SOAP calls" u="1"/>
        <s v="QA | S 00777 - QA for Orders -  Bemis Order # (line No) should be moved below Bemis ProductID" u="1"/>
        <s v="QA | S 01133 - QA for Update On Hand Inv data fields to allow for decimals " u="1"/>
        <s v="QA | S 00966 - QA for Date Format is incorrect on all Pages" u="1"/>
        <s v="BALLPARK - Feature Review | S 00000 - Two Factor Authentication" u="1"/>
        <s v="BALLPARK - Feature Planning | S | 00000 - Add support for OpenID Connect Single Sign-on" u="1"/>
        <s v="Alpha Test | S 01655 - Alpha for Menu position does not remain closed when navigating from one page to another " u="1"/>
        <s v="Sub-Task |  00174 - Replace stock images for Health and Safety FAQ banner" u="1"/>
        <s v="QA | M 01098 - QA for Customer Org Hierarchy" u="1"/>
        <s v="Backend Development | S 00036 - Create mock service Enhanced Group API" u="1"/>
        <s v="QA | S 01234 - QA for Reports Landing Page - Report Header is not aligned properly" u="1"/>
        <s v="Sub-Task |  00734 - Mutable fields should not be &quot;public static&quot;.  Make this member &quot;protected&quot;." u="1"/>
        <s v="BALLPARK - Development | 00000 - Create different pages to show layouts" u="1"/>
        <s v="BALLPARK - Developer Support | 00000 - Connect Liferay with Azure File Storage " u="1"/>
        <s v="Feature Review | S 01189 - Review of BEMISCP-11 Terms &amp; Condition docs (site)(by customer specific)" u="1"/>
        <s v="BALLPARK - Alpha Test | XS 00000 - Country micro site single page" u="1"/>
        <s v="BALLPARK - Development | S 00000 - Country micro site single page" u="1"/>
        <s v="QA | S 02782 - QA for 375 (BDT) - Inventory Report - URL too long error " u="1"/>
        <s v="Tech Planning | XS | 00003 - Planning for Create docker image for Liferay" u="1"/>
        <s v="Sub-Task |  00566 - Functional Test for First time access " u="1"/>
        <s v="Sub-Task |  00688 - Functional Tests for Dashboard - Banners Part" u="1"/>
        <s v="BALLPARK - UX | XS 00000 - View closed orders in Order Views" u="1"/>
        <s v="BALLPARK - Developer Support | S 00000 - Remove Top Bar for External User" u="1"/>
        <s v="Sub-Task |  00727 - Dead stores should be removed" u="1"/>
        <s v="BALLPARK - Alpha Test | XS 00000 - Key Company Data" u="1"/>
        <s v="BALLPARK - Development | S 00000 - Key Company Data" u="1"/>
        <s v="Feature Review | S | 00108 - Review of Add support for OpenID Connect Single Sign-on" u="1"/>
        <s v="QA | M 01105 - QA for Import User and Groups from AD" u="1"/>
        <s v="BALLPARK - Developer Support | S 00000 - View Order Note." u="1"/>
        <s v="QA | M 00729 - QA for Releases landing page" u="1"/>
        <s v="Frontend Development | M 00146 - Ethics and compliance page" u="1"/>
        <s v="BALLPARK - Alpha Test | S 00000 - Footer" u="1"/>
        <s v="BALLPARK - Feature Review | XS 00000 - Buyer - Security" u="1"/>
        <s v="QA | M 00979 - QA for Filter Data by Customer Location " u="1"/>
        <s v="QA | S 00203 - QA for Make bootstrap grid match theme media widths" u="1"/>
        <s v="QA | M 01160 - QA for Style and colors" u="1"/>
        <s v="Alpha Test | S 01686 - Alpha for Update the report that is called from the Open Order Landing Page" u="1"/>
        <s v="QA | M 00731 - QA for Release Search" u="1"/>
        <s v="QA | S 01621 - QA for Sub-header font color on Reports Landing page are incorrect" u="1"/>
        <s v="QA | S 01132 - QA for Update Shipments data fields to allow for decimals " u="1"/>
        <s v="QA | S | 00107 - QA for Add version" u="1"/>
        <s v="BALLPARK - Alpha Test | XS 00000 - Corporate Governance Page" u="1"/>
        <s v="BALLPARK - Development | S 00000 - Corporate Governance Page" u="1"/>
        <s v="BALLPARK - Feature Review | 00000 - Create different pages to show layouts" u="1"/>
        <s v="Feature Review | S 01600 - Review of Buyer - Security" u="1"/>
        <s v="QA | S 01618 - QA for Wording on Dynamic Reports preview page needs to be changed to improve usability" u="1"/>
        <s v="BALLPARK - Feature Review | 00000 - Configure Elasticsearch with Azure local instance storage" u="1"/>
        <s v="Sub-Task | M 01094 - LoginRestController.java" u="1"/>
        <s v="QA | M 00733 - QA for Shipments Landing Page" u="1"/>
        <s v="BALLPARK - Development | S 00000 - Remove Buyer access to edit display settings" u="1"/>
        <s v="BALLPARK - Feature Review | 00000 - Install on Azure Production" u="1"/>
        <s v="Sub-Task | M | 00157 - Research SCORM - 2" u="1"/>
        <s v="BALLPARK - Feature Planning | S | 00000 - Capture learning events" u="1"/>
        <s v="BALLPARK - Developer Support | S 00000 - Remove Buyer access to edit display settings" u="1"/>
        <s v="BALLPARK - Feature Planning | XS 00000 - Remove Buyer access to edit display settings" u="1"/>
        <s v="Sub-Task |  00182 - Put the images from seguridad" u="1"/>
        <s v="QA | S | 00115 - QA for Enhanced Group REST Service" u="1"/>
        <s v="Sub-Task |  00580 - Functional Test for Main Dashboard" u="1"/>
        <s v="BALLPARK - UX | XS 00000 - User agreement - BNA" u="1"/>
        <s v="Backend Development | M 01648 - Logging enhancements" u="1"/>
        <s v="BALLPARK - Development | M 00000 - Batch details in on-hand inventory" u="1"/>
        <s v="BALLPARK - Feature Review | S 00000 - User friendly error messaging for CSR and Buyers" u="1"/>
        <s v="BALLPARK - QA/UAT Support | S 00000 - User friendly error messaging for CSR and Buyers" u="1"/>
        <s v="BALLPARK - Tech Planning | XS 00000 - User friendly error messaging for CSR and Buyers" u="1"/>
        <s v="BALLPARK - Feature Planning | S 00000 - Add expiration date" u="1"/>
        <s v="BALLPARK - Feature Review | S | 00000 - Add expiration date" u="1"/>
        <s v="BALLPARK - Development | M | 00000 - Add version" u="1"/>
        <s v="BALLPARK - Tech Planning | S 00000 - Add version" u="1"/>
        <s v="BALLPARK - Tech Planning | S | 00000 - Add SCORM support" u="1"/>
        <s v="Backend Development | S 00014 - Integrate Taskboard configuration scripts" u="1"/>
        <s v="BALLPARK - Alpha Test | S 00000 - Add status: draft, published, archived, invisible " u="1"/>
        <s v="BALLPARK - QA Support | S 00000 - Add status: draft, published, archived, invisible " u="1"/>
        <s v="QA | M 00957 - QA for Passowrd Policy" u="1"/>
        <s v="QA | S 01283 - QA for My Locations navigation on Mobile view is not working" u="1"/>
        <s v="Sub-Task | M 00304 - Auto-refresh price" u="1"/>
        <s v="BALLPARK - Feature Review | S 00000 - Home page &quot;More&quot; button does not work for Internet Explorer 10 or 11" u="1"/>
        <s v="BALLPARK - Feature Review | S 00000 - Create Google CI" u="1"/>
        <s v="QA | S 01637 - QA for Customer Site Template was not updated correctly" u="1"/>
        <s v="BALLPARK - Feature Planning | S 00000 - Buyer View of Customer Profile" u="1"/>
        <s v="Sub-Task |  00183 - Privacy text" u="1"/>
        <s v="Sub-Task | M 01100 - UserServiceImpl.java" u="1"/>
        <s v="QA | S 01388 - QA for Report Landing Page- Inventory Detail Report" u="1"/>
        <s v="QA | S 02665 - QA for 378 (BDT) - No pagination on the Reports Download page " u="1"/>
        <s v="BALLPARK - Tech Planning | M 00000 - Create Google CI" u="1"/>
        <s v="Feature Planning | S 00009 - Version - Feature Planning" u="1"/>
        <s v="BALLPARK - Development | S 00000 - Switch to SOAP calls" u="1"/>
        <s v="Backend Development | S 00046 - Add expiration date - Backend Dev" u="1"/>
        <s v="Backend Development | S | 00090 - Create mock pages" u="1"/>
        <s v="Feature Review |  00524 - Review of Identify .lpkg files in default bundle which we don't need to speepup the initial Tomcat start" u="1"/>
        <s v="Sub-Task | XS | 00060 - Update OIDC modules to latest from master" u="1"/>
        <s v="Alpha Test | S 01482 - Alpha for Welcome Name Banner" u="1"/>
        <s v="Feature Review |  00601 - Review of Anchor tags not working for some pages" u="1"/>
        <s v="QA | S 01596 - QA for Disabled User shows up in Members section on company profile page" u="1"/>
        <s v="BALLPARK - Feature Planning | XS 00000 - User friendly error messaging for CSR and Buyers" u="1"/>
        <s v="QA | S 02494 - QA for Change date field used for selecting invoices" u="1"/>
        <s v="BALLPARK - Tech Planning | S 00000 - Release Search" u="1"/>
        <s v="BALLPARK - Tech Planning | S | 00000 - Add version" u="1"/>
        <s v="Alpha Test | S 00579 - Alpha for Image Animations do not match mockups for Stories" u="1"/>
        <s v="Sub-Task |  00708 - Automated Tests for Changing Password flow" u="1"/>
        <s v="QA | M 01124 - QA for Browser compatibility" u="1"/>
        <s v="BALLPARK - Tech Planning | S 00000 - Batch details in on-hand inventory" u="1"/>
        <s v="QA | S 00112 - QA for Events + Calendar Portlet" u="1"/>
        <s v="BALLPARK - UX | 00000 - Adjust styles of basic Liferay DXP components" u="1"/>
        <s v="BALLPARK - Developer Support | 00000 - Create repository for software images" u="1"/>
        <s v="Backend Development | M | 00101 - Implement sorting" u="1"/>
        <s v="QA | S 01532 - QA for Missing Address should be empty" u="1"/>
        <s v="BALLPARK - Developer Support | S 00000 - Link from Portal Logo" u="1"/>
        <s v="Backend Development | S | 00012 - Integrate REST API with Liferay service layer" u="1"/>
        <s v="BALLPARK - UX | 00000 - Creation of content structures and templates" u="1"/>
        <s v="QA | S 00964 - QA for Remove Top Bar for External User" u="1"/>
        <s v="BALLPARK - Developer Support | 00000 - Create different pages to show layouts" u="1"/>
        <s v="BALLPARK - UX | S 00000 - Co-Packer - Role by Ship To" u="1"/>
        <s v="QA | S 02915 - QA for Upgrade liferay bundle to DE fix-pack 13" u="1"/>
        <s v="BALLPARK - Alpha Test | 00000 - Create docker image for Liferay installation" u="1"/>
        <s v="BALLPARK - QA Support | 00000 - Create docker image for Liferay installation" u="1"/>
        <s v="QA | S 00097 - QA for Asset publisher - Simple version" u="1"/>
        <s v="Frontend Development | M 01698 - Order Customer location list alphabetically by parent name " u="1"/>
        <s v="BALLPARK - Development | 00000 - Design concepts, site creation, roles and users" u="1"/>
        <s v="Frontend Development | M 01699 - Add filter on Customer Location view" u="1"/>
        <s v="Frontend Development | S 01677 - Update Order landing page styling after adding new sort functionality" u="1"/>
        <s v="QA | S 00986 - QA for Update Customer logo" u="1"/>
        <s v="QA | S 00110 - QA for Webcontent - Investors to Key Statistics" u="1"/>
        <s v="Ballpark - Demand | S 00000 - Dummy Activity of Products" u="1"/>
        <s v="Feature Review | S 00260 - Review of Allow patches to be source-controlled and installed into bundle by workspace" u="1"/>
        <s v="BALLPARK - Development | M 00000 - Add expiration date" u="1"/>
        <s v="BALLPARK - Feature Review | S 00000 - Add support for OpenID Connect Single Sign-on" u="1"/>
        <s v="BALLPARK - Alpha Test | S 00000 - Place remaining Webcontents on Homepage" u="1"/>
        <s v="BALLPARK - Development | S 00000 - Generate Shipping Reports" u="1"/>
        <s v="QA | S 02978 - QA for Documents page- title running off of screen box" u="1"/>
        <s v="Frontend Development | M 01459 - Development for - Update decimals display on Bemis Portal Landing pages" u="1"/>
        <s v="BALLPARK - Feature Review | M | 00000 - REST service for Enhanced Groups" u="1"/>
        <s v="BALLPARK - Development | XS 00000 - View Orders by PO" u="1"/>
        <s v="BALLPARK - Feature Review | M 00000 - REST service for Enhanced Groups" u="1"/>
        <s v="BALLPARK - Alpha Test | 00000 - Create different pages to show layouts" u="1"/>
        <s v="BALLPARK - QA Support | 00000 - Create different pages to show layouts" u="1"/>
        <s v="BALLPARK - Feature Planning | S 00000 - User agreement - BNA" u="1"/>
        <s v="QA | S 00126 - QA for Story carrousel on homepage does not animate (zoom)" u="1"/>
        <s v="QA | S 00099 - QA for Asset publisher layout" u="1"/>
        <s v="Ballpark - Demand | S 00000 - Dummy Activity of Roles Configuration" u="1"/>
        <s v="Sub-Task | M 00483 - Add section for &quot;cutover plan&quot; to Installation doc" u="1"/>
        <s v="QA | S 01546 - QA for Release PO and Customer PO are wrapping on the same line" u="1"/>
        <s v="BALLPARK - Feature Review | S 00000 - Capture learning events" u="1"/>
        <s v="Sub-Task |  00103 - Extend Apache log4j" u="1"/>
        <s v="Sub-Task |  00429 - Investigate RDR manager sync" u="1"/>
        <s v="Backend Development | M | 00032 - Implement Session Expiration" u="1"/>
        <s v="Frontend Development | M 01143 - Update address format to match wireframe" u="1"/>
        <s v="BALLPARK - Alpha Test | 00000 - Configure Elasticsearch with Azure local instance storage" u="1"/>
        <s v="BALLPARK - QA Support | 00000 - Configure Elasticsearch with Azure local instance storage" u="1"/>
        <s v="Sub-Task |  00844 - WSDL" u="1"/>
        <s v="Sub-Task |  00038 - Criar Job no Jenkins para Deploy" u="1"/>
        <s v="Tech Planning | XS | 00028 - Analysis" u="1"/>
        <s v="Tech Planning | XS | 00029 - Analysis" u="1"/>
        <s v="Sub-Task | M 00302 - Adjust order of stock exchanges" u="1"/>
        <s v="BALLPARK - Alpha Test | S 00000 - User friendly error messaging for CSR and Buyers" u="1"/>
        <s v="BALLPARK - Development | 00000 - Create docker image for Elasticsearch" u="1"/>
        <s v="BALLPARK - Feature Planning | S 00000 - Create Google Local Environment" u="1"/>
        <s v="QA | S 02924 - QA for (BDT 467) - Releases and Shipments do not display for new customer setup " u="1"/>
        <s v="QA | S 00213 - QA for Company profile page" u="1"/>
        <s v="UX | S 01675 - Update mockups with new sort functionality" u="1"/>
        <s v="BALLPARK - Developer Support | S 00000 - Customer - Org - Permissions" u="1"/>
        <s v="BALLPARK - Feature Planning | XS 00000 - Customer - Org - Permissions" u="1"/>
        <s v="Sub-Task |  01274 - Automated tests for DCU47 - initial pages R1" u="1"/>
        <s v="QA | M 01123 - QA for Location selection persists between logout and login" u="1"/>
        <s v="Sub-Task |  00565 - Functional Test for Fake Question flow" u="1"/>
        <s v="BALLPARK - Tech Planning | S 00000 - Location selection persists between logout and login" u="1"/>
        <s v="Alpha Test | M 00935 - Alpha for On-Hand Inventory View" u="1"/>
        <s v="Sub-Task | M 01098 - TransferServiceImpl.java" u="1"/>
        <s v="Backend Development | M 01510 - Add missing Ship Date optional field" u="1"/>
        <s v="BALLPARK - Development | L 00000 - Create Google CI" u="1"/>
        <s v="Alpha Test | S 00147 - Alpha for Adjust homepage layout in different screen resolutions" u="1"/>
        <s v="Sub-Task | M 01092 - DashboardAccountController.java" u="1"/>
        <s v="Sub-Task | M 01095 - PersonalTransferController.java" u="1"/>
        <s v="Backend Development | S | 00052 - Add logic to redirect unauthenticated users to login" u="1"/>
        <s v="BALLPARK - Development | S 00000 - Unified boiler plate text" u="1"/>
        <s v="Sub-Task |  00848 - JavaScript libraries with known vulnerabilities on GitHub." u="1"/>
        <s v="Alpha Test | S 01472 - Alpha for Order Report URL too long " u="1"/>
        <s v="BALLPARK - Developer Support | S 00000 - Co-Packer - Role by Ship To" u="1"/>
        <s v="BALLPARK - Feature Planning | M 00000 - Product values in different currencies" u="1"/>
        <s v="BALLPARK - Development | S 00000 - Create Google Local Environment" u="1"/>
        <s v="Sub-Task |  00037 - Criar VM com VPN para usuários Mac" u="1"/>
        <s v="BALLPARK - Feature Review | 00000 - Design concepts, site creation, roles and users" u="1"/>
        <s v="UX | S 01576 - Design user-friendly error page" u="1"/>
        <s v="Alpha Test | S 01483 - Alpha for Allow Buyers to update display settings " u="1"/>
        <s v="BALLPARK - Developer Support | M 00000 - Check graphics record (to monitor order progress)" u="1"/>
        <s v="Alpha Test | S 01471 - Alpha for Column picks disappear in report form" u="1"/>
        <s v="BALLPARK - Alpha Test | S 00000 - REST service for Enhanced Groups" u="1"/>
        <s v="BALLPARK - QA Support | S 00000 - REST service for Enhanced Groups" u="1"/>
        <s v="Feature Review | S | 00089 - Review of Notify Google LMS of User activity" u="1"/>
        <s v="BALLPARK - QA Support | S 00000 - 482 BDT - Optimizing report performance to 4 sec" u="1"/>
        <s v="QA | S 01226 - QA for Update orders data fields to allow for decimals " u="1"/>
        <s v="BALLPARK - Development | 00000 - Adjust styles of basic Liferay DXP components" u="1"/>
        <s v="Sub-Task |  00730 - Utility classes should not have public constructors" u="1"/>
        <s v="Frontend Development | S 02970 - Development for - Issues with ship to filter" u="1"/>
        <s v="BALLPARK - Alpha Test | XS 00000 - Ethics and compliance page" u="1"/>
        <s v="BALLPARK - Feature Review | XS 00000 - Customer Profile updates from IBB" u="1"/>
        <s v="Sub-Task |  00847 - Request/Response" u="1"/>
        <s v="BALLPARK - Feature Planning | S 00000 - Create and assign customer Roles" u="1"/>
        <s v="QA | S 01515 - QA for Customer Address does not display on Customer Profile" u="1"/>
        <s v="Feature Review | S 01663 - Review of Create Page for CSRs to View Customer Locations " u="1"/>
        <s v="BALLPARK - UX | XS 00000 - Create/edit Order Note" u="1"/>
        <s v="Alpha Test | S 01457 - Alpha for Bemis Logo displayed on Bemis' QA is incorrect" u="1"/>
        <s v="Sub-Task |  00846 - Sequence Diagram" u="1"/>
        <s v="Sub-Task |  01014 - Correct links home page" u="1"/>
        <s v="Sub-Task | S | 00062 - Set up search server for Liferay Dev" u="1"/>
        <s v="BALLPARK - Feature Planning | S 00000 - Capture learning events" u="1"/>
        <s v="BALLPARK - Feature Review | S | 00000 - Capture learning events" u="1"/>
        <s v="QA | S 02866 - QA for ID 4191/4190 Update the CSR permissions to be organization based" u="1"/>
        <s v="QA | S 01539 - QA for On Hand Inventory Details shows a Total Qty but there are no details " u="1"/>
        <s v="BALLPARK - Tech Planning | M 00000 - Co-Packer - Role by Ship To" u="1"/>
        <s v="Alpha Test | S 01601 - Alpha for CSR- editing buyer profile" u="1"/>
        <s v="Backend Development | S | 00097 - Implement Date Filtering for Group Versions " u="1"/>
        <s v="QA | S 00102 - QA for Show full story on Media Center" u="1"/>
        <s v="BALLPARK - Tech Planning | S 00000 - Check graphics record (to monitor order progress)" u="1"/>
        <s v="Alpha Test | S 00170 - Alpha for Redirect Not Allowed" u="1"/>
        <s v="QA | S 02921 - QA for Premium Waters Index Issue" u="1"/>
        <s v="Sub-Task |  00567 - Functional Test for Configuring user data" u="1"/>
        <s v="Frontend Development | M 01008 - Combine Shipments and Releases Section on Reports Landing Page" u="1"/>
        <s v="BALLPARK - Development | S 00000 - Custom 404 page" u="1"/>
        <s v="QA | S 01636 - QA for The Company logo will not populate on Welcome page" u="1"/>
        <s v="Sub-Task |  00729 - Class variable fields should not have public accessibility" u="1"/>
        <s v="BALLPARK - Development | XS 00000 - Create a sign in page" u="1"/>
        <s v="BALLPARK - Tech Planning | XS 00000 - Order Detail in Orders by Item View" u="1"/>
        <s v="Sub-Task |  00725 - &quot;Switch&quot; statements should end with a &quot;default&quot; clause" u="1"/>
      </sharedItems>
    </cacheField>
    <cacheField name="Issue Status" numFmtId="0">
      <sharedItems containsNonDate="0" containsBlank="1" count="7">
        <m/>
        <s v="1.Reviewing" u="1"/>
        <s v="2.To Review" u="1"/>
        <e v="#N/A" u="1"/>
        <s v="5.Open" u="1"/>
        <s v="3.Doing" u="1"/>
        <s v="4.To Do" u="1"/>
      </sharedItems>
    </cacheField>
    <cacheField name="Type" numFmtId="0">
      <sharedItems containsNonDate="0" containsBlank="1" count="20">
        <m/>
        <s v="QA" u="1"/>
        <s v="Alpha Test" u="1"/>
        <s v="Ballpark - Feature Planning" u="1"/>
        <s v="Frontend Development" u="1"/>
        <s v="Tech Planning" u="1"/>
        <s v="BALLPARK - UX" u="1"/>
        <s v="BALLPARK - Developer Support" u="1"/>
        <s v="BALLPARK - Feature Review" u="1"/>
        <s v="Feature Review" u="1"/>
        <s v="BALLPARK - Demand" u="1"/>
        <s v="BALLPARK - QA/UAT Support" u="1"/>
        <s v="BALLPARK - QA Support" u="1"/>
        <s v="Sub-Task" u="1"/>
        <s v="BALLPARK - Alpha Test" u="1"/>
        <s v="Ballpark - Tech Planning" u="1"/>
        <s v="Feature Planning" u="1"/>
        <s v="UX" u="1"/>
        <s v="BALLPARK - Development" u="1"/>
        <s v="Backend Development" u="1"/>
      </sharedItems>
    </cacheField>
    <cacheField name="Role" numFmtId="0">
      <sharedItems containsNonDate="0" containsBlank="1" count="4">
        <m/>
        <s v="Coach" u="1"/>
        <s v="Developer" u="1"/>
        <s v="Tech Lead" u="1"/>
      </sharedItems>
    </cacheField>
    <cacheField name="Size" numFmtId="0">
      <sharedItems containsNonDate="0" containsString="0" containsBlank="1"/>
    </cacheField>
    <cacheField name="Effort" numFmtId="0">
      <sharedItems containsNonDate="0" containsString="0" containsBlank="1"/>
    </cacheField>
    <cacheField name="Cycle Hours" numFmtId="0">
      <sharedItems containsNonDate="0" containsString="0" containsBlank="1"/>
    </cacheField>
    <cacheField name="Cycle Hours per Role With Risk" numFmtId="0">
      <sharedItems containsNonDate="0" containsString="0" containsBlank="1"/>
    </cacheField>
    <cacheField name="Thread" numFmtId="0">
      <sharedItems containsNonDate="0" containsBlank="1" count="9">
        <m/>
        <s v="Developer4" u="1"/>
        <s v="Developer5" u="1"/>
        <s v="Coach1" u="1"/>
        <s v="Developer1" u="1"/>
        <s v="Tech Lead1" u="1"/>
        <s v="Developer2" u="1"/>
        <s v="Tech Lead2" u="1"/>
        <s v="Developer3" u="1"/>
      </sharedItems>
    </cacheField>
    <cacheField name="Week" numFmtId="0">
      <sharedItems containsNonDate="0" containsDate="1" containsString="0" containsBlank="1" minDate="2017-01-09T00:00:00" maxDate="2017-12-12T00:00:00" count="50">
        <m/>
        <d v="2017-01-23T00:00:00" u="1"/>
        <d v="2017-01-16T00:00:00" u="1"/>
        <d v="2017-09-25T00:00:00" u="1"/>
        <d v="2017-10-30T00:00:00" u="1"/>
        <d v="2017-01-09T00:00:00" u="1"/>
        <d v="2017-09-18T00:00:00" u="1"/>
        <d v="2017-10-23T00:00:00" u="1"/>
        <d v="2017-04-24T00:00:00" u="1"/>
        <d v="2017-05-29T00:00:00" u="1"/>
        <d v="2017-09-11T00:00:00" u="1"/>
        <d v="2017-10-16T00:00:00" u="1"/>
        <d v="2017-04-17T00:00:00" u="1"/>
        <d v="2017-05-22T00:00:00" u="1"/>
        <d v="2017-09-04T00:00:00" u="1"/>
        <d v="2017-10-09T00:00:00" u="1"/>
        <d v="2017-04-10T00:00:00" u="1"/>
        <d v="2017-05-15T00:00:00" u="1"/>
        <d v="2017-10-02T00:00:00" u="1"/>
        <d v="2017-04-03T00:00:00" u="1"/>
        <d v="2017-05-08T00:00:00" u="1"/>
        <d v="2017-05-01T00:00:00" u="1"/>
        <d v="2017-08-28T00:00:00" u="1"/>
        <d v="2017-08-21T00:00:00" u="1"/>
        <d v="2017-03-27T00:00:00" u="1"/>
        <d v="2017-08-14T00:00:00" u="1"/>
        <d v="2017-03-20T00:00:00" u="1"/>
        <d v="2017-08-07T00:00:00" u="1"/>
        <d v="2017-03-13T00:00:00" u="1"/>
        <d v="2017-02-27T00:00:00" u="1"/>
        <d v="2017-03-06T00:00:00" u="1"/>
        <d v="2017-02-20T00:00:00" u="1"/>
        <d v="2017-02-13T00:00:00" u="1"/>
        <d v="2017-11-27T00:00:00" u="1"/>
        <d v="2017-02-06T00:00:00" u="1"/>
        <d v="2017-11-20T00:00:00" u="1"/>
        <d v="2017-06-26T00:00:00" u="1"/>
        <d v="2017-07-31T00:00:00" u="1"/>
        <d v="2017-11-13T00:00:00" u="1"/>
        <d v="2017-06-19T00:00:00" u="1"/>
        <d v="2017-07-24T00:00:00" u="1"/>
        <d v="2017-11-06T00:00:00" u="1"/>
        <d v="2017-12-11T00:00:00" u="1"/>
        <d v="2017-06-12T00:00:00" u="1"/>
        <d v="2017-07-17T00:00:00" u="1"/>
        <d v="2017-12-04T00:00:00" u="1"/>
        <d v="2017-06-05T00:00:00" u="1"/>
        <d v="2017-07-10T00:00:00" u="1"/>
        <d v="2017-01-30T00:00:00" u="1"/>
        <d v="2017-07-03T00:00:00" u="1"/>
      </sharedItems>
    </cacheField>
    <cacheField name="Day" numFmtId="0">
      <sharedItems containsNonDate="0" containsString="0" containsBlank="1"/>
    </cacheField>
    <cacheField name="Allocated Days" numFmtId="0">
      <sharedItems containsNonDate="0" containsString="0" containsBlank="1"/>
    </cacheField>
    <cacheField name="Allocated Cycle Hours" numFmtId="0">
      <sharedItems containsNonDate="0" containsString="0" containsBlank="1"/>
    </cacheField>
    <cacheField name="Completion" numFmtId="0">
      <sharedItems containsNonDate="0" containsString="0" containsBlank="1"/>
    </cacheField>
    <cacheField name="Allocated Effor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ministrador" refreshedDate="42957.79885590278" createdVersion="6" refreshedVersion="6" minRefreshableVersion="3" recordCount="10000">
  <cacheSource type="worksheet">
    <worksheetSource ref="A1:AS1048576" sheet="From Jira"/>
  </cacheSource>
  <cacheFields count="46">
    <cacheField name="project" numFmtId="0">
      <sharedItems containsNonDate="0" containsString="0" containsBlank="1" count="1">
        <m/>
      </sharedItems>
    </cacheField>
    <cacheField name="demand_type" numFmtId="0">
      <sharedItems containsNonDate="0" containsString="0" containsBlank="1"/>
    </cacheField>
    <cacheField name="demand_status" numFmtId="0">
      <sharedItems containsNonDate="0" containsString="0" containsBlank="1" count="1">
        <m/>
      </sharedItems>
    </cacheField>
    <cacheField name="demand_num" numFmtId="0">
      <sharedItems containsNonDate="0" containsString="0" containsBlank="1"/>
    </cacheField>
    <cacheField name="DEMAND_SUMMARY" numFmtId="0">
      <sharedItems containsNonDate="0" containsString="0" containsBlank="1"/>
    </cacheField>
    <cacheField name="demand_description" numFmtId="0">
      <sharedItems containsNonDate="0" containsString="0" containsBlank="1" count="1">
        <m/>
      </sharedItems>
    </cacheField>
    <cacheField name="TASK_TYPE" numFmtId="0">
      <sharedItems containsNonDate="0" containsString="0" containsBlank="1"/>
    </cacheField>
    <cacheField name="TASK_STATUS" numFmtId="0">
      <sharedItems containsNonDate="0" containsString="0" containsBlank="1"/>
    </cacheField>
    <cacheField name="TASK_NUM" numFmtId="0">
      <sharedItems containsNonDate="0" containsString="0" containsBlank="1"/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String="0" containsBlank="1" count="1">
        <m/>
      </sharedItems>
    </cacheField>
    <cacheField name="SUBTASK_TYPE" numFmtId="0">
      <sharedItems containsNonDate="0" containsString="0" containsBlank="1" count="1">
        <m/>
      </sharedItems>
    </cacheField>
    <cacheField name="SUBTASK_STATUS" numFmtId="0">
      <sharedItems containsNonDate="0" containsString="0" containsBlank="1" count="1">
        <m/>
      </sharedItems>
    </cacheField>
    <cacheField name="SUBTASK_NUM" numFmtId="0">
      <sharedItems containsNonDate="0" containsString="0" containsBlank="1"/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String="0" containsBlank="1" count="1">
        <m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OnLoad="1" refreshedBy="Administrador" refreshedDate="42957.798911458332" createdVersion="6" refreshedVersion="6" minRefreshableVersion="3" recordCount="9999">
  <cacheSource type="worksheet">
    <worksheetSource name="AllIssues"/>
  </cacheSource>
  <cacheFields count="49">
    <cacheField name="project" numFmtId="0">
      <sharedItems containsNonDate="0" containsBlank="1" count="19">
        <m/>
        <s v="PROJECT - Malaguti" u="1"/>
        <s v="PROJECT - AonHewitt" u="1"/>
        <s v="PROJECT - Queiroz Galvão SIGEX" u="1"/>
        <s v="PROJECT - Tibco Software" u="1"/>
        <s v="PROJECT - Suez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Blank="1" count="2">
        <m/>
        <s v="Demand" u="1"/>
      </sharedItems>
    </cacheField>
    <cacheField name="demand_status" numFmtId="0">
      <sharedItems containsNonDate="0" containsBlank="1" count="11">
        <m/>
        <s v="Queued for Review" u="1"/>
        <s v="Cancelled" u="1"/>
        <s v="Complete" u="1"/>
        <s v="Deferred" u="1"/>
        <s v="Doing" u="1"/>
        <s v="Done" u="1"/>
        <s v="Open" u="1"/>
        <s v="QAing" u="1"/>
        <s v="To Do" u="1"/>
        <s v="To UAT" u="1"/>
      </sharedItems>
    </cacheField>
    <cacheField name="demand_num" numFmtId="0">
      <sharedItems containsNonDate="0" containsString="0" containsBlank="1" containsNumber="1" containsInteger="1" minValue="1" maxValue="2870" count="47">
        <m/>
        <n v="57" u="1"/>
        <n v="443" u="1"/>
        <n v="1570" u="1"/>
        <n v="501" u="1"/>
        <n v="5" u="1"/>
        <n v="146" u="1"/>
        <n v="420" u="1"/>
        <n v="15" u="1"/>
        <n v="265" u="1"/>
        <n v="2" u="1"/>
        <n v="6" u="1"/>
        <n v="1438" u="1"/>
        <n v="16" u="1"/>
        <n v="510" u="1"/>
        <n v="17" u="1"/>
        <n v="540" u="1"/>
        <n v="630" u="1"/>
        <n v="65" u="1"/>
        <n v="533" u="1"/>
        <n v="54" u="1"/>
        <n v="56" u="1"/>
        <n v="1429" u="1"/>
        <n v="539" u="1"/>
        <n v="58" u="1"/>
        <n v="1" u="1"/>
        <n v="519" u="1"/>
        <n v="3" u="1"/>
        <n v="8" u="1"/>
        <n v="496" u="1"/>
        <n v="538" u="1"/>
        <n v="221" u="1"/>
        <n v="2870" u="1"/>
        <n v="1439" u="1"/>
        <n v="1652" u="1"/>
        <n v="531" u="1"/>
        <n v="444" u="1"/>
        <n v="1657" u="1"/>
        <n v="29" u="1"/>
        <n v="1437" u="1"/>
        <n v="1527" u="1"/>
        <n v="53" u="1"/>
        <n v="366" u="1"/>
        <n v="4" u="1"/>
        <n v="691" u="1"/>
        <n v="55" u="1"/>
        <n v="523" u="1"/>
      </sharedItems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211">
        <m/>
        <s v=" 00151 - Management Team" u="1"/>
        <s v="00501  - IBB Integration" u="1"/>
        <s v=" 00029 - Stock ticker portlet" u="1"/>
        <s v="00006 - Theme" u="1"/>
        <s v="00016 - Web Sermubeniel" u="1"/>
        <s v="00265 - Suppliers Section" u="1"/>
        <s v="00510  - Buyer - Release Management" u="1"/>
        <s v="M | 03231 - Demand without assignee BEMISCP" u="1"/>
        <s v="00630 - Need Credentials for the Following Users" u="1"/>
        <s v=" 00221 - Orders Landing Page" u="1"/>
        <s v=" | 00065 - Roles Configuration" u="1"/>
        <s v="00443  - Buyer - Customer and User Profile" u="1"/>
        <s v=" | 00005 - System Architecture" u="1"/>
        <s v=" | 00531 - System Architecture" u="1"/>
        <s v=" | 00523 - CSR - Portal Foundations" u="1"/>
        <s v="M | 00118 - Jira 7 sdlc tools validation" u="1"/>
        <s v=" 00002 - User Activity Tracking" u="1"/>
        <s v="M | 00110 - Demand without assignee GSSDLC" u="1"/>
        <s v=" 00054 - About Us" u="1"/>
        <s v="00069 - UI &amp; Theme" u="1"/>
        <s v="01657 - Enhancement - Buyer Portal Foundations" u="1"/>
        <s v=" | 00016 - Stories" u="1"/>
        <s v="00055 - Products + Service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420 - Buyer - Shipment" u="1"/>
        <s v="00531 - System Architecture" u="1"/>
        <s v=" | 00055 - Products + Service" u="1"/>
        <s v=" 00006 - Theme" u="1"/>
        <s v="00112 - Security" u="1"/>
        <s v=" 00443 - Buyer - Customer and User Profile" u="1"/>
        <s v=" 01439 - Enhanced Portal Foundation Settings" u="1"/>
        <s v=" 00540 - Buyer - Dashboard" u="1"/>
        <s v="00055 - Tools - Sonar" u="1"/>
        <s v=" 00001 - Enhanced Group Functionality" u="1"/>
        <s v="00444  - CSR - Customer and User Profile" u="1"/>
        <s v="00054 - About Us" u="1"/>
        <s v=" | 00056 - Sustainability" u="1"/>
        <s v=" | 00633 - Sustainability" u="1"/>
        <s v="00001 - Objective Taskboard" u="1"/>
        <s v=" 00173 - Corporate Governance" u="1"/>
        <s v=" | 00004 - Google LMS Integration" u="1"/>
        <s v="00496 - Buyer - Document Management" u="1"/>
        <s v=" | 00054 - Tools - Indicators" u="1"/>
        <s v=" 00420 - Buyer - Shipment Management" u="1"/>
        <s v=" 00496 - Buyer - Document Management" u="1"/>
        <s v="00539 - Buyer - Inventory Management" u="1"/>
        <s v=" | 00006 - Theme" u="1"/>
        <s v="M | 00056 - Tools - Worklogger" u="1"/>
        <s v=" 00538 - Buyer - Reports" u="1"/>
        <s v="01527 - Updates for all Report " u="1"/>
        <s v="00087 - SDLC Process" u="1"/>
        <s v="00057 - Tools - Sizing" u="1"/>
        <s v=" 00533 - Bemis CP Theme" u="1"/>
        <s v=" | 00003 - OpenID Connect SSO Support " u="1"/>
        <s v="00024 - Lfieray Governance" u="1"/>
        <s v="00043 - Review accesibility" u="1"/>
        <s v="00005 - System Architecture" u="1"/>
        <s v="00523 - CSR - Portal Foundations" u="1"/>
        <s v=" 00146 - Two Factor Authentication" u="1"/>
        <s v=" | 01437 - Enhancement - Buyer Shipment Management" u="1"/>
        <s v="00016 - Stories" u="1"/>
        <s v="00004 - Google LMS Integration" u="1"/>
        <s v=" 00444 - CSR - Customer and User Profile" u="1"/>
        <s v=" 00001 - Enhanced Group Functionality (Site)" u="1"/>
        <s v="00444 - CSR - Access Customer and User Profile Information" u="1"/>
        <s v=" 00032 - Content Workflow" u="1"/>
        <s v=" | 00538 - Buyer - Reports" u="1"/>
        <s v=" 00058 - Tools - Github" u="1"/>
        <s v="00104 - User Management" u="1"/>
        <s v="M | 00113 - Cancel task test" u="1"/>
        <s v="00510 - Buyer - Release Management" u="1"/>
        <s v=" 00171 - Debt Information" u="1"/>
        <s v="00366  - Buyer - Order Management" u="1"/>
        <s v=" 00443 - Buyer views Customer and User Profiles" u="1"/>
        <s v="00001 - Azure Base" u="1"/>
        <s v=" 00142 - Ethics and compliance page" u="1"/>
        <s v=" | 00366 - Buyer - Order Management" u="1"/>
        <s v=" | 00052 - Tools - CI Server" u="1"/>
        <s v=" | 00420 - Buyer - Shipment Management" u="1"/>
        <s v="00444 - CSR - Customer and User Profile" u="1"/>
        <s v=" | 00630 - Need Credentials for the Following Users" u="1"/>
        <s v="M | 00630 - Need Credentials for the Following Users" u="1"/>
        <s v=" 00001 - Objective Taskboard" u="1"/>
        <s v="00029 - Stock ticker portlet" u="1"/>
        <s v=" 00519 - Buyer - Portal Foundations" u="1"/>
        <s v="00501 - IBB Integration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00004 - Define strategy around docker and Azure" u="1"/>
        <s v=" 00420 - Buyer - Shipment" u="1"/>
        <s v="01439 - Enhanced Portal Foundation Settings" u="1"/>
        <s v=" 00055 - Tools - Sonar" u="1"/>
        <s v="M | 00065 - Roles Configuration" u="1"/>
        <s v="00013 - Azure Cluster" u="1"/>
        <s v=" 00055 - Products + Service" u="1"/>
        <s v=" 00691 - Liferay Workspace Maintenance and Improvements" u="1"/>
        <s v=" 00531 - System Architecture" u="1"/>
        <s v="00026 - Install on Production" u="1"/>
        <s v="00519 - Buyer - Portal Foundation" u="1"/>
        <s v="00633 - Sustainability - Overview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00420  - Buyer - Shipment" u="1"/>
        <s v=" 00016 - Stories" u="1"/>
        <s v=" 00055 - Products" u="1"/>
        <s v="00017 - Investors" u="1"/>
        <s v=" 00054 - Tools - Indicators" u="1"/>
        <s v=" | 00265 - Suppliers Section" u="1"/>
        <s v="M | 00541 - CSR - Dashboard" u="1"/>
        <s v=" 00207 - Press Releases Page" u="1"/>
        <s v=" | 00002 - User Activity Tracking" u="1"/>
        <s v=" | 00519 - Buyer - Portal Foundations" u="1"/>
        <s v=" 00065 - Roles Configuration" u="1"/>
        <s v="00015 - JIRA Customizations/Automations" u="1"/>
        <s v=" 02870 - Off-boarding Tasks" u="1"/>
        <s v=" | 00510 - Buyer - Release Management" u="1"/>
        <s v=" | 00069 - UI &amp; Theme" u="1"/>
        <s v="M | 00057 - Tools - Sizing" u="1"/>
        <s v="00531  - System Architecture" u="1"/>
        <s v=" | 00001 - Objective Taskboard" u="1"/>
        <s v="00496  - Buyer - Document Management" u="1"/>
        <s v="01429 - Enhancement - Buyer Order Management" u="1"/>
        <s v=" 00501 - IBB Integration" u="1"/>
        <s v="00443 - Buyer - Customer and User Profile" u="1"/>
        <s v="00053 - Tools - Dashboard" u="1"/>
        <s v="00092 - Content Management" u="1"/>
        <s v=" | 02870 - Off-boarding Tasks" u="1"/>
        <s v="00523  - CSR - Portal Foundations" u="1"/>
        <s v="00003 - OpenID Connect SSO Support " u="1"/>
        <s v=" | 01527 - Updates for all Report " u="1"/>
        <s v=" | 00539 - Buyer - Inventory Management" u="1"/>
        <s v="00008 - Homepage" u="1"/>
        <s v=" 01570 - Enhancement - Buyer Reports" u="1"/>
        <s v="00366 - Buyer - Order &amp; Inventory Management" u="1"/>
        <s v=" 01429 - Enhancement - Buyer Order Management" u="1"/>
        <s v=" 00053 - Tools - Dashboard" u="1"/>
        <s v=" | 00501 - IBB Integration" u="1"/>
        <s v="02870 - Off-boarding Tasks" u="1"/>
        <s v="00533 - Bemis CP Theme" u="1"/>
        <s v="00538 - Buyer - Reports" u="1"/>
        <s v="01652 - Enhancement - Customer Data Sync" u="1"/>
        <s v=" 00541 - CSR - Dashboard" u="1"/>
        <s v=" 00149 - Company profile page" u="1"/>
        <s v="00519  - Buyer - Portal Foundations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00054 - Tools - Indicators" u="1"/>
        <s v=" 01657 - Enhancement - Buyer Portal Foundations" u="1"/>
        <s v=" 00054 - Our Story" u="1"/>
        <s v="00001 - Enhanced Group Functionality (Site)" u="1"/>
        <s v="00541 - CSR - Dashboard" u="1"/>
        <s v=" 00366 - Buyer - Order Management" u="1"/>
        <s v=" 00065 - Permissions" u="1"/>
        <s v="00052 - Tools - CI Server" u="1"/>
        <s v=" | 00541 - CSR - Dashboard" u="1"/>
        <s v="01570 - Enhancement - Buyer Reports" u="1"/>
        <s v=" | 00008 - Homepage" u="1"/>
        <s v="00366 - Buyer - Order Management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00540 - Buyer - Dashboard" u="1"/>
        <s v=" 00017 - Investors" u="1"/>
        <s v=" 00057 - Tools - Sizing" u="1"/>
        <s v="00519 - Buyer - Portal Foundations" u="1"/>
        <s v="00691 - Liferay Workspace Maintenance and Improvements" u="1"/>
        <s v=" 00016 - Media Center" u="1"/>
        <s v="00420 - Buyer - Shipment Management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M | 00691 - Liferay Workspace Maintenance and Improvements" u="1"/>
        <s v=" 00056 - Tools - Worklogger" u="1"/>
        <s v="00065 - Roles Configuration" u="1"/>
        <s v="00002 - User Activity Tracking" u="1"/>
        <s v=" | 01429 - Enhancement - Buyer Order Management" u="1"/>
        <s v=" 00265 - Suppliers Section" u="1"/>
        <s v=" 00008 - Homepage" u="1"/>
        <s v=" 00054 - Our History" u="1"/>
        <s v="00056 - Sustainability" u="1"/>
        <s v=" | 00058 - Tools - Github" u="1"/>
        <s v=" 00005 - System Architecture" u="1"/>
        <s v=" | 01570 - Enhancement - Buyer Reports" u="1"/>
        <s v="M | 00110 - Prepare acceptance environment" u="1"/>
        <s v="00443 - Buyer views Customer and User Profiles" u="1"/>
        <s v="00443 - Buyer - Access Customer and User Profile Information" u="1"/>
      </sharedItems>
    </cacheField>
    <cacheField name="TASK_TYPE" numFmtId="0">
      <sharedItems containsNonDate="0" containsBlank="1" count="6">
        <m/>
        <s v="Dummy Feature" u="1"/>
        <s v="Bug" u="1"/>
        <s v="Task" u="1"/>
        <s v="Feature" u="1"/>
        <s v="BALLPARK - Demand" u="1"/>
      </sharedItems>
    </cacheField>
    <cacheField name="TASK_STATUS" numFmtId="0">
      <sharedItems containsNonDate="0" containsBlank="1" count="25">
        <m/>
        <s v="Queued for Review" u="1"/>
        <s v="Cancelled" u="1"/>
        <s v="Ready for UAT" u="1"/>
        <s v="In Progress" u="1"/>
        <s v="Complete" u="1"/>
        <s v="Reopened" u="1"/>
        <s v="Selected for Development" u="1"/>
        <s v="Deferred" u="1"/>
        <s v="Closed" u="1"/>
        <s v="Doing" u="1"/>
        <s v="Done" u="1"/>
        <s v="To Alpha Test" u="1"/>
        <s v="Open" u="1"/>
        <s v="Feature Reviewing" u="1"/>
        <s v="QAing" u="1"/>
        <s v="To Feature Review" u="1"/>
        <s v="To QA" u="1"/>
        <s v="In UAT" u="1"/>
        <s v="Ready for QA" u="1"/>
        <s v="Alpha Testing" u="1"/>
        <s v="Ready for Review" u="1"/>
        <s v="To Do" u="1"/>
        <s v="To UAT" u="1"/>
        <s v="In Review" u="1"/>
      </sharedItems>
    </cacheField>
    <cacheField name="TASK_NUM" numFmtId="0">
      <sharedItems containsNonDate="0" containsString="0" containsBlank="1" containsNumber="1" containsInteger="1" minValue="0" maxValue="3045" count="684">
        <m/>
        <n v="0" u="1"/>
        <n v="517" u="1"/>
        <n v="2027" u="1"/>
        <n v="25" u="1"/>
        <n v="1442" u="1"/>
        <n v="2853" u="1"/>
        <n v="352" u="1"/>
        <n v="1312" u="1"/>
        <n v="2593" u="1"/>
        <n v="174" u="1"/>
        <n v="583" u="1"/>
        <n v="450" u="1"/>
        <n v="1704" u="1"/>
        <n v="1639" u="1"/>
        <n v="1444" u="1"/>
        <n v="23" u="1"/>
        <n v="86" u="1"/>
        <n v="1314" u="1"/>
        <n v="320" u="1"/>
        <n v="2337" u="1"/>
        <n v="1054" u="1"/>
        <n v="584" u="1"/>
        <n v="353" u="1"/>
        <n v="2731" u="1"/>
        <n v="1316" u="1"/>
        <n v="21" u="1"/>
        <n v="1056" u="1"/>
        <n v="975" u="1"/>
        <n v="207" u="1"/>
        <n v="585" u="1"/>
        <n v="520" u="1"/>
        <n v="1643" u="1"/>
        <n v="2995" u="1"/>
        <n v="1448" u="1"/>
        <n v="1318" u="1"/>
        <n v="321" u="1"/>
        <n v="19" u="1"/>
        <n v="70" u="1"/>
        <n v="256" u="1"/>
        <n v="716" u="1"/>
        <n v="127" u="1"/>
        <n v="1775" u="1"/>
        <n v="1450" u="1"/>
        <n v="2349" u="1"/>
        <n v="2219" u="1"/>
        <n v="2089" u="1"/>
        <n v="17" u="1"/>
        <n v="63" u="1"/>
        <n v="717" u="1"/>
        <n v="175" u="1"/>
        <n v="652" u="1"/>
        <n v="2546" u="1"/>
        <n v="587" u="1"/>
        <n v="1842" u="1"/>
        <n v="1777" u="1"/>
        <n v="3003" u="1"/>
        <n v="1257" u="1"/>
        <n v="1192" u="1"/>
        <n v="1127" u="1"/>
        <n v="2093" u="1"/>
        <n v="257" u="1"/>
        <n v="913" u="1"/>
        <n v="2680" u="1"/>
        <n v="1974" u="1"/>
        <n v="1844" u="1"/>
        <n v="1779" u="1"/>
        <n v="355" u="1"/>
        <n v="1324" u="1"/>
        <n v="1194" u="1"/>
        <n v="2227" u="1"/>
        <n v="1" u="1"/>
        <n v="55" u="1"/>
        <n v="208" u="1"/>
        <n v="784" u="1"/>
        <n v="719" u="1"/>
        <n v="143" u="1"/>
        <n v="1261" u="1"/>
        <n v="2491" u="1"/>
        <n v="2231" u="1"/>
        <n v="258" u="1"/>
        <n v="915" u="1"/>
        <n v="192" u="1"/>
        <n v="525" u="1"/>
        <n v="1718" u="1"/>
        <n v="95" u="1"/>
        <n v="2885" u="1"/>
        <n v="1198" u="1"/>
        <n v="1068" u="1"/>
        <n v="47" u="1"/>
        <n v="176" u="1"/>
        <n v="2692" u="1"/>
        <n v="2432" u="1"/>
        <n v="2172" u="1"/>
        <n v="1850" u="1"/>
        <n v="389" u="1"/>
        <n v="1265" u="1"/>
        <n v="2369" u="1"/>
        <n v="2239" u="1"/>
        <n v="1070" u="1"/>
        <n v="259" u="1"/>
        <n v="225" u="1"/>
        <n v="722" u="1"/>
        <n v="2696" u="1"/>
        <n v="43" u="1"/>
        <n v="2047" u="1"/>
        <n v="1917" u="1"/>
        <n v="1852" u="1"/>
        <n v="1527" u="1"/>
        <n v="2633" u="1"/>
        <n v="1267" u="1"/>
        <n v="2373" u="1"/>
        <n v="2113" u="1"/>
        <n v="788" u="1"/>
        <n v="723" u="1"/>
        <n v="2830" u="1"/>
        <n v="2700" u="1"/>
        <n v="2570" u="1"/>
        <n v="39" u="1"/>
        <n v="593" u="1"/>
        <n v="144" u="1"/>
        <n v="455" u="1"/>
        <n v="2377" u="1"/>
        <n v="1139" u="1"/>
        <n v="71" u="1"/>
        <n v="2117" u="1"/>
        <n v="854" u="1"/>
        <n v="2964" u="1"/>
        <n v="35" u="1"/>
        <n v="128" u="1"/>
        <n v="1986" u="1"/>
        <n v="488" u="1"/>
        <n v="1661" u="1"/>
        <n v="3031" u="1"/>
        <n v="1271" u="1"/>
        <n v="293" u="1"/>
        <n v="855" u="1"/>
        <n v="177" u="1"/>
        <n v="120" u="1"/>
        <n v="1858" u="1"/>
        <n v="456" u="1"/>
        <n v="2905" u="1"/>
        <n v="1338" u="1"/>
        <n v="226" u="1"/>
        <n v="856" u="1"/>
        <n v="2842" u="1"/>
        <n v="161" u="1"/>
        <n v="596" u="1"/>
        <n v="489" u="1"/>
        <n v="1860" u="1"/>
        <n v="1535" u="1"/>
        <n v="359" u="1"/>
        <n v="294" u="1"/>
        <n v="2129" u="1"/>
        <n v="2976" u="1"/>
        <n v="2846" u="1"/>
        <n v="2716" u="1"/>
        <n v="145" u="1"/>
        <n v="1732" u="1"/>
        <n v="104" u="1"/>
        <n v="2783" u="1"/>
        <n v="1212" u="1"/>
        <n v="2133" u="1"/>
        <n v="262" u="1"/>
        <n v="858" u="1"/>
        <n v="194" u="1"/>
        <n v="598" u="1"/>
        <n v="1994" u="1"/>
        <n v="490" u="1"/>
        <n v="425" u="1"/>
        <n v="1669" u="1"/>
        <n v="360" u="1"/>
        <n v="295" u="1"/>
        <n v="794" u="1"/>
        <n v="2464" u="1"/>
        <n v="1996" u="1"/>
        <n v="458" u="1"/>
        <n v="1736" u="1"/>
        <n v="1606" u="1"/>
        <n v="1476" u="1"/>
        <n v="88" u="1"/>
        <n v="328" u="1"/>
        <n v="1151" u="1"/>
        <n v="227" u="1"/>
        <n v="860" u="1"/>
        <n v="2468" u="1"/>
        <n v="535" u="1"/>
        <n v="491" u="1"/>
        <n v="1868" u="1"/>
        <n v="1803" u="1"/>
        <n v="361" u="1"/>
        <n v="1348" u="1"/>
        <n v="80" u="1"/>
        <n v="1218" u="1"/>
        <n v="296" u="1"/>
        <n v="1088" u="1"/>
        <n v="211" u="1"/>
        <n v="2862" u="1"/>
        <n v="2732" u="1"/>
        <n v="2342" u="1"/>
        <n v="146" u="1"/>
        <n v="536" u="1"/>
        <n v="1480" u="1"/>
        <n v="1415" u="1"/>
        <n v="329" u="1"/>
        <n v="72" u="1"/>
        <n v="264" u="1"/>
        <n v="2216" u="1"/>
        <n v="537" u="1"/>
        <n v="492" u="1"/>
        <n v="1417" u="1"/>
        <n v="297" u="1"/>
        <n v="64" u="1"/>
        <n v="244" u="1"/>
        <n v="179" u="1"/>
        <n v="603" u="1"/>
        <n v="1874" u="1"/>
        <n v="330" u="1"/>
        <n v="265" u="1"/>
        <n v="60" u="1"/>
        <n v="228" u="1"/>
        <n v="2094" u="1"/>
        <n v="493" u="1"/>
        <n v="1876" u="1"/>
        <n v="1746" u="1"/>
        <n v="363" u="1"/>
        <n v="1421" u="1"/>
        <n v="1291" u="1"/>
        <n v="56" u="1"/>
        <n v="800" u="1"/>
        <n v="2878" u="1"/>
        <n v="670" u="1"/>
        <n v="2098" u="1"/>
        <n v="1878" u="1"/>
        <n v="461" u="1"/>
        <n v="1423" u="1"/>
        <n v="331" u="1"/>
        <n v="2555" u="1"/>
        <n v="2425" u="1"/>
        <n v="266" u="1"/>
        <n v="52" u="1"/>
        <n v="801" u="1"/>
        <n v="196" u="1"/>
        <n v="736" u="1"/>
        <n v="2362" u="1"/>
        <n v="2232" u="1"/>
        <n v="541" u="1"/>
        <n v="494" u="1"/>
        <n v="97" u="1"/>
        <n v="2169" u="1"/>
        <n v="245" u="1"/>
        <n v="802" u="1"/>
        <n v="48" u="1"/>
        <n v="2886" u="1"/>
        <n v="180" u="1"/>
        <n v="672" u="1"/>
        <n v="462" u="1"/>
        <n v="1687" u="1"/>
        <n v="1622" u="1"/>
        <n v="397" u="1"/>
        <n v="2823" u="1"/>
        <n v="332" u="1"/>
        <n v="1297" u="1"/>
        <n v="2563" u="1"/>
        <n v="1102" u="1"/>
        <n v="2173" u="1"/>
        <n v="44" u="1"/>
        <n v="2630" u="1"/>
        <n v="495" u="1"/>
        <n v="2957" u="1"/>
        <n v="365" u="1"/>
        <n v="2827" u="1"/>
        <n v="1364" u="1"/>
        <n v="2697" u="1"/>
        <n v="81" u="1"/>
        <n v="213" u="1"/>
        <n v="804" u="1"/>
        <n v="40" u="1"/>
        <n v="2114" u="1"/>
        <n v="2016" u="1"/>
        <n v="73" u="1"/>
        <n v="805" u="1"/>
        <n v="2638" u="1"/>
        <n v="36" u="1"/>
        <n v="545" u="1"/>
        <n v="2118" u="1"/>
        <n v="2018" u="1"/>
        <n v="1563" u="1"/>
        <n v="1238" u="1"/>
        <n v="2445" u="1"/>
        <n v="1173" u="1"/>
        <n v="1043" u="1"/>
        <n v="65" u="1"/>
        <n v="246" u="1"/>
        <n v="806" u="1"/>
        <n v="2020" u="1"/>
        <n v="32" u="1"/>
        <n v="334" u="1"/>
        <n v="1240" u="1"/>
        <n v="269" u="1"/>
        <n v="1045" u="1"/>
        <n v="230" u="1"/>
        <n v="547" u="1"/>
        <n v="30" u="1"/>
        <n v="1697" u="1"/>
        <n v="367" u="1"/>
        <n v="1307" u="1"/>
        <n v="2453" u="1"/>
        <n v="302" u="1"/>
        <n v="1177" u="1"/>
        <n v="214" u="1"/>
        <n v="808" u="1"/>
        <n v="678" u="1"/>
        <n v="2390" u="1"/>
        <n v="2130" u="1"/>
        <n v="2024" u="1"/>
        <n v="28" u="1"/>
        <n v="1504" u="1"/>
        <n v="2977" u="1"/>
        <n v="1309" u="1"/>
        <n v="270" u="1"/>
        <n v="198" u="1"/>
        <n v="549" u="1"/>
        <n v="1766" u="1"/>
        <n v="26" u="1"/>
        <n v="2591" u="1"/>
        <n v="2461" u="1"/>
        <n v="1181" u="1"/>
        <n v="1005" u="1"/>
        <n v="247" u="1"/>
        <n v="2918" u="1"/>
        <n v="2028" u="1"/>
        <n v="401" u="1"/>
        <n v="1508" u="1"/>
        <n v="24" u="1"/>
        <n v="90" u="1"/>
        <n v="1183" u="1"/>
        <n v="2205" u="1"/>
        <n v="271" u="1"/>
        <n v="231" u="1"/>
        <n v="166" u="1"/>
        <n v="1575" u="1"/>
        <n v="369" u="1"/>
        <n v="22" u="1"/>
        <n v="2599" u="1"/>
        <n v="82" u="1"/>
        <n v="1250" u="1"/>
        <n v="1007" u="1"/>
        <n v="215" u="1"/>
        <n v="150" u="1"/>
        <n v="1967" u="1"/>
        <n v="2993" u="1"/>
        <n v="2733" u="1"/>
        <n v="1317" u="1"/>
        <n v="20" u="1"/>
        <n v="74" u="1"/>
        <n v="2213" u="1"/>
        <n v="272" u="1"/>
        <n v="1057" u="1"/>
        <n v="2997" u="1"/>
        <n v="370" u="1"/>
        <n v="2737" u="1"/>
        <n v="1254" u="1"/>
        <n v="305" u="1"/>
        <n v="2347" u="1"/>
        <n v="2217" u="1"/>
        <n v="18" u="1"/>
        <n v="2934" u="1"/>
        <n v="554" u="1"/>
        <n v="1841" u="1"/>
        <n v="403" u="1"/>
        <n v="1451" u="1"/>
        <n v="1256" u="1"/>
        <n v="1191" u="1"/>
        <n v="2091" u="1"/>
        <n v="16" u="1"/>
        <n v="232" u="1"/>
        <n v="167" u="1"/>
        <n v="115" u="1"/>
        <n v="371" u="1"/>
        <n v="2875" u="1"/>
        <n v="1323" u="1"/>
        <n v="2485" u="1"/>
        <n v="306" u="1"/>
        <n v="2225" u="1"/>
        <n v="2095" u="1"/>
        <n v="15" u="1"/>
        <n v="57" u="1"/>
        <n v="2682" u="1"/>
        <n v="2552" u="1"/>
        <n v="107" u="1"/>
        <n v="2489" u="1"/>
        <n v="1195" u="1"/>
        <n v="2359" u="1"/>
        <n v="1065" u="1"/>
        <n v="14" u="1"/>
        <n v="53" u="1"/>
        <n v="2426" u="1"/>
        <n v="2042" u="1"/>
        <n v="1847" u="1"/>
        <n v="372" u="1"/>
        <n v="2883" u="1"/>
        <n v="1262" u="1"/>
        <n v="1013" u="1"/>
        <n v="249" u="1"/>
        <n v="818" u="1"/>
        <n v="13" u="1"/>
        <n v="49" u="1"/>
        <n v="753" u="1"/>
        <n v="184" u="1"/>
        <n v="688" u="1"/>
        <n v="2560" u="1"/>
        <n v="1784" u="1"/>
        <n v="405" u="1"/>
        <n v="1264" u="1"/>
        <n v="2237" u="1"/>
        <n v="275" u="1"/>
        <n v="233" u="1"/>
        <n v="12" u="1"/>
        <n v="45" u="1"/>
        <n v="2694" u="1"/>
        <n v="168" u="1"/>
        <n v="503" u="1"/>
        <n v="1981" u="1"/>
        <n v="1851" u="1"/>
        <n v="1526" u="1"/>
        <n v="3021" u="1"/>
        <n v="373" u="1"/>
        <n v="1396" u="1"/>
        <n v="1331" u="1"/>
        <n v="83" u="1"/>
        <n v="1266" u="1"/>
        <n v="308" u="1"/>
        <n v="217" u="1"/>
        <n v="820" u="1"/>
        <n v="11" u="1"/>
        <n v="41" u="1"/>
        <n v="152" u="1"/>
        <n v="2048" u="1"/>
        <n v="1788" u="1"/>
        <n v="406" u="1"/>
        <n v="341" u="1"/>
        <n v="2635" u="1"/>
        <n v="1268" u="1"/>
        <n v="1203" u="1"/>
        <n v="2375" u="1"/>
        <n v="75" u="1"/>
        <n v="276" u="1"/>
        <n v="2115" u="1"/>
        <n v="2962" u="1"/>
        <n v="691" u="1"/>
        <n v="2702" u="1"/>
        <n v="10" u="1"/>
        <n v="37" u="1"/>
        <n v="136" u="1"/>
        <n v="2052" u="1"/>
        <n v="1985" u="1"/>
        <n v="1920" u="1"/>
        <n v="1855" u="1"/>
        <n v="374" u="1"/>
        <n v="2899" u="1"/>
        <n v="1270" u="1"/>
        <n v="2379" u="1"/>
        <n v="67" u="1"/>
        <n v="822" u="1"/>
        <n v="9" u="1"/>
        <n v="33" u="1"/>
        <n v="1987" u="1"/>
        <n v="1922" u="1"/>
        <n v="1857" u="1"/>
        <n v="407" u="1"/>
        <n v="1272" u="1"/>
        <n v="234" u="1"/>
        <n v="2710" u="1"/>
        <n v="169" u="1"/>
        <n v="2450" u="1"/>
        <n v="1989" u="1"/>
        <n v="8" u="1"/>
        <n v="1859" u="1"/>
        <n v="1729" u="1"/>
        <n v="1534" u="1"/>
        <n v="375" u="1"/>
        <n v="1019" u="1"/>
        <n v="954" u="1"/>
        <n v="218" u="1"/>
        <n v="824" u="1"/>
        <n v="2454" u="1"/>
        <n v="1861" u="1"/>
        <n v="408" u="1"/>
        <n v="1211" u="1"/>
        <n v="1020" u="1"/>
        <n v="760" u="1"/>
        <n v="1993" u="1"/>
        <n v="1863" u="1"/>
        <n v="7" u="1"/>
        <n v="1668" u="1"/>
        <n v="3045" u="1"/>
        <n v="376" u="1"/>
        <n v="1473" u="1"/>
        <n v="2395" u="1"/>
        <n v="956" u="1"/>
        <n v="566" u="1"/>
        <n v="1995" u="1"/>
        <n v="474" u="1"/>
        <n v="1670" u="1"/>
        <n v="1475" u="1"/>
        <n v="344" u="1"/>
        <n v="235" u="1"/>
        <n v="892" u="1"/>
        <n v="632" u="1"/>
        <n v="2336" u="1"/>
        <n v="567" u="1"/>
        <n v="1997" u="1"/>
        <n v="1737" u="1"/>
        <n v="377" u="1"/>
        <n v="6" u="1"/>
        <n v="2273" u="1"/>
        <n v="1023" u="1"/>
        <n v="219" u="1"/>
        <n v="2990" u="1"/>
        <n v="2860" u="1"/>
        <n v="633" u="1"/>
        <n v="568" u="1"/>
        <n v="1414" u="1"/>
        <n v="1349" u="1"/>
        <n v="2537" u="1"/>
        <n v="2407" u="1"/>
        <n v="76" u="1"/>
        <n v="280" u="1"/>
        <n v="1089" u="1"/>
        <n v="829" u="1"/>
        <n v="2864" u="1"/>
        <n v="2734" u="1"/>
        <n v="634" u="1"/>
        <n v="2214" u="1"/>
        <n v="138" u="1"/>
        <n v="2001" u="1"/>
        <n v="1871" u="1"/>
        <n v="378" u="1"/>
        <n v="2541" u="1"/>
        <n v="68" u="1"/>
        <n v="830" u="1"/>
        <n v="765" u="1"/>
        <n v="2348" u="1"/>
        <n v="2218" u="1"/>
        <n v="476" u="1"/>
        <n v="1873" u="1"/>
        <n v="1548" u="1"/>
        <n v="2935" u="1"/>
        <n v="1418" u="1"/>
        <n v="346" u="1"/>
        <n v="62" u="1"/>
        <n v="236" u="1"/>
        <n v="171" u="1"/>
        <n v="2092" u="1"/>
        <n v="509" u="1"/>
        <n v="1875" u="1"/>
        <n v="444" u="1"/>
        <n v="379" u="1"/>
        <n v="2939" u="1"/>
        <n v="1420" u="1"/>
        <n v="2679" u="1"/>
        <n v="1290" u="1"/>
        <n v="1030" u="1"/>
        <n v="58" u="1"/>
        <n v="220" u="1"/>
        <n v="832" u="1"/>
        <n v="2486" u="1"/>
        <n v="2096" u="1"/>
        <n v="1877" u="1"/>
        <n v="412" u="1"/>
        <n v="347" u="1"/>
        <n v="1292" u="1"/>
        <n v="54" u="1"/>
        <n v="3010" u="1"/>
        <n v="2880" u="1"/>
        <n v="2230" u="1"/>
        <n v="510" u="1"/>
        <n v="1879" u="1"/>
        <n v="445" u="1"/>
        <n v="1684" u="1"/>
        <n v="101" u="1"/>
        <n v="380" u="1"/>
        <n v="2167" u="1"/>
        <n v="834" u="1"/>
        <n v="50" u="1"/>
        <n v="188" u="1"/>
        <n v="2364" u="1"/>
        <n v="2104" u="1"/>
        <n v="478" u="1"/>
        <n v="1751" u="1"/>
        <n v="1491" u="1"/>
        <n v="1426" u="1"/>
        <n v="1296" u="1"/>
        <n v="2431" u="1"/>
        <n v="283" u="1"/>
        <n v="2171" u="1"/>
        <n v="965" u="1"/>
        <n v="46" u="1"/>
        <n v="172" u="1"/>
        <n v="511" u="1"/>
        <n v="446" u="1"/>
        <n v="1558" u="1"/>
        <n v="381" u="1"/>
        <n v="1493" u="1"/>
        <n v="1428" u="1"/>
        <n v="85" u="1"/>
        <n v="316" u="1"/>
        <n v="221" u="1"/>
        <n v="836" u="1"/>
        <n v="3" u="1"/>
        <n v="42" u="1"/>
        <n v="156" u="1"/>
        <n v="576" u="1"/>
        <n v="1755" u="1"/>
        <n v="2959" u="1"/>
        <n v="349" u="1"/>
        <n v="77" u="1"/>
        <n v="2049" u="1"/>
        <n v="902" u="1"/>
        <n v="707" u="1"/>
        <n v="38" u="1"/>
        <n v="140" u="1"/>
        <n v="2116" u="1"/>
        <n v="512" u="1"/>
        <n v="2017" u="1"/>
        <n v="447" u="1"/>
        <n v="1692" u="1"/>
        <n v="2703" u="1"/>
        <n v="1172" u="1"/>
        <n v="69" u="1"/>
        <n v="254" u="1"/>
        <n v="903" u="1"/>
        <n v="578" u="1"/>
        <n v="34" u="1"/>
        <n v="513" u="1"/>
        <n v="2019" u="1"/>
        <n v="126" u="1"/>
        <n v="2057" u="1"/>
        <n v="904" u="1"/>
        <n v="839" u="1"/>
        <n v="3034" u="1"/>
        <n v="2904" u="1"/>
        <n v="514" u="1"/>
        <n v="2021" u="1"/>
        <n v="31" u="1"/>
        <n v="1891" u="1"/>
        <n v="118" u="1"/>
        <n v="448" u="1"/>
        <n v="1761" u="1"/>
        <n v="2711" u="1"/>
        <n v="318" u="1"/>
        <n v="905" u="1"/>
        <n v="222" u="1"/>
        <n v="710" u="1"/>
        <n v="645" u="1"/>
        <n v="157" u="1"/>
        <n v="580" u="1"/>
        <n v="515" u="1"/>
        <n v="2023" u="1"/>
        <n v="2" u="1"/>
        <n v="481" u="1"/>
        <n v="29" u="1"/>
        <n v="110" u="1"/>
        <n v="416" u="1"/>
        <n v="351" u="1"/>
        <n v="2455" u="1"/>
        <n v="286" u="1"/>
        <n v="1113" u="1"/>
        <n v="2195" u="1"/>
        <n v="971" u="1"/>
        <n v="906" u="1"/>
        <n v="206" u="1"/>
        <n v="141" u="1"/>
        <n v="2025" u="1"/>
        <n v="27" u="1"/>
        <n v="102" u="1"/>
        <n v="384" u="1"/>
        <n v="1440" u="1"/>
        <n v="2719" u="1"/>
        <n v="319" u="1"/>
        <n v="1180" u="1"/>
        <n v="255" u="1"/>
        <n v="907" u="1"/>
      </sharedItems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3020">
        <m/>
        <s v="Bug |  01307 - BIT-90 Report Landing Page- Open Order Status Report- remove parameters from selection screen" u="1"/>
        <s v="Feature | 00014 - Capture user info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Feature | 00101 - Landing page" u="1"/>
        <s v="Bug | 01563 - SAP Order 541116 Missing" u="1"/>
        <s v="Feature |  | 00333 - Notes create/edit - CSR view" u="1"/>
        <s v="Bug |  01878 - 218 (BDT) Theme My Company Locations Font Color" u="1"/>
        <s v="Feature | 00351 - As a buyer, I can select a customer location or locations and this context will be kept until I select another combination of location(s), so that I can see information from a customer-centric view" u="1"/>
        <s v="Feature | 00455 - Media &gt; Overview" u="1"/>
        <s v="Feature |  00275 - Products / Items - Status Filters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01704 - Mobile and Tablet View of Orders  is not aligned correctly " u="1"/>
        <s v="Task |  00044 - BEMISCP-11 When to onboard new customer - What to do when onboarding new cust" u="1"/>
        <s v="Feature | 00235 - Building Solutions" u="1"/>
        <s v="Feature | 00802 - List Releases of specifc Order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Bug | 02167 - 319 (BDT) Negative Scheduled Releases 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00107 - Buyer - Shipments landing page" u="1"/>
        <s v="Feature |  | 00375 - Buyer - Reports Landing Page" u="1"/>
        <s v="Feature | 00107  - Buyer - Shipments landing page" u="1"/>
        <s v="Feature | 02853 - Upgrade liferay bundle to DE fix-pack 13" u="1"/>
        <s v="Bug | 01043 - Issues within IPS PROD at this time that need to be cleared up." u="1"/>
        <s v="Task |  | 00514 - Research &amp; Apply URL Rewrite for URL containing String .aspx" u="1"/>
        <s v="Feature | 00378 - Generate Inventory Reports" u="1"/>
        <s v="Bug | 01324 - BIT-134 Hide Edit options that Buyers do not have access to " u="1"/>
        <s v="Task |  | 00279 - [Mudança review sprint 05] Criar uma aba (Aprovações/Comentários) para agrupar as Atividades e Comentários. Na tela de detalhe do candidato" u="1"/>
        <s v="Feature | 00370 - Order updates from IBB" u="1"/>
        <s v="Feature |  | 02864 - CR45 - Shipment Deletes" u="1"/>
        <s v="Feature | 02702 - 417 (BDT) - Consignment Overstated Shipped Qty on Orders Pg" u="1"/>
        <s v="Task |  00384 - Setup Bemis Development Infrastructure" u="1"/>
        <s v="Task | 00384 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Task | 00266 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Feature | 00254 - View/Edit my User Profile.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02455 - 377 (BDT) - Releases and Shipment Report- date parameters and page view parameter requirednes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Bug | 01448 - BIT-154 User Agreement Link does not display for Buyers" u="1"/>
        <s v="Feature | 02976 - Source System Deletes - CR50 and CR51" u="1"/>
        <s v="Bug | 01195 -  Icons do not display properly on the Global Search Results Page" u="1"/>
        <s v="Feature | 00017 - Workflows Customizations" u="1"/>
        <s v="Feature |  | 00020 - Asset publisher layout" u="1"/>
        <s v="Feature | 00260 - Buyer -  View Release PO on Expanded Shipment View" u="1"/>
        <s v="Bug | 00836 - Logon with incorrect password doesn't fail immediately with 2FA enabled" u="1"/>
        <s v="Task | 00641 - Apple and verify fix for CEMEX-15" u="1"/>
        <s v="Task | 00015 - BEMISCP-11 Use Case: Workflow - Reject Shipment" u="1"/>
        <s v="Bug | 02432 - 366 (BDT) - Releases page- mobile missing ship to info" u="1"/>
        <s v="Bug |  | 02546 - 388 (BDT) - Inventory Pg Standard Pallet Qty Rounding Issue" u="1"/>
        <s v="Bug | 02485 - 380 (BDT) - Documents functionality missing add Basic Document" u="1"/>
        <s v="Bug | 02995 - 490 BDT - Invoice or BOL link on completed shipments subpage does not work" u="1"/>
        <s v="Bug | 00175 - Sprint 2 minor fixes" u="1"/>
        <s v="Task | 00001 - Request SSL Certificate from Cemex for new website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Bug | 00156 - Test to Done" u="1"/>
        <s v="Task |  00095 - SMS Spec Detail" u="1"/>
        <s v="Bug |  02964 - 487 (BDT) - Issues with ship to filter" u="1"/>
        <s v="Task | 00503 - WS Commons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0255 - Shipment History" u="1"/>
        <s v="Feature |  02864 - CR45 - Shipment Deletes" u="1"/>
        <s v="Bug | 02205 - 315 (BDT) - Hyperlinks not working on shipments page for Carrier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Feature | 00212 - View Customer logo on the dashboard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Task | 00462 - Patching does not work on Windows" u="1"/>
        <s v="Bug |  01746 - Duplicate fields displayed on the Completed Shipments tab" u="1"/>
        <s v="Bug |  | 00855 - Orders Page - Marshal Orders with NULL Statuses Displayed" u="1"/>
        <s v="Task | 00632 - Build new QA environment.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Feature | 00537 - Link from Portal Logo" u="1"/>
        <s v="Bug |  | 01641 - Menu não exibe os submenus" u="1"/>
        <s v="Bug |  | 01267 - Cancel button on Locations filter does not work " u="1"/>
        <s v="Bug |  02019 - 266 (BDT) - Iphone view of welcome page- order of pages " u="1"/>
        <s v="Task | 00192 - Final Approval of the Inventory Landing Page Visual Mockup" u="1"/>
        <s v="Bug |  02195 - 311 (BDT) - ERC 649A- Orders Page- report on main page has been incorrectly replaced" u="1"/>
        <s v="Feature | 00104 - Item Detail page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Bug | 03191 - BDT 597- Production issue- internal user being asked to validate device " u="1"/>
        <s v="Task |  00064 - BEMISCP-11 CSR hierarchy" u="1"/>
        <s v="Feature | 00175 - Buyer View of Order Report" u="1"/>
        <s v="Bug | 00954 - Import of Organizations fails due to a NoSuchListTypeException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Bug | 03059 - 532 BDT - Search Box on order screen not allowing entry" u="1"/>
        <s v="Feature | 00198 - (UX) As a CSR, I can view a list of customers and select one or more, so that I can selectively view information pertaining to a specific customer or sub-organization within the customer." u="1"/>
        <s v="Bug | 00379 - Adjust layout of stock ticker in different screen sizes" u="1"/>
        <s v="Task | 01803 - QA Deployment Documentation" u="1"/>
        <s v="Bug |  01316 - All Reports- Default Column Fields " u="1"/>
        <s v="Task |  00319 - [Ajuste na tela de edição de solicitação de visto]: Alterar a navegação atual utilizando o conceito de abas. " u="1"/>
        <s v="Feature | 00346 - Create page to show on-hand quantity for product in order detail." u="1"/>
        <s v="Task |  00020 - Create Google Local Environment" u="1"/>
        <s v="Feature |  00537 - Link from Portal Logo" u="1"/>
        <s v="Bug |  | 02694 - ORM exceptions for Inventory data sync " u="1"/>
        <s v="Bug | 03087 - 549 BDT - Connectivity Issues" u="1"/>
        <s v="Feature | 01180 - Updates to Bemis Portal Navigation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Bug | 02057 - 283 (BDT) - Scheduled Releases Sub-Page Line# Contains Leading Zeroes 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02997 - Check latest versions of image magick and ghost script are in the repository" u="1"/>
        <s v="Feature |  | 00218 - Customer site template" u="1"/>
        <s v="Feature | 00140 - Country micro site single page" u="1"/>
        <s v="Task | 00511 - Identify .lpkg files in default bundle which we don't need to speepup the initial Tomcat start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00266 - Suppliers Overview" u="1"/>
        <s v="Task | 00637 - Apply and verify fix for CEMEX-13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Feature | 00262 - On-Hand Inventory View for a specific item" u="1"/>
        <s v="Bug | 03081 - 542 (BDT) - The page was not displayed because the Request URI is too long.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01922 - Standard Pallet Qty should be N/A when batch line Pallet amount is N/A" u="1"/>
        <s v="Task |  00065 - BEMISCP-11 Custom reports investigation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Task | 00403 - Add Basic auth for QA environment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Feature | 00006 - Add version" u="1"/>
        <s v="Task | 00667 - Apply ADT fix for FP 15" u="1"/>
        <s v="Task | 00064 - BEMISCP-11 CSR hierarchy" u="1"/>
        <s v="Feature |  | 02560 - 424 (BDT) - Change password policy verbiage for external users" u="1"/>
        <s v="Bug | 01449 - Descriptions are not showing 40 characters before ellipses " u="1"/>
        <s v="Bug |  | 01643 - País está sendo informando como obrigatório no cadastro de fornecedor" u="1"/>
        <s v="Bug | 02017 - 264 (BDT) - Viewing documents on mobile device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Feature | 00006 - Create docker image for Elasticsearch" u="1"/>
        <s v="Bug |  | 00175 - Sprint 2 minor fixes" u="1"/>
        <s v="Feature | 02875 - Deployment Documentation " u="1"/>
        <s v="Bug |  | 01746 - Duplicate fields displayed on the Completed Shipments tab" u="1"/>
        <s v="Task |  00039 - BEMISCP-11 Entitlements - Logistics (reject shipment) - WF Form" u="1"/>
        <s v="Bug |  | 01877 - 217 (BDT) Theme- upload document screen- blue bar theme updates " u="1"/>
        <s v="Task |  00027 - BEMISCP-11 Reports - Partial Pallets, Pending Releases (date/value)" u="1"/>
        <s v="Bug |  02117 - 303 (BDT) - Releases page in page wildcard search on description" u="1"/>
        <s v="Feature |  00018 - Create Google CI" u="1"/>
        <s v="Task |  00075 - Customer Portal and Make-to-Stock (MTS) | Due Date: 8/12/16" u="1"/>
        <s v="Feature | 00027 - Synchronize User Information" u="1"/>
        <s v="Task |  | 00584 - Make the user Jose Alberto as a site admin" u="1"/>
        <s v="Feature | 00081 - Map internal Users to Roles and Groups" u="1"/>
        <s v="Bug | 01194 - 'Show More' link missing from Report description" u="1"/>
        <s v="Bug | 02172 - 309 (BDT) - Orders page- iphone view details UOM Confirmed qtty crowding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Feature | 00059 - One Click Deploy V2" u="1"/>
        <s v="Bug |  | 02885 - (BDT 467) - Releases and Shipments do not display for new customer setup " u="1"/>
        <s v="Feature | 00218 - Customer site template" u="1"/>
        <s v="Bug |  | 01030 - Add open condition to Search Orders" u="1"/>
        <s v="Task |  | 00670 - Update Email templates" u="1"/>
        <s v="Feature | 00256 - Buyer View of Customer Profile" u="1"/>
        <s v="Feature | 03134 - ShipTo Filter - change defaults and text." u="1"/>
        <s v="Feature |  00055 - Access shipper's website clicking shipper's name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Dummy Feature |  00000 - Dummy Feature of  00538 - Buyer - Reports" u="1"/>
        <s v="Bug | 03290 - BDT625 - Ellipse Tooltip and Menu overlap (z-index) UI bug" u="1"/>
        <s v="Feature |  00513 - Release Search" u="1"/>
        <s v="Feature | 00513  - Release Search" u="1"/>
        <s v="Feature | 00099 - MySQL Jira Database Replica" u="1"/>
        <s v="Task | 00596 - Anchor tags not working for some pages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Bug | 03292 - Control Pantl Menu icon is not visible for Internal users on first-time login" u="1"/>
        <s v="Feature |  00226 - Filter Orders by user Locations" u="1"/>
        <s v="Feature | 00226  - Filter Orders by user Locations" u="1"/>
        <s v="Task |  00035 - BEMISCP-11 Notifications - Timelines, triggers, messages, templates, internal vs email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01212 - Clicking on Shipped Qty or Scheduled Releases throws an error" u="1"/>
        <s v="Bug |  02104 - 294 (BDT) - Invoice report iphone and ipad hyperlinks in preview and report" u="1"/>
        <s v="Feature | 00013 - Footer" u="1"/>
        <s v="Feature | 00361 - Footer" u="1"/>
        <s v="Task | 00039 - BEMISCP-11 Entitlements - Logistics (reject shipment) - WF Form" u="1"/>
        <s v="Bug |  | 01729 - Error on Report Definition Control Panel when editing " u="1"/>
        <s v="Bug | 01065 - Theme display in Bemis QA is not correct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01871 - Exceptions in LAR imports for Site Templat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02731 - 427 (BDT) - Shipments Pg Floating Text, Not on Card" u="1"/>
        <s v="Task | 00266 - Create data sync process to bulk upload data from IBB" u="1"/>
        <s v="Bug | 03332 - Global Search - Possible exception when entry not in DB." u="1"/>
        <s v="Bug |  01995 - 257 (BDT) - Orders page- mobile footer cutting off fields" u="1"/>
        <s v="Bug | 00568 - Publishing via PROD ELB is failing" u="1"/>
        <s v="Task |  | 00537 - If remote staging host becomes unavailable, staging portal becomes unusable" u="1"/>
        <s v="Bug | 01183 - Reports Landing Page - Report Header is not aligned properly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Feature | 00513 - Release Search" u="1"/>
        <s v="Feature | 00172 - Debt Information" u="1"/>
        <s v="Task |  01102 - Export to SIMPS enhancements required" u="1"/>
        <s v="Feature | 00448 - CSR - Search for All User Profiles" u="1"/>
        <s v="Feature | 00167 - Add behavior to concrete incubator link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Bug | 02024 - 247 (BDT) - Inventory Delete Functionality - Old Inventory data showing on Screen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Bug | 01875 - 214 (BDT)Theme test- excel logo wrong color and font spacing incorrect" u="1"/>
        <s v="Bug | 03151 - 576  BDT - Log in page in Chrome blurry" u="1"/>
        <s v="Task |  00539 - [Mudança hisoria SIGEX-110]: Sistema deve informar quem abriu o processo de contrataçao." u="1"/>
        <s v="Feature |  00213 - Pending notifications counter" u="1"/>
        <s v="Feature |  00031 - Investor Center - Stock portlet" u="1"/>
        <s v="Bug |  01270 - Column picks disappear in report form" u="1"/>
        <s v="Bug |  | 01195 -  Icons do not display properly on the Global Search Results Page" u="1"/>
        <s v="Bug | 03079 - Ship to filter Cancel and Search Box not working as designed (BDT 539)" u="1"/>
        <s v="Bug |  01307 - Report Landing Page- Open Order Status Report- remove parameters from selection screen" u="1"/>
        <s v="Bug | 00753 - Fix Gradle theme build " u="1"/>
        <s v="Feature | 00272 - Browse User Profile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01192 - BIT-135 Search in Locations filter fails when no location match is found  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00177 - Stories page without footer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Feature | 00226 - Filter Orders by user Locations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Feature | 00294 - As a buyer, I can view invoice related report(s) from the Reports landing page, so that I can review reports on my invoices" u="1"/>
        <s v="Bug |  02732 - 424 (BDT) - Password Policy verbiage changes" u="1"/>
        <s v="Feature | 00055 - Access shipper's website clicking shipper's name" u="1"/>
        <s v="Task | 00589 - Review page structure and templates" u="1"/>
        <s v="Bug |  01139 - Padding issues with left nav menu" u="1"/>
        <s v="Feature |  00167 - Add behaviour to concrete incubator link" u="1"/>
        <s v="Bug | 03170 - Mars Inventory Total Location Qty UOM Incorrect (BDT 588)" u="1"/>
        <s v="Bug |  | 02734 - BDT 430 Reports are not downloading and refreshing automatically" u="1"/>
        <s v="Feature | 00535 - User Profile Dropdown" u="1"/>
        <s v="Bug | 01788 - Document Preview does not work 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Feature | 00104 - Jenkins permissions" u="1"/>
        <s v="Bug | 02593 - Report Preview UI issues " u="1"/>
        <s v="Feature | 00233 - Calculation on landing page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Bug | 02591 - ORM exceptions for Customer Location data sync " u="1"/>
        <s v="Feature |  | 00242 - Link Product Id in Orders Detail to Product Spec Page." u="1"/>
        <s v="Bug | 01267 - Cancel button on Locations filter does not work " u="1"/>
        <s v="Bug | 02089 - 261 (BDT) - Missing Open Scheduled Release Info" u="1"/>
        <s v="Bug | 02091 - 268 (BDT) - Missing Open Scheduled Release Info" u="1"/>
        <s v="Bug |  02935 - Documents page- title running off of screen box" u="1"/>
        <s v="Bug | 03248 - 618 BDT - Portal Passwords display in plain text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00143 - Potential security vulnerability related to Apache Struts version 2.3.32 / 2.5.10.1 or later" u="1"/>
        <s v="Bug |  | 02347 - Unable to generate reports against SSRS" u="1"/>
        <s v="Task |  00593 - Change country menu cut off vertically" u="1"/>
        <s v="Feature | 01442 - Update search criteria on Release Landing Page " u="1"/>
        <s v="Feature |  | 00015 - Place remaining Webcontents on Homepage" u="1"/>
        <s v="Feature | 00023 - Events + Calendar Portlet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Bug | 02337 - Pallet Field should display as Est. Pallet Count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03379 - BDT626 - Ellipsis Toggle Functionality" u="1"/>
        <s v="Bug |  01535 - The calculation for the total location qty and batch lines displayed do not match  " u="1"/>
        <s v="Bug | 02104 - 294 (BDT) - Invoice report iphone and ipad hyperlinks in preview and report" u="1"/>
        <s v="Feature | 00536 - Remove Top Bar for External User" u="1"/>
        <s v="Feature |  00217 - Update Customer logo" u="1"/>
        <s v="Feature |  02864 - Source System Deletes" u="1"/>
        <s v="Feature | 00019 - Asset publisher - Simple version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00379 - View Orders for a specific Cust Item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BALLPARK - Demand | M | 00000 - Roles Configuration" u="1"/>
        <s v="Task |  00067 - BEMISCP-11 Document Metadata Extraction Strategy" u="1"/>
        <s v="Bug | 02018 - 265 (BDT) - General mobile design issues- footer covers menu" u="1"/>
        <s v="Bug |  01324 - BIT-134 Hide Edit options that Buyers do not have access to " u="1"/>
        <s v="Feature |  01127 - Create Page for CSRs to View Customer Locations " u="1"/>
        <s v="Feature | 01526 - Update the report that is called from the Open Order Landing Page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Bug | 01323 - Add documents button is inside the footer" u="1"/>
        <s v="Feature |  | 00033 - REST service for Enhanced Groups" u="1"/>
        <s v="Task |  | 00794 - Refactoring Search for Shipment ordered and releases" u="1"/>
        <s v="Feature |  00033 - REST service for Enhanced Groups" u="1"/>
        <s v="Feature | 00302 - Filter Data by Customer Location" u="1"/>
        <s v="Task |  | 00067 - BEMISCP-11 Document Metadata Extraction Strategy" u="1"/>
        <s v="Feature | 02454 - 376 (BDT) - Open and Closed Order Status Report- update to parameters from order page card button" u="1"/>
        <s v="Feature |  | 00341 - User agreement - BNA" u="1"/>
        <s v="Feature |  00256 - View Customer Profile" u="1"/>
        <s v="Feature |  00446 - View Customer Profile" u="1"/>
        <s v="Feature | 00256  - View Customer Profile" u="1"/>
        <s v="Bug | 00892 - LDAP bulk import cannot be disable if 2FA is enabled" u="1"/>
        <s v="Feature | 00018 - Install theme and layouts" u="1"/>
        <s v="Feature |  00221 - View Orders by Item" u="1"/>
        <s v="Feature | 00221  - View Orders by Item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Feature | 01172 - Portal Error Handling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Feature | 01993 - 242 (BDT) - Customer profile - no address pulling in" u="1"/>
        <s v="Task | 00044 - BEMISCP-11 When to onboard new customer - What to do when onboarding new cust" u="1"/>
        <s v="Feature | 00234 - Services Page" u="1"/>
        <s v="Bug | 02023 - 251 (BDT) - Manufacture date" u="1"/>
        <s v="Task | 00051 - BEMISCP-11 Document migration from BIN to portal" u="1"/>
        <s v="Feature | 00364 - Buyer expanded view of orders by PO" u="1"/>
        <s v="Bug |  00800 - Hyperlinks on shipments page should be blue" u="1"/>
        <s v="Feature | 01861 - Remove Buyer access to edit display settings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BALLPARK - Demand | M | 00000 - CSR - Dashboard" u="1"/>
        <s v="Task |  00456 - Test stronger instance types to see relation to slow Liferay startup" u="1"/>
        <s v="Task |  | 00127 - Remover google analytics" u="1"/>
        <s v="Bug |  | 01318 - BIT-73 Report Time not correct" u="1"/>
        <s v="Bug | 00225 - In Cemex, fix where the theme gets placed in the bundle by workspace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00445 -  View/Edit Buyer Us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Feature | 00254  - View/Edit my User Profile" u="1"/>
        <s v="Feature | 00446 - View/Edit Customer Profile" u="1"/>
        <s v="Bug |  | 01646 - Titulo não reflete a tela exibida" u="1"/>
        <s v="Bug | 00978 - Portlet 'Candiate Photo' is failing with an error" u="1"/>
        <s v="Feature | 01622 - Menu position does not remain closed when navigating from one page to another " u="1"/>
        <s v="Bug | 00039 - Update subtask when parent update some fields" u="1"/>
        <s v="Bug |  01534 - Customer Data Sync is checking wrong address for validity" u="1"/>
        <s v="Bug | 00855 - Orders Page - Marshal Orders with NULL Statuses Displayed" u="1"/>
        <s v="Bug | 01268 - Product Description displaying incorrectly" u="1"/>
        <s v="Feature |  00535 - User Profile Dropdown" u="1"/>
        <s v="Task |  | 00297 - Install fixes for PDF preview on QA env" u="1"/>
        <s v="Bug |  | 01074 - Personal transfers - Dropdown menus slightly move other fields" u="1"/>
        <s v="Feature | 00215 - As a Customer, I wish to quickly access my profile and be provided a way to logout" u="1"/>
        <s v="Bug | 02880 - User navigates to blank portal page  " u="1"/>
        <s v="Feature | 03308 - Rotate GC Logs for better management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Task |  00026 - BEMISCP-11 Partial pallets in IBB - Not available in IBB for this phase" u="1"/>
        <s v="Bug | 00283 - HomePage is not adjusting to fit correctly on 1366x768" u="1"/>
        <s v="Task | 00512 - Change &quot;submit for publication&quot; text to &quot;submit&quot;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Task | 00514 - Research &amp; Apply URL Rewrite for URL containing String .aspx" u="1"/>
        <s v="Bug |  | 02025 - 252 (BDT) - Order Pg View Details 0 Confirmed Qty Should Not Be Displayed" u="1"/>
        <s v="Bug | 00113 - Pie Charts are only displaying one column of data" u="1"/>
        <s v="Feature | 00352 - Location selection persists between logout and login" u="1"/>
        <s v="Feature | 02977 - Set search highlighting property to false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01068 - BIT-112 Do not display Schedule Lines when confirmedQty = 0 on Orders Landing  Page" u="1"/>
        <s v="Feature | 00445 -  View/Edit User Profile" u="1"/>
        <s v="Bug |  | 01348 - BIT-107 Order Report URL too long " u="1"/>
        <s v="Task | 00068 - BEMISCP-11 BIN Customer Data Migration" u="1"/>
        <s v="Task |  00583 - Create microsite page for Switzerland" u="1"/>
        <s v="Bug | 00474 - SoyPortlet does not build on windows machine" u="1"/>
        <s v="Task | 00030 - BEMISCP-11 Company Onboarding steps" u="1"/>
        <s v="Feature | 03090 - Add node visibility property for all environments" u="1"/>
        <s v="Feature |  | 01480 - Performance Testing and Tuning" u="1"/>
        <s v="Task | 00062 - BEMISCP-11 Define WSDL for bulk data load per customer | Due date: 8/29/16" u="1"/>
        <s v="Bug |  | 02227 - IBB Data Sync Performance " u="1"/>
        <s v="Task |  01019 - Update page What We Do" u="1"/>
        <s v="Feature | 00375 - As a buyer, I can navigate to the Reports landing page to view a list my reports, so that I can easily access my data" u="1"/>
        <s v="Feature | 00088 - Customer Org Hierarchy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Bug | 01317 - BIT-74 Report Page- Open/Closed order status report- missing parameter" u="1"/>
        <s v="Feature |  | 00179 - Re-Order" u="1"/>
        <s v="Task | 00930 - Create  Query for AIF form" u="1"/>
        <s v="Task | 00029 - BEMISCP-11 Doc repository - Confirmed, Liferay Doc Library will be used" u="1"/>
        <s v="Feature |  00448 - Search User Profiles" u="1"/>
        <s v="Feature | 00446 - View Company Profiles" u="1"/>
        <s v="Feature | 00448  - Search User Profiles" u="1"/>
        <s v="Feature |  00512 - Release expanded view" u="1"/>
        <s v="Bug |  | 01563 - SAP Order 541116 Missing" u="1"/>
        <s v="Feature | 01879 - Update 'View Details' dropdown to include UOM" u="1"/>
        <s v="Bug |  00906 - Update Scheduled Releases data fields to allow for decimals " u="1"/>
        <s v="Feature |  00370 - Order updates from IBB" u="1"/>
        <s v="Feature | 00370  - Order updates from IBB" u="1"/>
        <s v="Feature |  | 00152 - Management Team" u="1"/>
        <s v="Feature |  | 00347 - Product values in different currencies" u="1"/>
        <s v="Bug | 02453 - 375 (BDT) - Inventory Report - URL too long error 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Bug | 01508 - NPE In Inventory Data Sync" u="1"/>
        <s v="Feature | 02886 - Always display BOL and Invoice links" u="1"/>
        <s v="Feature |  00082 - View Customer Profiles" u="1"/>
        <s v="Feature |  00207 - Populate User Profiles" u="1"/>
        <s v="Feature | 00207  - Populate User Profiles" u="1"/>
        <s v="Bug |  | 01850 - 195 (BDT) Documents- unable to download; CSR and buyer view" u="1"/>
        <s v="Bug | 01240 - Formatting Error when Resizing" u="1"/>
        <s v="Feature | 01007 - Requirement changes for Reports" u="1"/>
        <s v="Bug | 02349 - 238 (BDT) - Item Level Report Preview is blank   " u="1"/>
        <s v="Feature |  00233 - Investors - Contact Us" u="1"/>
        <s v="Bug |  00903 - Update Releases data fields to allow for decimals " u="1"/>
        <s v="Bug | 00904 - Update Shipment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Bug | 02696 - JDBC Connection Exceptions in logs" u="1"/>
        <s v="Bug | 02225 - Pull Shipment Order Information from Delivery Service" u="1"/>
        <s v="Task |  | 01225 - [Ajuste na tela de recuperação de caução SIGEX-1048] Ajustar comportamento do sistema para refletir a caução recuperada." u="1"/>
        <s v="Bug |  01294 - Poly Orders missing in portal" u="1"/>
        <s v="Bug | 01291 - Order does not exist in portal" u="1"/>
        <s v="Task | 00582 - Update our database columns for simId, simTeamId, and simFamilyId to be VARCHAR" u="1"/>
        <s v="Feature |  | 00376 - Generate Order Reports" u="1"/>
        <s v="Feature | 00011 - All Projects Configuration" u="1"/>
        <s v="Bug | 02001 - Duplicate Entry Exception for Orders" u="1"/>
        <s v="Feature | 02692 - ID 4191/4190 Update the CSR permissions to be organization based" u="1"/>
        <s v="Bug |  | 01558 - BIT-166 Disabled User shows up in Members section on company profile page" u="1"/>
        <s v="BALLPARK - Demand | M | 00000 - Demand without assignee GSSDLC" u="1"/>
        <s v="Feature |  02702 - 417 (BDT) - Consignment Overstated Shipped Qty on Orders Pg" u="1"/>
        <s v="Task | 00269 - [Ajuste identificado] Filtrar os itens a serem aprovados por centro de custo " u="1"/>
        <s v="Bug | 00760 - Impersonated User hits error" u="1"/>
        <s v="Feature | 00341 - User agreement - BNA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Feature | 00254 - View/Edit my User Profile" u="1"/>
        <s v="Feature | 03088 - Apply Database configuration changes to improve resiliency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Bug | 00805 - On the Customer profile page format is incorrect" u="1"/>
        <s v="Bug | 02883 - Consignment Inventory Whse Location/No Incorrect" u="1"/>
        <s v="Task | 00045 - BEMISCP-11 Docs - BOL (SSRS - Can provide a copy of the BOL)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Feature | 00088  - Customer Org Hierarchy" u="1"/>
        <s v="Task |  | 00047 - Research and Build Theme Prototype" u="1"/>
        <s v="Feature | 00206 - Populate Customer Profiles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Feature | 00009 - Place webcontent in the grid acording to wireframe" u="1"/>
        <s v="Feature | 03215 - (606 BDT/CR59) K-C Rejected Release displayed in Portal" u="1"/>
        <s v="Task | 01291 - Automated Tests SP6 PQ3" u="1"/>
        <s v="Feature |  00536 - Remove Top Bar for Regular User" u="1"/>
        <s v="Feature |  00010 - Modern tile with &quot;MORE&quot; animation" u="1"/>
        <s v="Bug | 01262 - BIT-143 Sub-header font color on Reports Landing page are incorrect" u="1"/>
        <s v="Task |  00510 - Investigate rejected SVG icons in Chrome when using CDN" u="1"/>
        <s v="Feature |  | 00016 - Capture learning events" u="1"/>
        <s v="Bug |  | 01363 - BIT-113 FRM 283- Typos on report landing page" u="1"/>
        <s v="Bug | 01312 - BIT-95 All reports from the Reports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Bug | 00408 - Our History &gt; Adjust padding in map for IPhone" u="1"/>
        <s v="Feature |  00351 - Location selection persists from page to page (within session)" u="1"/>
        <s v="Task | 00003 - Sostituzione (Copia prodotti)" u="1"/>
        <s v="Task | 00492 - Update orders based on feedback" u="1"/>
        <s v="Feature |  | 01692 - Update the Footer Content " u="1"/>
        <s v="Feature |  | 02842 - Remove test users from deployment scripts" u="1"/>
        <s v="Feature |  | 02846 - Add a test user to the deployment scripts" u="1"/>
        <s v="Bug | 01450 - BIT-157 Wording on Dynamic Reports preview page needs to be changed to improve usability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Feature | 00208 - Press Releases Page" u="1"/>
        <s v="Task | 01504 - Automated Tests SP7 PQ3" u="1"/>
        <s v="Feature | 02489 - Change Requested Date Logic" u="1"/>
        <s v="Feature | 00021 - Adjust styles of basic Liferay DXP components" u="1"/>
        <s v="Feature |  00296 - Mobile compatibility" u="1"/>
        <s v="Feature | 00297 - Browser compatibility" u="1"/>
        <s v="Bug | 02048 - 277 (BDT) - On hand Inventory page- tablet- Batch # is hyperlinked" u="1"/>
        <s v="Feature | 00365 - As a buyer, I expand and collapse the left menu navigation bar, so that I can have more horizontal space on the screen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Bug | 03254 - UAT 42- Report From and To date formatting error" u="1"/>
        <s v="Task |  00711 - Prepare PROD deployment in AWS (Ireland region)" u="1"/>
        <s v="Bug | 02016 - 262 (BDT) - Documents- Changing location filter as a parent " u="1"/>
        <s v="Bug | 01057 - User profile editing is accessible to users other than the profile owner." u="1"/>
        <s v="Bug |  | 01005 - Do not show Scheduled Releases with a Confirmed Qty =  0" u="1"/>
        <s v="Bug |  00832 - Interface between SIMPS and IPS - issues that have been identified" u="1"/>
        <s v="Bug | 02096 - 289(BDT) - Release Pg No Release" u="1"/>
        <s v="Bug | 02052 - 282 (BDT) - Orders Page- Location filter location indicator " u="1"/>
        <s v="Bug |  | 00408 - Our History &gt; Adjust padding in map for IPhone" u="1"/>
        <s v="Feature | 00008 - Check graphics record (to monitor order progress)" u="1"/>
        <s v="Feature | 00318 - Sourcing Approach" u="1"/>
        <s v="Task |  | 00587 - Register Device adjustments" u="1"/>
        <s v="Feature | 00059 - One Click Deploy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02093 - 284 (BDT) - Scheduled Releases Sub-Pg cards missing " u="1"/>
        <s v="Bug | 00906 - Update Scheduled Releases data fields to allow for decimals 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3192 - BDt 598- All environments - log in screen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03045 -  BDT 489 - Portal LDAP configuration change" u="1"/>
        <s v="Feature |  00397 - Careers &gt; Life at Cemex" u="1"/>
        <s v="Bug | 00517 - Publish failed with the JSON formatting error" u="1"/>
        <s v="Bug | 01338 - BIT-99 Shipment Card Item Detail Box Scrolling Bar" u="1"/>
        <s v="Bug |  00634 - Orders -  Bemis Order # (line No) should be moved below Bemis ProductID" u="1"/>
        <s v="Task |  00036 - BEMISCP-11 Aged Inventory (calculated, need BNA/BHP alignment)" u="1"/>
        <s v="Task | 00032 - BEMISCP-11 Disable access (showing links) to webcenter and solutioncenter" u="1"/>
        <s v="Task | 00788 - Refactor IBB Authentication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00222 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Feature | 00369  - Inventory updates from IBB" u="1"/>
        <s v="Bug |  | 01088 - BIT-17 Carrier Link is not working " u="1"/>
        <s v="Feature |  01396 - Allow Buyers to update display settings " u="1"/>
        <s v="Bug | 02461 - 385 (BDT) Manufacture Data is missing from the On Hand Inventory sub-page" u="1"/>
        <s v="Bug |  02337 - Pallet Field should display as Est. Pallet Count" u="1"/>
        <s v="Bug | 03187 - 595 BDT - Out of memory error" u="1"/>
        <s v="Task |  00085 - Prebill Inquiry" u="1"/>
        <s v="Bug |  00822 - UI- Navigation bar" u="1"/>
        <s v="Feature | 00221 - View Orders by Item" u="1"/>
        <s v="Feature | 00105 - Deploy docker containers in liferay-gs-sdlc account" u="1"/>
        <s v="Bug | 02959 - BDT 483- Forgot Password error message" u="1"/>
        <s v="Task | 00599 - Research changing background for web content editor" u="1"/>
        <s v="Feature | 00297 - As a customer, I can use the portal with a modern browser without compatibility issues, so that the experience is consistent" u="1"/>
        <s v="Task | 00040 - BEMISCP-11 Logistics - Product in transit" u="1"/>
        <s v="Feature | 00401 - Careers &gt; Locations and Functions" u="1"/>
        <s v="Task | 00020 - BEMISCP-11 Portal Admin / Power Users" u="1"/>
        <s v="Feature | 03036 - On Hand Qty displayed for Doned shipment (BDT 518) CR53" u="1"/>
        <s v="Feature |  00346 - Create page to show on-hand quantity for product in order detail.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Task | 00593 - Change country menu cut off vertically" u="1"/>
        <s v="Feature |  00206 - Populate Customer Profiles" u="1"/>
        <s v="Feature |  | 00270 - Browse Customer Profiles" u="1"/>
        <s v="Feature | 00206  - Populat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Dummy Feature |  00000 - Dummy Feature of  00539 - Buyer - Inventory Management" u="1"/>
        <s v="Feature |  00208 - Press Releases Page" u="1"/>
        <s v="Task |  | 00034 - Setup Dev Infrasctructure" u="1"/>
        <s v="Bug |  | 01294 - Poly Orders missing in portal" u="1"/>
        <s v="Feature | 00397 - Careers &gt; Life at Cemex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Bug | 01305 -   Multiple Fields showing incorrectly on the Orders Landing Page.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Task | 00488 - Update styles for all pages to reflect brand " u="1"/>
        <s v="Feature | 00002 - Create docker image for Liferay installation" u="1"/>
        <s v="Bug | 01588 - Inventory display not correct for order 073G001269 " u="1"/>
        <s v="Bug | 01779 - After update to global web content, customer site template does not import" u="1"/>
        <s v="Feature |  00360 - Add pallet detail view in batch view." u="1"/>
        <s v="Task |  00048 - BEMISCP-11 Previous customer Item Number" u="1"/>
        <s v="Bug |  01309 - BIT-92 Report Landing Page- Inventory Detail Report" u="1"/>
        <s v="Bug |  | 00044 - Some bugs about teams" u="1"/>
        <s v="Feature | 00056 - Implement Celsus sync job to index Liferay Site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Bug | 02232 - 330 (BDT) - Order Pg Bemis Product ID missing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00603 - Create Earnings Webcast 1Q 17 page" u="1"/>
        <s v="Feature | 00207 - Populate Portal with User Profile Information" u="1"/>
        <s v="Task |  | 00072 - Where to get Actual/Standard pallet quantity for rolls/boxes/cartons" u="1"/>
        <s v="Feature | 00359 - As a buyer, I can see the contents of a batch in my on-hand inventory, so that I can see pallet summary level information for a batch" u="1"/>
        <s v="Bug | 00197 - GPS - Playbooks &amp; Guidelines" u="1"/>
        <s v="Feature | 00206 - Populate Portal with Customer Profile Information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Feature | 00514  - Release Report" u="1"/>
        <s v="Feature | 00019 - Create different pages to show layouts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00018 - Concrete Incubator webcontent" u="1"/>
        <s v="Feature |  02680 - 409 (BDT) - Inventory Batch with Multiple Mfg Dates" u="1"/>
        <s v="Bug |  01985 - 243 (BDT) - Orders Page Material Avail Date/Req Date Incorrect " u="1"/>
        <s v="Bug | 01986 - 244 (BDT) - Order Pg Scheduled Releases/Available Qty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Feature | 02823 - Reverse PGI'd Shipment displayed in Portal (BDT 454)" u="1"/>
        <s v="Bug |  | 02171 - 308 (BDT) - Orders page- iphone words in view detail spilling below allotted space" u="1"/>
        <s v="Feature |  00302 - Filter Data by Customer Location" u="1"/>
        <s v="Feature | 00302  - Filter Data by Customer Location" u="1"/>
        <s v="Bug | 01297 - BIT-84 Data Issue on Bemis QA Environment" u="1"/>
        <s v="Bug |  00197 - GPS - Playbooks &amp; Guidelines" u="1"/>
        <s v="Bug |  | 02172 - 309 (BDT) - Orders page- iphone view details UOM Confirmed qtty crowding" u="1"/>
        <s v="Feature |  00258 - View Invoice" u="1"/>
        <s v="Feature | 00658 - Refactor UI elements to improve maintainability" u="1"/>
        <s v="Bug | 01558 - BIT-166 Disabled User shows up in Members section on company profile page" u="1"/>
        <s v="Bug | 02395 - 371 (BDT) Commas missing on qty fields on Scheduled Release and Doned Shipment Page 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Feature |  00231 - Show Open Demand and On Hand Qty for Item." u="1"/>
        <s v="Bug |  02426 - 378 (BDT) - No pagination on the Reports Download page " u="1"/>
        <s v="Feature | 00083 - Manage DL folder &amp; files" u="1"/>
        <s v="Feature |  00006 - Add version" u="1"/>
        <s v="Bug |  | 01645 - Cadastro de fornecedor com textos grandes quebram o cadastro" u="1"/>
        <s v="Feature | 00360 - Add pallet detail view in batch view." u="1"/>
        <s v="Feature | 00308 - Set maximum width for pages in 1300 px" u="1"/>
        <s v="Bug | 02995 - 490 BDT - Invoice or BOL link on Doned shipments subpage does not work" u="1"/>
        <s v="Bug | 03193 - BDT 596- User directed to &quot;You are logged in as&quot; page vs. org site." u="1"/>
        <s v="Bug | 03320 - UAT 71- Bemis validation test user- change locations for user; records appearing that should not" u="1"/>
        <s v="Bug | 02734 - BDT 430 Reports are not downloading and refreshing automatically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02827 - Typo in reset password page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01863 - 204 (BDT) Report Parameters Optional Columns Invoice History Re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00332 - Logistics - Products/Items Shipped items no pricing" u="1"/>
        <s v="Feature |  | 00260 - Buyer -  View Release PO on Expanded Shipment View" u="1"/>
        <s v="Task | 00235 - IBB Request Log" u="1"/>
        <s v="Bug | 01023 - Missing fields on Delivery stubs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Feature | 00158 - As an internal or external user, I can upload a document to a Document Library folder, so that I can share information securely and quickly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Bug | 01272 - Fix sort order column names" u="1"/>
        <s v="Feature | 00801 - List shipments from specific Order" u="1"/>
        <s v="Feature |  00377 - Our History" u="1"/>
        <s v="Feature | 00002 - Multi-criteria search" u="1"/>
        <s v="Feature | 00365 - Left Navigation Expand / Collapse on all pages" u="1"/>
        <s v="Task | 00012 - Documentate the whole process" u="1"/>
        <s v="Task | 00022 - Documentate the whole process" u="1"/>
        <s v="Feature |  | 03010 - 494 BDT - Handle IBB NULL responses in initial data sync" u="1"/>
        <s v="Bug |  | 00498 - Fix QA issues" u="1"/>
        <s v="Task | 01070 - Optimize JVM settings" u="1"/>
        <s v="Feature | 00232 - Reports Page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Bug |  00907 - Update Completed Shipments data fields to allow for decimals " u="1"/>
        <s v="Feature |  00029 - Homepage - Investor Portlet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 00380 - Logistics Order History - No Pricing" u="1"/>
        <s v="Feature | 00358 - Co-Packer - orders Ship to no pricing" u="1"/>
        <s v="Bug | 00075 - Chrome users cannot access taskboard using HTTPS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Feature | 00010 - Configure Elasticsearch with Azure local instance storage" u="1"/>
        <s v="Task | 00056 - Update organization model listener to remove all organization configuration and notification" u="1"/>
        <s v="Feature |  00246 - Link &quot;Number of items Pending Ship&quot; from Orders Detail to the &quot;Item detail Pending Shipment&quot; page" u="1"/>
        <s v="Feature | 00246  - Link &quot;Number of items Pending Ship&quot; from Orders Detail to the &quot;Item detail Pending Shipment&quot; page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Feature | 00082 - CSR - view and select customer" u="1"/>
        <s v="Task |  | 00596 - Anchor tags not working for some pages" u="1"/>
        <s v="Bug |  02094 - 286 (BDT) - Release Pg Scheduled Release Qty UoM missing" u="1"/>
        <s v="Task | 00220 - Research: Error when creating a WebContent with nested WebContent" u="1"/>
        <s v="Bug |  | 01855 -    Documents- CSR access to sites  " u="1"/>
        <s v="Feature | 00099 - Add sorting capability to Site REST API" u="1"/>
        <s v="Feature | 00355 - As a buyer, I can sort on the shipments landing page based on certain criteria, so that I can better organize the information" u="1"/>
        <s v="Feature | 00361 - As a buyer, I can access links in the footer of each page of the system, so that I have quick access to links and information" u="1"/>
        <s v="Task | 00277 - [Ajuste review sprint 05]: No Grid de listagem de solicitação de visto, acrescentar no grid a informação de status (utilizar sinal de cores). " u="1"/>
        <s v="Feature | 01344 - Update decimals display on Bemis Portal Landing pages" u="1"/>
        <s v="Feature | 00244 - Link &quot;Number Quantity on Hand&quot; from the Order Detail to the &quot;Item detail On-Hand Inventory&quot;" u="1"/>
        <s v="Bug |  | 02349 - 238 (BDT) - Item Level Report Preview is blank   " u="1"/>
        <s v="Task | 00829 - Prepare QA environment (US-East region)" u="1"/>
        <s v="BALLPARK - Demand | M | 00000 - Jira 7 sdlc tools validation" u="1"/>
        <s v="Feature | 00211 - As a Customer, after I log in, I wish to view my site pages styled according to provided mock-ups." u="1"/>
        <s v="Feature |  | 00407 - Search function on menu bar" u="1"/>
        <s v="Feature | 00351 - Location selection persists from page to page (within session)" u="1"/>
        <s v="Bug | 00115 - Ajustments in full stories layout" u="1"/>
        <s v="Bug | 00306 - Break page buttons evenly, centered" u="1"/>
        <s v="Feature |  00249 - Shipment Search" u="1"/>
        <s v="Feature | 01692 - Update the Footer Content " u="1"/>
        <s v="Feature | 00141 - Country micro site subpages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Feature | 00022 - Investors - Overview" u="1"/>
        <s v="Task |  00033 - BEMISCP-11 Handling/communication of obsolete items &amp; part number relationships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Feature | 00159 - Feature without assignee GOOGLE" u="1"/>
        <s v="Feature | 01784 - Improve data display on all pages 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Feature | 02876 - Functional Spec Documentation " u="1"/>
        <s v="Task |  00023 - BEMISCP-11 Production Order data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02390 - Scheduled Releases Sub-Page No Sort Order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Feature | 02783 - 441(BDT) - Data Sync Module Execution 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02273 - View Details crowded on Desktop" u="1"/>
        <s v="Bug |  02918 - BDT 474 Reporting errors for Customer id 0138680" u="1"/>
        <s v="Task |  00334 - Redirect to a friendly &quot;page not found&quot;" u="1"/>
        <s v="Bug | 01271 - Fix date range for From and To fields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00652 - Gradle task distBundleZip does not build/deploy themes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01191 - Select All and Clear All links in Location filter do not work" u="1"/>
        <s v="Bug | 02962 - Pinnacle Foods Bemis Order# 40009316 Shipment Missing (BDT 486)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0256 - View my Company Profile." u="1"/>
        <s v="Feature | 01349 - Update default Sort Order on Shipments Landing Page " u="1"/>
        <s v="Bug | 03048 - 526 BDT - Sales order line not displaying on Orders page depending on who is logged on to the account" u="1"/>
        <s v="Bug | 02118 - 304(BDT) - 2FA has inconsistent behavior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Bug | 02095 - 269 (BDT) - Release page expanded card missing state zip country" u="1"/>
        <s v="Bug | 00458 - Indexing of Web Content has errors" u="1"/>
        <s v="Feature |  00022 - Webcontent - Investors to Key Statistics" u="1"/>
        <s v="Feature | 03134 - ShipTo Filter - Change default behavior and help text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Feature |  00509 - Download Invoice and BoL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Feature | 02864 - CR45 - Shipment Deletes" u="1"/>
        <s v="Bug | 01257 - BIT-60 Missing Address should be empty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00074 - Determine Document Library folder structure and category structure" u="1"/>
        <s v="Bug | 02173 - 310 (BDT) - Order Pg View Details Schedule Line Dates Sort Order Incorrect 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334 - Redirect to a friendly &quot;page not found&quot;" u="1"/>
        <s v="Task | 00539 - [Mudança hisoria SIGEX-110]: Sistema deve informar quem abriu o processo de contrataçao." u="1"/>
        <s v="Feature | 00255 - Shipment History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Feature | 00007 - Add expiration date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1451 - BIT-159 CSR- editing buyer profile" u="1"/>
        <s v="Bug | 00079 - NullPointer Exception after login in " u="1"/>
        <s v="Bug |  00196 - Adjust company profile page" u="1"/>
        <s v="Bug | 00044 - Some bugs about teams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Task | 00069 - BEMISCP-11 CSR notifications" u="1"/>
        <s v="Feature | 02716 - 423 (BDT) - Have LDAP and portal Password policy both enabled " u="1"/>
        <s v="Feature | 00016 - Capture learning events" u="1"/>
        <s v="Feature | 01444 - Create Handling Unit Report 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Feature | 00175  - Order Status Report" u="1"/>
        <s v="Task |  | 00930 - Create  Query for AIF form" u="1"/>
        <s v="Bug | 02129 - 305 (BDT) - Invoice Report- tablet and iphone additional columns selection issue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Feature | 00156 - Create and assign customer Roles" u="1"/>
        <s v="Task | 00931 - Finance team Query of IPS" u="1"/>
        <s v="Task | 00661 - Upgrade to fixpack 15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Feature | 02990 - Update deployment scripts to preserve old releases" u="1"/>
        <s v="Task |  00503 - WS Commons" u="1"/>
        <s v="Task | 00503 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02114 - 298 (BDT) - Releases - subpage- tablet view error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144 - Our history page without timeline section" u="1"/>
        <s v="Feature | 00379 - As a buyer, I can navigate to a list of orders for a specific item from the Products landing page, so that I can see the order history for a specific item" u="1"/>
        <s v="Feature |  00262 - On-Hand Inventory View for a specific item" u="1"/>
        <s v="Feature | 00262  - On-Hand Inventory View for a specific item" u="1"/>
        <s v="Feature | 00101 - As a buyer, I can navigate to the Products landing page (by clicking on the Products link in the header) to view a list of my items, so that I can quickly and easily see my relevant items in a single click." u="1"/>
        <s v="Bug | 01151 - CSR should have access to limited control panel " u="1"/>
        <s v="Task |  | 01803 - QA Deployment Documentation" u="1"/>
        <s v="Task | 02993 - Enable log4j debug on Bemis Dev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Feature | 00308 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Feature | 00012 - Country Selection content" u="1"/>
        <s v="Bug | 01292 - The 'Bemis QA Portal Data' spreadsheet shows inventory data but the sales order is not on the orders tab" u="1"/>
        <s v="Bug | 01070 - When the user type a word and then delete it in &quot;Descripción&quot; field, the default &quot;Descripción&quot; name's disappear in the step &quot;Verificar&quot;." u="1"/>
        <s v="Bug | 02546 - 388 (BDT) - Inventory Pg Standard Pallet Qty Rounding Issue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Bug | 00128 - Adjust homepage layout in different screen resolutions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Bug | 02230 - 325 (BDT) - report preview and generate report issue- mobile devices" u="1"/>
        <s v="Task |  | 00037 - Solr Spell Suggest progress and artefacts" u="1"/>
        <s v="Feature | 00255 - As a buyer, I can see shipment history from the shipment expanded landing page, so that I can see completed shipments for an item" u="1"/>
        <s v="Bug |  | 02093 - 284 (BDT) - Scheduled Releases Sub-Pg cards missing " u="1"/>
        <s v="Feature |  00245 - Link &quot;Number of Items Shipped&quot; from the Orders Detail to &quot;Item detail Shipped Qty&quot; page" u="1"/>
        <s v="Feature | 00245  - Link &quot;Number of Items Shipped&quot; from the Orders Detail to &quot;Item detail Shipped Qty&quot; page" u="1"/>
        <s v="Bug |  01491 - Customer Site Template was not updated correctly" u="1"/>
        <s v="Bug |  | 01493 - Release Header fields do not display correctly" u="1"/>
        <s v="Task | 01775 - Theme Dependency needs to be updated due to core changes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Bug | 02934 - BIN Doc Service Test Invoice URL Parameters" u="1"/>
        <s v="Bug | 01493 - Release Header fields do not display correctly" u="1"/>
        <s v="Feature | 01668 - Refactor Shipment Sync/WS Classes for data refresh calls.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00021 - Asset publisher filter" u="1"/>
        <s v="Task |  00050 - BEMISCP-11 Compliance reports on-time complete from SSRS" u="1"/>
        <s v="Ballpark - Demand |  00000 - Dummy Feature of Content Workflow" u="1"/>
        <s v="Feature |  | 00389 - Create a sign in page" u="1"/>
        <s v="Feature |  00330 - Logistics - Products/Items - No Pricing" u="1"/>
        <s v="Feature |  | 00358 - Co-Packer - orders Ship to no pricing" u="1"/>
        <s v="Feature |  | 00377 - Generate Shipping Reports" u="1"/>
        <s v="Task | 00070 - BEMISCP-11 Branding Images &amp; Text" u="1"/>
        <s v="Bug | 01860 - 202 (BDT) Remove the optional column order up and down arrows from 2 reports" u="1"/>
        <s v="Feature | 00257 - As a buyer, I can view a packing list for a shipment on the expanded shipment landing page, so that I can view the shipping document" u="1"/>
        <s v="Feature |  00272 - Browse User Profile" u="1"/>
        <s v="Feature | 00272  - Browse User Profile" u="1"/>
        <s v="Bug | 02098 - 290 (BDT) - Release Pg Ship To Name and Address incorrect" u="1"/>
        <s v="Task | 00370 - Common and specific infrastructure to the angular-portlet" u="1"/>
        <s v="Feature | 00007 - Design menus" u="1"/>
        <s v="Bug | 02710 - 389 (BDT) - CSR AD group users are not set up properly" u="1"/>
        <s v="Bug |  | 00716 - When an order is deleted, the associated AssetEntries are not removed" u="1"/>
        <s v="Feature |  00233 - Calculation on landing page" u="1"/>
        <s v="Feature | 00375 - Buyer - Reports Landing Page" u="1"/>
        <s v="Feature | 00381 - Login page - cookie statement" u="1"/>
        <s v="Bug |  00902 - BIT-42 Update orders data fields to allow for decimals " u="1"/>
        <s v="Bug |  | 00905 - Update On Hand Inv data fields to allow for decimals " u="1"/>
        <s v="Feature |  | 00329 - Site map" u="1"/>
        <s v="Bug | 00069 - Menu not working when on mobile mode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Bug | 02703 - 398 (BDT) - Tyson Shipments missing" u="1"/>
        <s v="Feature |  | 00172 - Debt Information" u="1"/>
        <s v="Task | 00022 - BEMISCP-11 Graphics info/status" u="1"/>
        <s v="Bug | 02860 - User Profile dropdown is wrapping " u="1"/>
        <s v="Bug |  02096 - 289(BDT) - Release Pg No Release" u="1"/>
        <s v="Bug | 01997 - 260 (BDT) - Orders page- tablet view change page orientation from portrait to landscape" u="1"/>
        <s v="Bug | 01083 - Bad style of all the Radio button and Check box" u="1"/>
        <s v="Bug |  | 01088 - En la pantalla de confirmación el campo fecha está incorrecta" u="1"/>
        <s v="Feature | 00010 - Modern tile with &quot;MORE&quot; animation" u="1"/>
        <s v="Feature |  | 00124 - View closed orders in Order Views" u="1"/>
        <s v="Feature | 00331 - Logistics - Products/Items - Pending Shipments - no pricing" u="1"/>
        <s v="Task |  | 01019 - Update page What We Do" u="1"/>
        <s v="Feature | 02373 - Remove space from DL file names" u="1"/>
        <s v="Bug |  | 01974 - Login in container errors block login input" u="1"/>
        <s v="Bug | 02342 - 332 (BDT) - Schedule Line View Details Link Missing for some records" u="1"/>
        <s v="Bug |  | 01079 - Textos del detalle de la recurrencia tienen color incorrecto" u="1"/>
        <s v="Bug | 01535 - The calculation for the total location qty and batch lines displayed do not match  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69 - Inventory updates from IBB" u="1"/>
        <s v="Feature | 00374  - Shipment updates from IBB" u="1"/>
        <s v="Bug | 02377 - SSRS connection settings are not set during deployment " u="1"/>
        <s v="Bug | 01198 - BIT-146 Customer Address does not display on Customer Profile" u="1"/>
        <s v="Bug | 00196 - Adjust company profile page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01348 - BIT-107 Order Report URL too long " u="1"/>
        <s v="Feature | 00296 - Mobile compatibility &amp; responsive design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Task | 00456 - Test stronger instance types to see relation to slow Liferay startup" u="1"/>
        <s v="Bug | 00396 - Glyph errors in logs when resetting file previews" u="1"/>
        <s v="Feature |  00349 - Global search - not show pricing" u="1"/>
        <s v="Bug |  02694 - ORM exceptions for Inventory data sync " u="1"/>
        <s v="Bug | 03083 - ORM exceptions for salesOrder data sync " u="1"/>
        <s v="Task | 00461 - Investigate 413 Request Entity Too Large when uploading file &gt; 1MB" u="1"/>
        <s v="Feature | 00211 - Style and colors" u="1"/>
        <s v="Feature |  00389 - Create a sign in page" u="1"/>
        <s v="Feature | 00257 - Packing List Report - SSRS" u="1"/>
        <s v="Bug | 00808 - Arrow Font Size on Releases Page is too small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Bug | 03286 - UAT66 - Global Search: Unable to Display BOL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Task | 00019 - BEMISCP-11 Define site &amp; org hierarchy for the portal" u="1"/>
        <s v="Feature | 02957 - 482 BDT - Optimizing report performance to 4 sec" u="1"/>
        <s v="Task | 00025 - Configuração da infraestrutura de DevOps" u="1"/>
        <s v="Task | 00072 - Where to get Actual/Standard pallet quantity for rolls/boxes/carton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01421 - Bemis Logo displayed on Bemis' QA is incorrect" u="1"/>
        <s v="Bug | 02169 - 214 (BDT) - Theme test- Font spacing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Bug | 01974 - Login in container errors block login input" u="1"/>
        <s v="Feature | 00223 - View Orders by PO" u="1"/>
        <s v="Bug |  | 01060 - System does a wrong transfer, after a sucessful first transfer." u="1"/>
        <s v="Bug | 02362 - 336 (BDT) - CSR logged in first time; the site showing on her home page was jelsert." u="1"/>
        <s v="Bug | 03295 - Some Order fields not getting updated during re-sync" u="1"/>
        <s v="Bug | 03269 - Pagination Page Select Popup Bug (BDT 624)" u="1"/>
        <s v="Bug |  | 02020 - 267 (BDT) - General mobile design- menu should automatically collapse " u="1"/>
        <s v="Feature |  00214 - View Notifications" u="1"/>
        <s v="Feature | 00377 - Generate Shipping Reports" u="1"/>
        <s v="Task |  00228 - Allow patches to be source-controlled and installed into bundle by workspace" u="1"/>
        <s v="Task |  00102 - OSGI Dependencies" u="1"/>
        <s v="Feature | 00166 - Add behavior to Homepage link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Bug | 00905 - Update On Hand Inv data fields to allow for decimals " u="1"/>
        <s v="Feature | 03384 - Enable automatic patching download w/LCS" u="1"/>
        <s v="Task | 00549 - Make sure cemex.com redirects to www.cemex.com" u="1"/>
        <s v="Task |  01133 - Atividades de automação do Sprint 16. " u="1"/>
        <s v="Bug |  00808 - Arrow Font Size on Releases Page is too small" u="1"/>
        <s v="Bug |  02227 - IBB Data Sync Performance " u="1"/>
        <s v="Feature | 01473 - Switch to SOAP calls" u="1"/>
        <s v="Feature |  00174 - Corporate Governance Page" u="1"/>
        <s v="Feature | 00143 - Ethics and compliance page" u="1"/>
        <s v="Bug | 03338 - UAT73 - Orders Page Orphaned Text not on card" u="1"/>
        <s v="Feature |  01113 - Redesign for product description display" u="1"/>
        <s v="Bug | 02359 - 318 (BDT) - Shipment Sub Page ship date view in ascending order" u="1"/>
        <s v="Feature |  | 00166 - Add behavior to Homepage links" u="1"/>
        <s v="Task | 00086 - Bemis style guide | Due date:  8/12/16" u="1"/>
        <s v="Task |  | 01018 - Update page Who We Are" u="1"/>
        <s v="Bug | 03315 - UAT69 - Inactive Releases Displayed on Orders/Releases Pages" u="1"/>
        <s v="Bug | 02885 - (BDT 467) - Releases and Shipments do not display for new customer setup " u="1"/>
        <s v="Feature | 01981 - Logging Updates" u="1"/>
        <s v="Feature | 00094 - Rename Taskboard levels/issueTypes" u="1"/>
        <s v="Bug |  | 01450 - BIT-157 Wording on Dynamic Reports preview page needs to be changed to improve usability" u="1"/>
        <s v="Feature | 00264 - Shipped quantity" u="1"/>
        <s v="Bug |  01238 - The ... next to the Bemis Order number does not expand to show the full line" u="1"/>
        <s v="Bug | 00168 - Redirect Not Allowed" u="1"/>
        <s v="Feature |  00520 - Release updates from IBB" u="1"/>
        <s v="Feature |  | 00370 - Order updates from IBB" u="1"/>
        <s v="Feature | 00374 - Shipment updates from IBB" u="1"/>
        <s v="Feature | 00520  - Release updates from IBB" u="1"/>
        <s v="Bug | 02227 - IBB Data Sync Performance " u="1"/>
        <s v="Feature |  02905 - Updates to Consignment logic" u="1"/>
        <s v="Bug | 03224 - 610 BDT - DataSync process won't start in Portal Prod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03034 - Failover Testing: 500 - Internal Server Error" u="1"/>
        <s v="Bug | 01203 - SSRS integration config had wrong password for QA" u="1"/>
        <s v="Task | 00662 - Block Googlebot from doing a search " u="1"/>
        <s v="Bug |  | 01084 - Dropdwn &quot;Tipo de Correo &quot; with format for IOS" u="1"/>
        <s v="Bug | 01841 - Shipments Cust PO" u="1"/>
        <s v="Feature | 00514 - Release Report" u="1"/>
        <s v="Feature | 00447 - CSR - Search for All Customer Profiles" u="1"/>
        <s v="Feature |  | 02976 - Source System Deletes - CR50 and CR51" u="1"/>
        <s v="Bug | 01509 - Exception for some Order Data Syncs" u="1"/>
        <s v="Bug | 01261 - BIT-68 Optional fields not correctly formatted or are missing in open and closed order report" u="1"/>
        <s v="Bug | 01746 - Duplicate fields displayed on the Doned Shipments tab" u="1"/>
        <s v="Task | 00141 - CI server setup" u="1"/>
        <s v="Bug | 02682 - 405 (BDT) - Inventory Update Issues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Bug | 03257 - UI issue, reduced screen width (tablet, mobile) oddities when impersonating a user (BDT 622) 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Bug | 00830 - Two Factor authentication configuration is in the wrong category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Bug | 01996 - 259 (BDT) - Orders Page- mobile view some customer PO numbers are hyperlinked" u="1"/>
        <s v="Task |  00056 - Conditional DL file entry searchability " u="1"/>
        <s v="Task | 01089 - Analyse test coverage and improve it if necessary (Controllers and Services)" u="1"/>
        <s v="Bug | 01920 - Total On Hand Qty should include UOM  " u="1"/>
        <s v="Feature |  01668 - Refactor Shipment Sync/WS Classes for data refresh calls." u="1"/>
        <s v="Feature | 01669 - Refactor Inventory Sync/WS Classes for data refresh calls." u="1"/>
        <s v="Bug |  | 02711 - 416 (BDT) - Order Pg Shipment Qty Missing" u="1"/>
        <s v="Bug | 00647 - Page visual layout broken after interactions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Feature | 00258 - View Invoice" u="1"/>
        <s v="Task |  | 00956 - Creation of 3 Queries" u="1"/>
        <s v="Bug | 02563 - 392 (BDT) - Inventory Pg Standard Pallet Qty and UoM missing" u="1"/>
        <s v="Dummy Feature |  00000 - Dummy Feature of  00691 - Liferay Workspace Maintenance and Improvements" u="1"/>
        <s v="Bug |  00765 - Date format incorrect in UI" u="1"/>
        <s v="Bug | 00545 - Two Factor Authentication - Verification Code Error" u="1"/>
        <s v="Bug | 01218 - Landing page redirection does not work when impersonating" u="1"/>
        <s v="Bug | 00822 - UI Navigation bar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Feature | 00217 - Update Customer logo" u="1"/>
        <s v="Bug |  | 00379 - Adjust layout of stock ticker in different screen sizes" u="1"/>
        <s v="Bug | 01850 - 195 (BDT) Documents- unable to download; CSR and buyer view" u="1"/>
        <s v="Bug |  01310 - Report Landing Page- Inventory Detail Report- remove unnecessary Parameters" u="1"/>
        <s v="Bug |  | 01080 - Notifications are sending continuous notifications" u="1"/>
        <s v="Task | 00228 - Allow patches to be source-controlled and installed into bundle by workspace" u="1"/>
        <s v="Bug | 00820 - Enter the portal without logging back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Feature | 00074 - Related articles" u="1"/>
        <s v="Bug |  02217 - 320 (BDT) - Shipment Pg Bemis Order#/Line# Incorrect" u="1"/>
        <s v="Feature |  00353 - Sort Orders by Specific Fields" u="1"/>
        <s v="Feature | 00353 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Bug | 02027 - 272 (BDT) - User Profile- Buyer missing Job Titl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Bug | 02679 - 410 (BDT) - Change the Discovery settings in elasticsearch.yml file to use host names" u="1"/>
        <s v="Feature | 00020 - Asset publisher layout" u="1"/>
        <s v="Task | 00052 - BEMISCP-11 BHP - Bulk upload of users" u="1"/>
        <s v="Bug |  02218 - 323 (BDT) - Shipment Landing Pg/Shipments Missing" u="1"/>
        <s v="Feature |  00280 - Careers Page" u="1"/>
        <s v="Task | 00031 - BEMISCP-11 Corp security - IT security rules" u="1"/>
        <s v="Bug | 01874 - 213 (BDT) Theme- Assets that are light blue and should be dark blue -various portal pages" u="1"/>
        <s v="Bug | 03380 - BDT 628 - Preview Button action not working for Inventory Detail and Handling Unit Reports" u="1"/>
        <s v="Task | 01122 - [Mudança na task 1023 review sprint 15] Formatar o hint da aba de vacinas (tela de execução do processo de contratação) de acordo com a estrutura definida pela Queiroz Gavão " u="1"/>
        <s v="Task | 00669 - Investigate freemarker issues in latest prod data refresh" u="1"/>
        <s v="Bug | 01266 - BIT-76 Welcome Name Banner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Task |  00176 - Set up QA environment" u="1"/>
        <s v="Bug |  02731 - 427 (BDT) - Shipments Pg Floating Text, Not on Card" u="1"/>
        <s v="Bug | 02364 - 337 (BDT) - Impersonating user- report generation issue stops impersonation" u="1"/>
        <s v="Feature | 00024 - Questions Portlet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01335 - 3 Marshal Deliveries not showing in Doned Shipments page " u="1"/>
        <s v="Bug |  01317 - BIT-74 Report Page- Open/Closed order status report- missing parameter" u="1"/>
        <s v="BALLPARK - Demand | M | 00000 - Liferay Workspace Maintenance and Improvements" u="1"/>
        <s v="Feature | 00293 - About Us &gt; Position Papers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Task | 00028 - BEMISCP-11 Material Pricing - pricing condition sales" u="1"/>
        <s v="Bug | 02115 - 299 (BDT) - Scheduled Releases subpage- iphone layout error" u="1"/>
        <s v="Feature |  | 01643 - Update Sales Order Data Sync logic" u="1"/>
        <s v="Task |  | 00593 - Change country menu cut off vertically" u="1"/>
        <s v="Bug | 01995 - 257 (BDT) - Orders page- mobile footer cutting off fields" u="1"/>
        <s v="Bug |  02219 - 324 (BDT) - Inventory report- mobile devices hyperlinks in reports" u="1"/>
        <s v="Task |  00003 - Setup LCS activation" u="1"/>
        <s v="Bug | 00722 - Race condition in DataSyncEngineImpl" u="1"/>
        <s v="Task |  00057 - BEMISCP-11 Order Invoice release report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Feature | 01019 - Link Bemis/TheHub Logo back CSR Bemis Site" u="1"/>
        <s v="Bug |  | 01449 - Descriptions are not showing 40 characters before ellipses " u="1"/>
        <s v="Feature | 00107 - Feature without assignee GSSDLC" u="1"/>
        <s v="Task |  00824 - Architectural document for Sprint 6" u="1"/>
        <s v="Feature |  | 02692 - ID 4191/4190 Update the CSR permissions to be organization based" u="1"/>
        <s v="Task | 00316 - Install Audience Targeting on QA servers" u="1"/>
        <s v="Bug |  00753 - Fix Gradle theme build " u="1"/>
        <s v="Task | 00925 - Internal SIM users should be added to the SIM organization automatically upon first login" u="1"/>
        <s v="Feature | 00211 - Stock Information page" u="1"/>
        <s v="Feature |  00318 - Sourcing Approach" u="1"/>
        <s v="Feature |  00002 - Multi-criteria search" u="1"/>
        <s v="Bug | 01418 - Release PO and Customer PO are wrapping on the same line" u="1"/>
        <s v="Bug | 00120 - Story carrousel on homepage does not animate (zoom)" u="1"/>
        <s v="Bug | 01639 - BIT-159 Create Access Path for CSRs to Customer and User Profiles" u="1"/>
        <s v="Task |  | 00889 - Add a new page on the Member &amp; Associates template for Experience, Skills, References &amp; General Comments" u="1"/>
        <s v="BALLPARK - Demand | M | 00000 - Prepare acceptance environment" u="1"/>
        <s v="Task |  00582 - Update our database columns for simId, simTeamId, and simFamilyId to be VARCHAR" u="1"/>
        <s v="Bug |  02679 - 410 (BDT) - Change the Discovery settings in elasticsearch.yml file to use host names" u="1"/>
        <s v="Feature | 00008 - Connect Liferay Docker with BBDD" u="1"/>
        <s v="Feature |  | 00167 - Add behavior to concrete incubator link" u="1"/>
        <s v="Task |  00818 - Need to Simplify the way to add a Candidate Photo" u="1"/>
        <s v="Task |  00235 - IBB Request Log" u="1"/>
        <s v="Bug | 01423 - BIT-46 Cards on Page incorrect" u="1"/>
        <s v="Task | 00058 - Update SendEmail Jobs" u="1"/>
        <s v="Bug | 01364 - BIT-114 Scheduled Releases Customer PO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Feature | 00225 - Search Orders by Indexed fields" u="1"/>
        <s v="Task | 01120 - IPS - Import from SIM Australia for IPS information" u="1"/>
        <s v="Task | 00476 - Enable staging from QA to PROD (guest site)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Bug | 02049 - 278 (BDT) - On-hand inventory page- iphone issue with footer" u="1"/>
        <s v="Feature | 02862 - Customize Email Templates for users 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Bug | 03160 - Inventory Sync Delete happens before data is processed causing 0 inventory to show." u="1"/>
        <s v="Bug | 00188 - Fix java script errors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Feature | 00009 - Connect Liferay with Azure File Storage 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1847 - Update Mock Services for changes to Data Sync" u="1"/>
        <s v="Task | 00085 - Prebill Inquiry" u="1"/>
        <s v="Feature | 02842 - Remove test users from deployment scripts" u="1"/>
        <s v="Feature | 02846 - Add a test user to the deployment scripts" u="1"/>
        <s v="Bug | 01855 -    Documents- CSR access to sites  " u="1"/>
        <s v="Feature |  00271 - Search for User Profile Details" u="1"/>
        <s v="Feature | 00271  - Search for User Profile Details" u="1"/>
        <s v="Bug |  | 00306 - Break page buttons evenly, centered" u="1"/>
        <s v="Bug | 01534 - Customer Data Sync is checking wrong address for validity" u="1"/>
        <s v="Feature | 00363 - As a developer, I can map the internal user groups to roles in the portal, so that user permissions can then be managed through AD" u="1"/>
        <s v="Bug | 01420 - BIT-103 Time, status and report freezes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Bug | 01296 - Improve data sync logging to capture invalid data" u="1"/>
        <s v="Task |  00045 - BEMISCP-11 Docs - BOL (SSRS - Can provide a copy of the BOL)" u="1"/>
        <s v="Task |  | 00169 - Disable public access to the QA environment" u="1"/>
        <s v="Feature |  | 00326 - Search &amp; browse - customer &amp; user profiles - Sales restricted view" u="1"/>
        <s v="Feature | 00020 - Creation of content structures and templates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01417 - The Company logo will not populate on Welcome page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Feature |  00101 - Landing page" u="1"/>
        <s v="Feature | 00101  - Landing page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Feature | 00389 - Create a sign in page" u="1"/>
        <s v="Task |  00007 - Alinhamento do Workflow Front-end" u="1"/>
        <s v="Bug | 02964 - 487 (BDT) - Issues with ship to filter" u="1"/>
        <s v="Bug |  | 02425 - 211 (BDT) - Report parameter issue from page view buttons- Open and Closed/ Releases and Shipment History" u="1"/>
        <s v="Task | 00582 - Mobile display problems" u="1"/>
        <s v="Feature | 00270 - Browse Customer Profiles" u="1"/>
        <s v="Feature | 00447 - Search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Bug | 02171 - 308 (BDT) - Orders page- iphone words in view detail spilling below allotted space" u="1"/>
        <s v="Feature |  00244 - Link &quot;Number Quantity on Hand&quot; from the Order Detail to the &quot;Item detail On-Hand Inventory&quot;" u="1"/>
        <s v="Feature | 00244  - Link &quot;Number Quantity on Hand&quot; from the Order Detail to the &quot;Item detail On-Hand Inventory&quot;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Bug | 01844 - LDAP Configurations are not automatically imported" u="1"/>
        <s v="Bug | 01294 - Poly Orders missing in portal" u="1"/>
        <s v="Feature |  | 00367 - Welcome screen / landing page" u="1"/>
        <s v="Bug |  | 02237 - The quotes around &quot;N/A&quot; need to be removed" u="1"/>
        <s v="Bug | 00829 - Order Description not wrapping correctly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00227 - Build PROD definition and execute it in us-east-1" u="1"/>
        <s v="Task |  | 00002 - Request a DNS update from Cemex to add subdomains to point to new AWS environment" u="1"/>
        <s v="Feature | 00246 - Link &quot;Number of items Pending Ship&quot; from Orders Detail to the &quot;Item detail Pending Shipment&quot; page" u="1"/>
        <s v="Feature |  00455 - Media &gt; Overview" u="1"/>
        <s v="Feature | 00230 - Products Overview" u="1"/>
        <s v="Bug | 01851 - 196 (BDT) Documents- cannot change location filter and add files to folder " u="1"/>
        <s v="Task |  00034 - Setup Project Infrasctructure" u="1"/>
        <s v="Feature |  | 00360 - Add pallet detail view in batch view." u="1"/>
        <s v="Feature | 02680 - 409 (BDT) - Inventory Batch with Multiple Mfg Dates" u="1"/>
        <s v="Bug | 00633 - Orders - Add &quot;cust&quot; before PO label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Feature |  00373 - *DELETE* User Profile updates from IBB" u="1"/>
        <s v="Feature | 00373  - *DELETE* User Profile updates from IBB" u="1"/>
        <s v="Bug | 01737 - User Agreement link does not show content for CSR roles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Task |  00047 - BEMISCP-11 Customer Inventory Terms" u="1"/>
        <s v="Feature |  00212 - View Customer logo on the dashboard" u="1"/>
        <s v="Feature |  | 01861 - Remove Buyer access to edit display settings" u="1"/>
        <s v="Feature |  00446 - View/Edit Customer Profile" u="1"/>
        <s v="Feature | 00446  - View/Edit Customer Profile" u="1"/>
        <s v="Feature |  | 00146 - Two Factor Authentication" u="1"/>
        <s v="BALLPARK - Demand | M | 00000 - Tools - Worklogger" u="1"/>
        <s v="Bug |  | 01139 - BIT-48 Padding issues with left nav menu " u="1"/>
        <s v="Task |  00127 - Tech Spec Truncation" u="1"/>
        <s v="Task |  | 00049 - BEMISCP-11 Customer Terms (Payment, Freight, Incoterms)" u="1"/>
        <s v="Task | 00041 - BEMISCP-11 Complete the Document matrix | Due date: 8/1/16" u="1"/>
        <s v="Feature | 00370 - View Updated Order Data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Task | 00794 - Refactoring Search for Shipment ordered and releases" u="1"/>
        <s v="Bug | 01985 - 243 (BDT) - Orders Page Material Avail Date/Req Date Incorrect " u="1"/>
        <s v="Bug |  00168 - Redirect Not Allowed" u="1"/>
        <s v="Bug | 01265 - Bemis Logo Compression/Crowding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090 - Cookies in Liferay Portal" u="1"/>
        <s v="Task | 00717 - Manage Technical Debt" u="1"/>
        <s v="Feature |  00101 - Product landing page" u="1"/>
        <s v="Feature |  00355 - Sort on Landing page" u="1"/>
        <s v="Feature | 00511 - Releases landing page" u="1"/>
        <s v="Task |  00399 - Convert actual Dashboard to Angular" u="1"/>
        <s v="Bug | 02347 - Unable to generate reports against SSRS" u="1"/>
        <s v="Bug |  | 00508 - Control Panel -&gt; Configuration -&gt; System Settings is broken in QA" u="1"/>
        <s v="Bug |  02028 - 273 (BDT) - User Profile- Buyer- blank space in address information" u="1"/>
        <s v="Bug | 02697 - Duplicate key row in object 'dbo.Bemis_Order'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Bug | 01181 - My Locations navigation on Mobile view is not working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00447 - Search Customer Profiles" u="1"/>
        <s v="Feature |  | 00207 - Populate User Profiles" u="1"/>
        <s v="Feature | 00270  - Browse Customer Profiles" u="1"/>
        <s v="Feature | 00447  - Search Custom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Bug | 00765 - Date format incorrect in UI" u="1"/>
        <s v="Task | 00003 - Setup LCS activation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Feature | 00146 - As a customer, I need to be notified and confirm access via my email when logging into the portal from a different computer/device, so that security is maintained" u="1"/>
        <s v="Dummy Feature |  00000 - Dummy Feature of  00057 - Tools - Sizing" u="1"/>
        <s v="Task | 00097 - CSR Visibility to All Customer Data" u="1"/>
        <s v="Bug | 00371 - RDR sync failing halfway through ORG sync" u="1"/>
        <s v="Feature | 00118 - Include videos on the full story page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Feature | 00221 - Orders Landing Page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Bug | 01684 - Add dependency in Theme for freemarker contributor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Bug | 03209 - Carrier List not updated in The Hub Production system (BDT 605)" u="1"/>
        <s v="Task | 00833 - Atividades Gerais Sprint 11" u="1"/>
        <s v="Feature | 00237 - Buyer Access to Order Documents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Feature |  00265 - As a buyer, I can see Pending Shipment Quantity for a specific item, so that I know how much product to expect" u="1"/>
        <s v="Bug |  02711 - 416 (BDT) - Order Pg Shipment Qty Missing" u="1"/>
        <s v="Feature |  | 00011 - Carousel with three images and timer" u="1"/>
        <s v="Feature | 03029 - BDT 507 - C&amp;S Closed Orders showing inventory displayed in portal " u="1"/>
        <s v="Bug | 02630 - Multiple OSGi registration calls from BemisPortalServiceImpl" u="1"/>
        <s v="Feature | 00114 - Feature can skip Review step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00784 - Modify default date range for shipment, release, and order screens" u="1"/>
        <s v="Feature | 00247 - As a buyer, I can download a copy of the shipment status report, so that I can view or share the information offline" u="1"/>
        <s v="Bug |  01151 - CSR should have access to limited control panel " u="1"/>
        <s v="Task | 00259 - Customer Site Template name should have 'template' in name" u="1"/>
        <s v="Task |  | 02830 - IBB configs need to be updated to use a different service account on QA" u="1"/>
        <s v="Bug |  01316 - BIT-78 All Reports- Default Column Fields " u="1"/>
        <s v="Bug | 03195 - BDT 601- CSR/Admin View error and inconsistencies displaying customer profile " u="1"/>
        <s v="Bug |  | 01307 - BIT-90 Report Landing Page- Open Order Status Report- remove parameters from selection screen" u="1"/>
        <s v="Feature | 00509 - View and Download Invoice and BoL 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Feature | 00222 - Order Detail in Orders by Item View" u="1"/>
        <s v="Ballpark - Demand |  00000 - Dummy Feature of Roles Configuration" u="1"/>
        <s v="Bug | 03094 - Ghost entries seen after order, release, shipment deletes" u="1"/>
        <s v="Feature | 00320 - Become a supplier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00023 - Add SCORM support" u="1"/>
        <s v="Feature |  | 00014 - Language selection functionality" u="1"/>
        <s v="Bug |  00804 - User Customer Name (Employer) is incorrect" u="1"/>
        <s v="Bug |  02555 - 386 (BDT) - Poly IBB On Hand Qty Incorrect" u="1"/>
        <s v="Bug | 02216 - 291 (BDT) - Release Pg Release PO incorrect" u="1"/>
        <s v="Feature |  00083 - Manage DL folder &amp; files" u="1"/>
        <s v="Feature | 00083 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ALLPARK - Demand | M | 00000 - Tools - Sizing" u="1"/>
        <s v="Bug |  01414 - BIT-121 Report time range selection box sizing - Shipments and Releases Report Test" u="1"/>
        <s v="Feature | 00664 - Feature without assignee CEMEXWEB" u="1"/>
        <s v="Bug | 01314 - BIT-72 Report page- open and closed order report; parameters not expected" u="1"/>
        <s v="Feature | 00198 - CSR - multi-location + multi-customer - browse and select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Bug | 02638 - BDT 428 -ID 4191- Documents should not be using File Entry LocalService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Bug | 01316 - BIT-78 All Reports- Default Column Fields " u="1"/>
        <s v="Feature |  00264 - Shipped quantity" u="1"/>
        <s v="Feature |  | 00254 - View/Edit my User Profile" u="1"/>
        <s v="Feature | 00446 - CSR View of Customer Profile" u="1"/>
        <s v="Bug |  02017 - 264 (BDT) - Viewing documents on mobile device" u="1"/>
        <s v="Bug |  | 02118 - 304(BDT) - 2FA has inconsistent behavior" u="1"/>
        <s v="Feature | 00156 - Portal Admin - Ext User - Groups &amp; Roles" u="1"/>
        <s v="Bug |  | 01644 - Mensagem de campo obrigatório só é exibida em um campo" u="1"/>
        <s v="Feature |  02599 - Enable 2FA &quot;Hard Switch&quot; in properties" u="1"/>
        <s v="Task | 00489 - Update Mini Left Menu based on feedback" u="1"/>
        <s v="Task | 00494 - Update shipments view based on feedback" u="1"/>
        <s v="Task | 00670 - Update Email templates" u="1"/>
        <s v="Feature |  00072 - Full story version 4" u="1"/>
        <s v="Bug | 02116 - 300 (BDT) - Releases page iphone footer issues" u="1"/>
        <s v="Bug | 01917 - Icons for Ship To filter and Sorting do not display on Mobile view of Orders page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Bug | 01670 - Web Content LAR needs to be updated to reflect latest changes to TemplateContextContributor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Feature | 00349 - As a co-packer, I can search globally through the system, so that I can get quick access to relevant information" u="1"/>
        <s v="Bug | 00007 - Hierarchical Class of Service (performance)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Task | 00597 - Use script to discover which web contents need to be fixed for ghost image issue" u="1"/>
        <s v="Feature | 00233 - As a buyer, I can see the quantity of &quot;Total Pending Shipments&quot; for a specific item on the shipment landing page, so that I can be aware of the quantity pending shipment" u="1"/>
        <s v="Feature |  | 02599 - Enable 2FA &quot;Hard Switch&quot; in properties" u="1"/>
        <s v="Bug | 02552 - 394 (BDT) - Scheduled Releases Sub-Pg Bemis Line# Contains Leading Zero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256 - View Customer Profile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02021 - 271 (BDT) - Orders page- hyperlinks and expand card issue" u="1"/>
        <s v="Bug |  01364 - Scheduled Releases Customer PO" u="1"/>
        <s v="Feature | 00082 - View Customer Profiles" u="1"/>
        <s v="Feature | 00207 - Populate User Profiles" u="1"/>
        <s v="Feature |  00219 - View customer site list" u="1"/>
        <s v="Feature | 00219  - View customer site list" u="1"/>
        <s v="Feature |  00011 - All Projects Configuration" u="1"/>
        <s v="Feature | 00080 - All external users are re-directed to the  dashboard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BALLPARK - Demand | M | 00000 - Demand without assignee BEMISCP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Feature | 00372 - *DUPLICATE* As a buyer, I can see updates to my customer profile screens when the IBB sends an update, so that I can have the most current information" u="1"/>
        <s v="Bug |  02703 - 398 (BDT) - Tyson Shipments missing" u="1"/>
        <s v="Task | 00063 - BEMISCP-11 Select a monitoring tool for IBB web services | Due date: 8/9/16" u="1"/>
        <s v="Bug | 00405 - In overview pages the banner and image below must fill in all screen size" u="1"/>
        <s v="Feature | 00649 - Sustainability &gt; Overview" u="1"/>
        <s v="Bug | 01054 - Entries on the Release Page are not displaying 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Bug | 02633 - 387 (BDT) - Missing any Shipments for Premium Waters" u="1"/>
        <s v="Task | 00418 - Criar o componente de multi-moeda e a mudança da exibição nas telas que são utilizadas - Atividade FrontEnd" u="1"/>
        <s v="Feature | 00221 - Buyer View of Orders by Item" u="1"/>
        <s v="Bug |  02591 - ORM exceptions for Customer Location data sync " u="1"/>
        <s v="Feature | 00512 - Release expanded view" u="1"/>
        <s v="Feature |  01428 - Updates to handle Standard Pallet Qty data" u="1"/>
        <s v="Bug |  | 02195 - 311 (BDT) - ERC 649A- Orders Page- report on main page has been incorrectly replaced" u="1"/>
        <s v="Bug | 03209 - Carrier List not updated in The Hub Production system (BDT 609)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Bug | 00856 - Spacing is incorrect across all pages" u="1"/>
        <s v="Bug | 00860 - Date Format is incorrect on all Pages" u="1"/>
        <s v="Bug | 02195 - 311 (BDT) - ERC 649A- Orders Page- report on main page has been incorrectly replaced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Feature | 01476 - Remove default e-mail suffix from login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Bug | 03152 - 575 BDT - Tablet- menu icon not in correct place on page" u="1"/>
        <s v="Feature |  | 00211 - Style and colors" u="1"/>
        <s v="Bug |  | 02468 - 378 (BDT) - Report Functionality- limit to reports showing per page but not additional pages to view" u="1"/>
        <s v="Feature | 00011 - Configure Liferay with LCS Activation" u="1"/>
        <s v="Feature |  00080 - All external users are re-directed to the  dashboard" u="1"/>
        <s v="Feature |  00512 - Release Details" u="1"/>
        <s v="Feature | 00512  - Release Details" u="1"/>
        <s v="Bug |  | 00194 - Make bootstrap grid match theme media widths" u="1"/>
        <s v="Task | 00476 - Mudança nas chamadas do serviço do SUC" u="1"/>
        <s v="Task | 00839 - Sprint Documentation" u="1"/>
        <s v="Task | 00567 - Add FB Pixel snippet to theme" u="1"/>
        <s v="Feature |  | 01180 - Updates to Bemis Portal Navigation" u="1"/>
        <s v="Bug | 02237 - The quotes around &quot;N/A&quot; need to be removed" u="1"/>
        <s v="Bug |  01997 - 260 (BDT) - Orders page- tablet view change page orientation from portrait to landscape" u="1"/>
        <s v="Feature | 00025 - Notify Google LMS of User activity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Task | 00672 - Deploy Build including DE15 and hotfix-711 to Production 6/9/2017" u="1"/>
        <s v="Feature | 00219 - Staff view of customer site list" u="1"/>
        <s v="Feature |  | 00025 - Notify Google LMS of User activity" u="1"/>
        <s v="Bug |  | 02019 - 266 (BDT) - Iphone view of welcome page- order of pages " u="1"/>
        <s v="Bug | 01868 - 209 (BDT) Report Page test- deleting reports in download folder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Feature | 00341 - As a BNA customer, I am prompted with the BNA user agreement upon my first login to the portal, so that legal compliance is maintained" u="1"/>
        <s v="Task |  00975 - Sprint Documentation SP10" u="1"/>
        <s v="Task |  00046 - BEMISCP-11 QMS data - Complaints, interaction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Feature | 00269 - Search for Customer Profile Details" u="1"/>
        <s v="Task |  | 00707 - Architectural discussions for Sprint 5" u="1"/>
        <s v="Task | 00971 - Automated test sprint 9" u="1"/>
        <s v="Task | 00711 - Prepare PROD deployment in AWS (Ireland region)" u="1"/>
        <s v="Bug | 01310 - BIT-93 Report Landing Page- Inventory Detail Report- remove unnecessary Parameters" u="1"/>
        <s v="Bug |  00179 - Internet Explorer Story List Text Missing" u="1"/>
        <s v="Bug |  | 01338 - BIT-99 Shipment Card Item Detail Box Scrolling Bar" u="1"/>
        <s v="Bug | 02231 - 327 (BDT) - Doned Shipments Sub-Page/Shipment Missing" u="1"/>
        <s v="Feature | 03031 - Data3 Invoice# Incorrect for a Cust Item " u="1"/>
        <s v="Bug | 02431 - 365 (BDT) - On Hand Inventory- mobile- click link on orders page takes you to Doned shipments tab" u="1"/>
        <s v="Bug | 00585 - Page Fix for Careers page" u="1"/>
        <s v="Bug |  | 02047 - 275 (BDT) - Order Pg Sort Functionality" u="1"/>
        <s v="Feature |  | 00058 - Carrier List CRUD" u="1"/>
        <s v="Bug | 01859 - 201 (BDT) Report Parameters- Optional Columns Open and Closed Order Status Report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Feature | 00077 - As a internal staff user, I would like to be able to browse to the customer portal while being asked for my existing username and password, so that my AD login will be used" u="1"/>
        <s v="Bug | 02899 - 469 BDT - Logos on IE are blurry" u="1"/>
        <s v="Bug | 00194 - Make bootstrap grid match theme media widths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Feature | 01480 - Performance Testing and Tuning" u="1"/>
        <s v="Feature | 02407 - Change date field used for selecting invoices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Feature | 01113 - Redesign for product description display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Feature | 00090 - Jira Workflow updates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Feature | 00258 - Buyer - View Invoice in Expanded Shipment View" u="1"/>
        <s v="Task |  | 00481 - UAT/Prod Deployment" u="1"/>
        <s v="Bug | 00179 - Internet Explorer Story List Text Missing" u="1"/>
        <s v="Task |  | 00044 - BEMISCP-11 When to onboard new customer - What to do when onboarding new cust" u="1"/>
        <s v="Feature | 00376 - Generate Order Reports" u="1"/>
        <s v="Feature | 00070 - Create Theme" u="1"/>
        <s v="Feature |  | 00295 - Products + Service &gt; Trading" u="1"/>
        <s v="Feature |  | 00056 - Implement Celsus sync job to index Liferay Sites" u="1"/>
        <s v="Bug | 02219 - 324 (BDT) - Inventory report- mobile devices hyperlinks in reports" u="1"/>
        <s v="Task | 00169 - Disable public access to the QA environment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01728 - Update Customer Profiles default order" u="1"/>
        <s v="Feature |  | 03045 -  BDT 489 - Portal LDAP configuration change" u="1"/>
        <s v="Task | 00018 - BEMISCP-11 Quality - Credit Status (TBD system, not in IBB - Ruth Checking)" u="1"/>
        <s v="Task |  00071 - BEMISCP-11 Validate with Process Owners - Internal entitlements" u="1"/>
        <s v="Bug |  01448 - BIT-154 User Agreement Link " u="1"/>
        <s v="Feature |  00375 - Buyer - Reports Landing Page" u="1"/>
        <s v="Feature | 00367 - Welcome screen / landing page" u="1"/>
        <s v="Feature | 00375  - Buyer - Reports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Bug | 02092 - 270 (BDT) - Release page missing info for Jel Se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00029 - Stock ticker portlet" u="1"/>
        <s v="Feature |  00218 - Select customer site template" u="1"/>
        <s v="Feature |  00166 - Add behavior to Homepage links" u="1"/>
        <s v="Bug |  02216 - 291 (BDT) - Release Pg Release PO incorrect" u="1"/>
        <s v="Bug | 00716 - When an order is deleted, the associated AssetEntries are not removed" u="1"/>
        <s v="Bug |  | 02934 - BIN Doc Service Test Invoice URL Parameters" u="1"/>
        <s v="Task |  | 00592 - Homepage hero banner text is too large" u="1"/>
        <s v="Task | 00218 - As a user, I can see the Cemex stock price for NYSE and BMV" u="1"/>
        <s v="Task |  | 00862 - Collect remaining Go-Live tasks" u="1"/>
        <s v="Bug | 00719 - Custom-users-admin-web causes startup exceptions in portal" u="1"/>
        <s v="Feature | 00249 - Shipment Search" u="1"/>
        <s v="Bug |  | 01417 - The Company logo will not populate on Welcome page" u="1"/>
        <s v="Feature |  | 00024 - Questions Portlet" u="1"/>
        <s v="Feature | 03374 - Adjust GC log rotation settings" u="1"/>
        <s v="Feature | 03347 - Finalize Hub Admin and Deployment Guides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Task |  00042 - BEMISCP-11 Watchlist - Orders / Items (Like starring an email)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02599 - Enable 2FA &quot;Hard Switch&quot; in properties" u="1"/>
        <s v="Bug | 01256 - BOL and INVOICE Hyperlink fails to load PDF" u="1"/>
        <s v="Feature |  | 00022 - Investors - Overview" u="1"/>
        <s v="Feature | 00145 - Sustainability Overview" u="1"/>
        <s v="Bug |  00306 - Break page buttons evenly, centered" u="1"/>
        <s v="Task | 00002 - Request a DNS update from Cemex to add subdomains to point to new AWS environment" u="1"/>
        <s v="Feature |  00511 - Releases by Item" u="1"/>
        <s v="Feature |  00645 - Buyer - Security" u="1"/>
        <s v="Feature | 00511  - Releases by Item" u="1"/>
        <s v="Feature | 01857 - 199 (BDT)Report Parameter - Date range can have a null value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Bug | 01415 - BIT-129 Invoice Report Field" u="1"/>
        <s v="Task |  00370 - Common and specific infrastructure to the angular-portlet" u="1"/>
        <s v="Bug | 02450 - Failures in initial data sync does cause a full data sync to occur in the next data sync interval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00805 - On the Child Customer profile page format is incorrect" u="1"/>
        <s v="Bug |  | 02217 - 320 (BDT) - Shipment Pg Bemis Order#/Line# Incorrect" u="1"/>
        <s v="Bug |  | 02130 - 306 (BDT) - Orders Page-Report button" u="1"/>
        <s v="Bug | 03259 - UAT50 - Documents and Media temporarily unavailable" u="1"/>
        <s v="Feature | 01396 - Allow Buyers to update display settings " u="1"/>
        <s v="Ballpark - Demand | 00000 - Dummy Feature of Tools - Worklogger" u="1"/>
        <s v="Task |  | 00925 - Internal SIM users should be added to the SIM organization automatically upon first login" u="1"/>
        <s v="Feature | 00352 - As a buyer, I can select a customer location or locations and this context will be kept between times where I logout and login to the system, so that I can pickup where I left off" u="1"/>
        <s v="Bug |  | 01183 - Reports Landing Page - Report Header is not aligned properly" u="1"/>
        <s v="Bug | 01548 - Customer logo is not displayed on parent or child location dashboards" u="1"/>
        <s v="Task |  | 01102 - Export to SIMPS enhancements required" u="1"/>
        <s v="Bug | 01102 - Mensaje de error al intentar hacer mas de 10 transferencias a terceros" u="1"/>
        <s v="Bug | 01270 - BIT-85 Column picks disappear in report form" u="1"/>
        <s v="Task | 00054 - BEMISCP-11 Workflow - COC, COAs upload to portal - Quality related" u="1"/>
        <s v="Bug | 01074 - Personal transfers - Dropdown menus slightly move other fields" u="1"/>
        <s v="Task | 02939 - Update LDAP configs now that FP 13 has fixed automatic loading of configs" u="1"/>
        <s v="Feature | 01661 - Update default settings for locations filter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01177 - BIT-136 Importing Orgs from UAT generates exception" u="1"/>
        <s v="Bug | 01876 - 216 (BDT) Theme Generate Report link wrong color " u="1"/>
        <s v="Feature | 01852 - Update User Creation Test Scripts and customer LARs " u="1"/>
        <s v="Bug |  02485 - 380 (BDT) - Documents functionality missing add Basic Document" u="1"/>
        <s v="Feature |  00146 - Add two factor authentication support to portal." u="1"/>
        <s v="Feature | 00146  - Add two factor authentication support to portal." u="1"/>
        <s v="Bug |  01264 - Cust Item Font color on Item detail view is incorrect" u="1"/>
        <s v="Feature | 01718 - BIT 176 -  BOL# Incorrect for SAP Shipment" u="1"/>
        <s v="Feature | 00022 - Add support for OpenID Connect Single Sign-on" u="1"/>
        <s v="Bug |  | 01305 -   Multiple Fields showing incorrectly on the Orders Landing Page. " u="1"/>
        <s v="Feature |  00184 - Key Company Data" u="1"/>
        <s v="Feature | 01575 - User friendly error messaging for CSR and Buyers" u="1"/>
        <s v="Feature | 00010 - Add status: draft, published, archived, invisible " u="1"/>
        <s v="Feature |  00329 - Site map" u="1"/>
        <s v="Feature |  00225 - Search Orders by Indexed fields" u="1"/>
        <s v="Feature | 00225  - Search Orders by Indexed fields" u="1"/>
        <s v="Feature |  | 00205 - CSR - notes - viewable internally only " u="1"/>
        <s v="Feature |  00007 - Design menus" u="1"/>
        <s v="Feature | 00172 - Password Policy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Task | 00259 - Customer Site Template should have 'template' in name" u="1"/>
        <s v="Feature | 00060 - Wip validator service REST" u="1"/>
        <s v="Bug |  | 00113 - Pie Charts are only displaying one column of data" u="1"/>
        <s v="Bug |  00474 - SoyPortlet does not build on windows machine" u="1"/>
        <s v="Bug |  | 02431 - 365 (BDT) - On Hand Inventory- mobile- click link on orders page takes you to completed shipments tab" u="1"/>
        <s v="Task |  | 00995 - Functions required to maintain 'Child' records" u="1"/>
        <s v="Feature | 01211 - Wildcard search for certain fields" u="1"/>
        <s v="Bug |  | 02116 - 300 (BDT) - Releases page iphone footer issues" u="1"/>
        <s v="Bug |  | 01151 - CSR should have access to limited control panel " u="1"/>
        <s v="Feature | 00329 - Site map" u="1"/>
        <s v="Bug | 00941 - Explore the reason why the QA environment does not send email notification" u="1"/>
        <s v="Feature |  | 00229 - View Order Note." u="1"/>
        <s v="Bug | 02700 - Buyers need to have ability to delete for specific folders " u="1"/>
        <s v="Bug |  | 01875 - 214 (BDT)Theme test- excel logo wrong color and font spacing incorrect" u="1"/>
        <s v="Bug |  | 01057 - User profile editing is accessible to users other than the profile owner." u="1"/>
        <s v="Bug | 02042 - 270 (BDT) Global Search displays error" u="1"/>
        <s v="Feature | 00373 - *DELETE* User Profile updates from IBB" u="1"/>
        <s v="Bug |  | 01102 - Mensaje de error al intentar hacer mas de 10 transferencias a terceros" u="1"/>
        <s v="Feature | 00016 - Required Fields" u="1"/>
        <s v="Feature |  00367 - Welcome screen / landing page" u="1"/>
        <s v="Feature | 00107 - Buyer - Shipments landing page" u="1"/>
        <s v="Bug |  02347 - Unable to generate reports against SSRS" u="1"/>
        <s v="Feature |  00016 - Required Fields" u="1"/>
        <s v="Task |  00090 - Cookies in Liferay Portal" u="1"/>
        <s v="Bug | 02025 - 252 (BDT) - Order Pg View Details 0 Confirmed Qty Should Not Be Displayed" u="1"/>
        <s v="Feature |  | 00136 - Choose the section of the image to show" u="1"/>
        <s v="Bug |  01195 -  Icons do not display properly on the Global Search Results Page" u="1"/>
        <s v="Feature | 00301 - As a buyer, I have view permissions for all the folders in a location's document folders, so that I can see the appropriate information" u="1"/>
        <s v="Bug |  02049 - 278 (BDT) - On-hand inventory page- iphone issue with footer" u="1"/>
        <s v="Task |  00126 - Sales Order Status" u="1"/>
        <s v="Feature | 00369 - View Updated Inventory Data" u="1"/>
        <s v="Task | 00510 - Investigate rejected SVG icons in Chrome when using CDN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03139 - 570 BDT - Reports download view is not automatically refreshing" u="1"/>
        <s v="Bug |  01267 - Cancel button on Locations filter does not work " u="1"/>
        <s v="Bug | 03136 - Portal display of On Hand inventory quantity is incorrect  " u="1"/>
        <s v="Bug | 01755 - Mobile Footer no longer displays" u="1"/>
        <s v="Bug | 00736 - Proxy configuration breaks access to IBB " u="1"/>
        <s v="Bug | 00634 - Orders -  Bemis Order # (line No) should be moved below Bemis ProductID" u="1"/>
        <s v="Feature | 00261 - Notes view" u="1"/>
        <s v="Bug | 00010 - Product Attribute" u="1"/>
        <s v="Feature | 00219 - View customer site list" u="1"/>
        <s v="Feature | 00063 - Show full story on Media Center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Task | 03233 - Task without assignee BEMISCP" u="1"/>
        <s v="Feature |  00511 - Releases landing page" u="1"/>
        <s v="Feature |  | 00221 - Orders Landing Page" u="1"/>
        <s v="Feature | 00107 - Shipments Landing Page" u="1"/>
        <s v="Feature | 00249 - Search on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Bug | 02733 - 425 (BDT) - Documents- buyer not able to delete a document" u="1"/>
        <s v="Task | 00664 - Match the sizing of app servers in qa-live and qa-staging to prod" u="1"/>
        <s v="Feature |  02445 - 321 (BDT) - Update the Shipments to use a field on Delivery vs. from Orders" u="1"/>
        <s v="Bug | 02464 - Update error logs to capture ID and field " u="1"/>
        <s v="Feature |  00352 - Location selection persists between logout and login" u="1"/>
        <s v="Task | 00255 - Atividades Gerais sprint 06" u="1"/>
        <s v="Feature | 00076 - Dashboard - New indicators" u="1"/>
        <s v="Feature | 00071 - Full story version 2" u="1"/>
        <s v="Feature |  | 00224 - Order Detail in Orders by PO" u="1"/>
        <s v="Feature | 00245 - Link &quot;Number of Items Shipped&quot; from the Orders Detail to &quot;Item detail Shipped Qty&quot; page" u="1"/>
        <s v="Bug | 01086 - Validation is ocurring too early in &quot;Hacer&quot; field (personal transfer)." u="1"/>
        <s v="Feature |  00138 - Carrousel for full story pages" u="1"/>
        <s v="Bug | 02904 - Premium Waters Index Issue" u="1"/>
        <s v="Feature |  02407 - Change date field used for selecting invoices" u="1"/>
        <s v="Task | 00076 - BIN Division Customers" u="1"/>
        <s v="Bug |  02710 - 389 (BDT) - CSR AD group users are not set up properly" u="1"/>
        <s v="Bug | 02028 - 273 (BDT) - User Profile- Buyer- blank space in address information" u="1"/>
        <s v="Bug |  01548 - Customer logo is not displayed on parent or child location dashboards" u="1"/>
        <s v="Feature |  | 01526 - Update the report that is called from the Open Order Landing Page" u="1"/>
        <s v="Feature | 01173 - BIT-49 Ship To Filter Name &amp; Address Info Missing in Portal" u="1"/>
        <s v="Bug |  | 01104 - The User can not insert an amount - Internet Explorer V11- Third party transfers" u="1"/>
        <s v="Bug | 01414 - BIT-121 Report time range selection box sizing - Shipments and Releases Report Test" u="1"/>
        <s v="Feature | 00308 - Customer - Org - Permissions" u="1"/>
        <s v="Bug |  | 00941 - Explore the reason why the QA environment does not send email notification" u="1"/>
        <s v="Task |  | 00975 - Sprint Documentation SP10" u="1"/>
        <s v="Task | 00598 - Fix issue with titles not being shown for image selector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00302 - Customer location filter" u="1"/>
        <s v="Feature |  00077 - Import Users and Groups from AD" u="1"/>
        <s v="Feature | 00077  - Import Users and Groups from AD" u="1"/>
        <s v="Feature |  00359 - Batch details in on-hand inventory" u="1"/>
        <s v="Bug |  01684 - Add dependency in Theme for freemarker contributor" u="1"/>
        <s v="Task |  00002 - Request a DNS update from Cemex to add subdomains to point to new AWS environment" u="1"/>
        <s v="Task | 00023 - Specific Training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01290 - Pinnacle Foods/Ethicon Inc SAP Orders missing in Orders Page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Feature | 00269  - Search for Customer Profile Details" u="1"/>
        <s v="Task |  01045 - Have a way to correct the Child template in PROD" u="1"/>
        <s v="Feature |  | 00088 - Customer Org Hierarchy" u="1"/>
        <s v="Feature | 00058 - Carrier List CRUD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Task | 00481  - UAT/Prod Deployment" u="1"/>
        <s v="Feature | 03229 - Feature without assignee BEMISCP" u="1"/>
        <s v="Feature | 00231 - Show Open Demand and On Hand Qty for Item." u="1"/>
        <s v="Bug | 01076 - Red line indicating error does not appear when leaving empty the &quot;Cuenta destino&quot; field (personal transfer)." u="1"/>
        <s v="Feature | 00073 - Unified boiler plate text" u="1"/>
        <s v="Feature |  00378 - Generate Inventory Reports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Bug | 03244 - BDT 619- Production UAT scripting error Documents in IE" u="1"/>
        <s v="Feature | 00025 - Liferay Governance" u="1"/>
        <s v="Feature | 00247 - Download - report link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Feature | 00113 - Review Liferay policies to SDLC Tools Passwords" u="1"/>
        <s v="Task | 00297 - Install fixes for PDF preview on QA env" u="1"/>
        <s v="Bug | 00635 - Emails from production server are not being receiv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02830 - IBB configs need to be updated to use a different service account on QA" u="1"/>
        <s v="Task | 00679 - Upgrade staging servers to use 4g heap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02130 - 306 (BDT) - Orders Page-Report button" u="1"/>
        <s v="Feature | 00103 - Operational indicators" u="1"/>
        <s v="Bug |  | 01106 - Hover background is not displaying correcly on &quot;Cuenta de destino&quot; field (3rd party transfer)" u="1"/>
        <s v="Feature | 03397 - (CR-67) Remove date parameter from open order status report - orders." u="1"/>
        <s v="Feature |  00328 - Custom 404 page" u="1"/>
        <s v="Feature | 00515 - Report Definition Parsing" u="1"/>
        <s v="Bug | 03197 - BDT 602 -  First time login doesn show the MENU on the Bemis site" u="1"/>
        <s v="Feature | 00072 - Full story version 4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01250 - Update Sales Order to take in different order statuses" u="1"/>
        <s v="Feature |  | 00217 - Update Customer logo" u="1"/>
        <s v="Bug |  02232 - 330 (BDT) - Order Pg Bemis Product ID missing" u="1"/>
        <s v="Bug | 02231 - 327 (BDT) - Completed Shipments Sub-Page/Shipment Missing" u="1"/>
        <s v="Bug | 00087 - Should only send learning records when log in as a learner " u="1"/>
        <s v="Bug |  | 02001 - Duplicate Entry Exception for Orders" u="1"/>
        <s v="Task |  02830 - IBB configs need to be updated to use a different service account on QA" u="1"/>
        <s v="Feature |  00372 - *DUPLICATE* As a buyer, I can see updates to my customer profile screens when the IBB sends an update, so that I can have the most current information" u="1"/>
        <s v="Feature |  00058 - Carrier List CRUD" u="1"/>
        <s v="Task | 00012 - BEMISCP-11 Buying Well" u="1"/>
        <s v="Task |  00670 - Automated tests for Sprint 4" u="1"/>
        <s v="Feature | 00125 - Product spec detail page - CSR view" u="1"/>
        <s v="Bug |  01414 - Report time range selection box sizing - Shipments and Releases Report Test" u="1"/>
        <s v="Task |  | 00830 - Perform SIMPS migration test" u="1"/>
        <s v="Feature | 03198 - BDT 603 Production - Cust ID 0076618- no invoice and BOL PDF generates for specific order" u="1"/>
        <s v="Bug |  | 01265 - Bemis Logo Compression/Crowding" u="1"/>
        <s v="Bug | 01877 - 217 (BDT) Theme- upload document screen- blue bar theme updates " u="1"/>
        <s v="Bug | 01426 - On Hand Inventory Details shows a Total Qty but there are no details " u="1"/>
        <s v="Task |  00038 - BEMISCP-11 Quality docs - Storage and access - KMS &amp; SAP (not until Phases 2&amp;3)" u="1"/>
        <s v="Feature |  | 02702 - 417 (BDT) - Consignment Overstated Shipped Qty on Orders Pg" u="1"/>
        <s v="Bug | 02020 - 267 (BDT) - General mobile design- menu should automatically collapse " u="1"/>
        <s v="Task |  02939 - Update LDAP configs now that FP 13 has fixed automatic loading of configs" u="1"/>
        <s v="Task |  | 00095 - SMS Spec Detail" u="1"/>
        <s v="Task | 00450 - Setup Liferay Development Infrastructure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Task | 00491 - Update product details based on feedback" u="1"/>
        <s v="Bug | 02918 - BDT 474 Reporting errors for Customer id 0138680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Task |  00020 - BEMISCP-11 Portal Admin / Power Users" u="1"/>
        <s v="Bug |  | 01293 - BIT-77 Missing sales order Data3" u="1"/>
        <s v="Feature |  00537 - Link from Bemis Logo" u="1"/>
        <s v="Task |  00056 - BEMISCP-11 Can the same release PO or BOL have multiple invoices?" u="1"/>
        <s v="Bug | 03378 - UAT77 - Reports - 'From' date calendar not working" u="1"/>
        <s v="Bug |  | 01922 - Standard Pallet Qty should be N/A when batch line Pallet amount is N/A" u="1"/>
        <s v="Bug |  01318 - Report Time not correct" u="1"/>
        <s v="Bug | 02375 - Order and Release Duplicate Exceptions  " u="1"/>
        <s v="Bug |  | 02633 - 387 (BDT) - Missing any Shipments for Premium Waters" u="1"/>
        <s v="Bug |  02563 - 392 (BDT) - Inventory Pg Standard Pallet Qty and UoM missing" u="1"/>
        <s v="Feature | 00406 - Adjust forms layouts" u="1"/>
        <s v="Bug | 03382 - UAT79 - Order with Inventory Missing in Portal" u="1"/>
        <s v="Feature |  00331 - Logistics - Products/Items - Pending Shipments - no pricing" u="1"/>
        <s v="Feature |  01643 - Update Sales Order Data Sync logic" u="1"/>
        <s v="Task | 00384 - Setup Bemis Development Infrastructure" u="1"/>
        <s v="Bug | 03264 - UAT 55 - _x0009_Report Preview Pane Size Issue" u="1"/>
        <s v="Feature |  | 00359 - Batch details in on-hand inventory" u="1"/>
        <s v="Bug |  | 01994 - 246 (BDT) - Order Pg Req Date Incorrect" u="1"/>
        <s v="Bug | 00804 - User Customer Name (Employer) is incorrect" u="1"/>
        <s v="Bug | 02555 - 386 (BDT) - Poly IBB On Hand Qty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Task | 00566 - Configure workspace build to use NPM cache outside of the workspace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Bug | 00854 - Orders Page - Quantity Fields Show 0 Value" u="1"/>
        <s v="Bug | 00806 - Ship To Filter Issue with Name Format and number of items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Feature | 00146 - Add two factor authentication support to portal." u="1"/>
        <s v="Feature | 01687 - Create a hook so that CSR users can see which users have Doned setup" u="1"/>
        <s v="Bug | 01264 - BIT-142 Cust Item Font color on Item detail view is incorrect" u="1"/>
        <s v="Bug |  | 02593 - Report Preview UI issues " u="1"/>
        <s v="Bug | 03179 - BDT 591- AS CSR or Admin, unable to edit user profile from profile page. " u="1"/>
        <s v="Task | 00905 - Add History and Start dates to a number of Fields" u="1"/>
        <s v="Task |  | 00064 - BEMISCP-11 CSR hierarchy" u="1"/>
        <s v="Feature | 00174 - Corporate Governance Page" u="1"/>
        <s v="Bug |  00578 - Image Animations do not match mockups for Stories" u="1"/>
        <s v="Feature | 00448 - Search User Profiles" u="1"/>
        <s v="Ballpark - Demand | 00000 - Dummy Feature of Tools - Sonar" u="1"/>
        <s v="Feature |  | 02905 - 470 (BDT) Updates to Consignment logic - Completed Shipments Sub-page shipped qty mismatched" u="1"/>
        <s v="Feature | 00136 - Choose the section of the image to show" u="1"/>
        <s v="Feature |  | 00286 - Global search" u="1"/>
        <s v="Task | 00597 - Atividades Gerais Sprint 08" u="1"/>
        <s v="Task |  00034 - BEMISCP-11 Dynamic build of field selection for building reports (SSRS)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Bug | 03198 - BDT 603 Production - Cust ID 0076618- no invoice and BOL PDF generates for specific order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Feature | 00110 - Buyer - Show Expanded Shipment View" u="1"/>
        <s v="Bug | 02214 - Not all shipments are being synced from IBB" u="1"/>
        <s v="Task |  00050 - Create portlet to add location based configurations" u="1"/>
        <s v="Bug |  01639 - BIT-159 Create Access Path for CSRs to Customer and User Profiles" u="1"/>
        <s v="Bug | 01842 - User Edit Profile not working" u="1"/>
        <s v="Bug | 01645 - Cadastro de fornecedor com textos grandes quebram o cadastro" u="1"/>
        <s v="Task | 00071 - BEMISCP-11 Validate with Process Owners - Internal entitlements" u="1"/>
        <s v="Task | 00017 - BEMISCP-11 Demo WebCenter" u="1"/>
        <s v="Feature |  | 00063 - Show full story on Media Center" u="1"/>
        <s v="Feature |  | 00509 - View and Download Invoice and BoL " u="1"/>
        <s v="Task | 00584 - Make the user Jose Alberto as a site admin" u="1"/>
        <s v="Bug |  00175 - Sprint 2 minor fixes" u="1"/>
        <s v="Bug |  | 00458 - Indexing of Web Content has errors" u="1"/>
        <s v="Feature | 00416 - Adjustments throughout the portal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01736 - Update Dashboard Content" u="1"/>
        <s v="Feature |  | 00307 - Co-packer multi-selection" u="1"/>
        <s v="Feature | 00319 - Sustainable Sourcing" u="1"/>
        <s v="Bug | 00127 - Bugs can be moved to Done anytime" u="1"/>
        <s v="Feature |  01575 - User friendly error page" u="1"/>
        <s v="Bug | 02426 - 378 (BDT) - No pagination on the Reports Download page " u="1"/>
        <s v="Feature |  00363 - Map AD Groups to Roles" u="1"/>
        <s v="Feature | 00363  - Map AD Groups to Roles" u="1"/>
        <s v="Bug |  00722 - Race condition in DataSyncEngineImpl" u="1"/>
        <s v="Feature | 00011 - Carousel with three images and timer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Bug | 01989 - 256 (BDT) - Orders page- mobile- expanded view - view details" u="1"/>
        <s v="Feature | 00512 - Release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00632 - Orders - Move view details link below order Date" u="1"/>
        <s v="Feature | 01475 - Update default Sort Order and Add Sort Functioanlity on Orders Landing Page " u="1"/>
        <s v="Bug |  | 02696 - JDBC Connection Exceptions in logs" u="1"/>
        <s v="Task |  00752 - Atividades gerais sprint 10" u="1"/>
        <s v="Feature | 00645 - Buyer - Security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Bug | 01005 - Do not show Scheduled Releases with a Confirmed Qty =  0" u="1"/>
        <s v="Bug | 02486 - 381 (BDT) - Portal console as admin or CSR- missing the Customer Profile view on the Bemis Site" u="1"/>
        <s v="Feature |  00377 - Generate Shipping Reports" u="1"/>
        <s v="Task | 00583 - Create microsite page for Switzerland" u="1"/>
        <s v="Bug |  | 00830 - Two Factor authentication configuration is in the wrong category" u="1"/>
        <s v="Bug | 00541 - Stock Ticker portlet has content that is not localized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Feature | 01643 - Update Sales Order Data Sync logic" u="1"/>
        <s v="Bug |  | 02042 - 270 (BDT) Global Search displays error" u="1"/>
        <s v="Feature |  00007 - Add expiration date" u="1"/>
        <s v="Feature |  00371 - Customer Profile updates from IBB" u="1"/>
        <s v="Feature | 00371  - Customer Profile updates from IBB" u="1"/>
        <s v="Bug | 02711 - 416 (BDT) - Order Pg Shipment Qty Missing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578 - Image Animations do not match mockups for Stories" u="1"/>
        <s v="Feature | 00296 - Mobile compatibility" u="1"/>
        <s v="Task |  | 00003 - Setup LCS activation" u="1"/>
        <s v="Task |  | 00638 - Apply and verify fix for CEMEX-21" u="1"/>
        <s v="Task |  00037 - BEMISCP-11 Entitlements - Proc Mgr - Negotiations - CRM" u="1"/>
        <s v="Bug | 01030 - Add open condition to Search Orders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Task |  00025 - BEMISCP-11 Consignment - Make and Hold Aging" u="1"/>
        <s v="Bug | 02348 - 237 (BDT) - Inventory Report - Excel will not generate in portal" u="1"/>
        <s v="Bug |  00784 - Modify default date range for shipment, release, and order screens" u="1"/>
        <s v="Bug | 02009 - 241 (BDT) - Searchbar missing X " u="1"/>
        <s v="Feature | 01873 - 211 (BDT) Report parameter issue from page view buttons- Open and Closed/ Releases and Shipment History " u="1"/>
        <s v="Bug | 01644 - Mensagem de campo obrigatório só é exibida em um campo" u="1"/>
        <s v="Dummy Feature |  00000 - Dummy Feature of  00054 - Tools - Indicators" u="1"/>
        <s v="Task | 00095 - SMS Spec Detail" u="1"/>
        <s v="Bug | 01318 - BIT-73 Report Time not correct" u="1"/>
        <s v="Feature | 01697 - Update display of qty fields on Orders page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00903 - Update Releases data fields to allow for decimals " u="1"/>
        <s v="Feature |  00515 - Report Definition Parsing" u="1"/>
        <s v="Feature | 02878 - Update Carrier list for portal 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Feature | 03020 - Shipments - handle BAG UoM values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02491 - 383 (BDT) If a single schedule line exists, and the Confirmed Qty = 0 LOG AND SKIP RECORD" u="1"/>
        <s v="Bug |  | 01985 - 243 (BDT) - Orders Page Material Avail Date/Req Date Incorrect " u="1"/>
        <s v="Task |  00049 - Update implementation for Notifier entity service (formerly Configuration)" u="1"/>
        <s v="Bug | 02047 - 275 (BDT) - Order Pg Sort Functionality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Task | 00005 - Define strategy around docker and Azure" u="1"/>
        <s v="Feature | 00286 - Global search" u="1"/>
        <s v="Feature | 00321 - Global Search" u="1"/>
        <s v="Feature |  | 00206 - Populate Customer Profiles" u="1"/>
        <s v="Bug | 01766 - Fixes needed for View Details dropdown desktop and mobile view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Feature | 00161 - Format text and add links to image description" u="1"/>
        <s v="Task |  | 00007 - Alinhamento do Workflow Front-end" u="1"/>
        <s v="Bug | 02213 - Search box in Ship To Filter is broken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Bug | 01994 - 246 (BDT) - Order Pg Req Date Incorrect" u="1"/>
        <s v="Task | 00053 - BEMISCP-11 Sales org - System view of customer data BHP/NA" u="1"/>
        <s v="Task |  | 00834 - Automated tests for Sprint 6" u="1"/>
        <s v="Bug | 00688 - DataSync background tasks are not being cleaned up from DB when successfully Doned" u="1"/>
        <s v="Task | 00048 - BEMISCP-11 Previous customer Item Number" u="1"/>
        <s v="Feature | 00152 - Management Team" u="1"/>
        <s v="Task | 00862 - Collect remaining Go-Live tasks" u="1"/>
        <s v="Bug |  | 01414 - BIT-121 Report time range selection box sizing - Shipments and Releases Report Test" u="1"/>
        <s v="Feature | 01858 - 200 (BDT)New Parameter Customer Item- wording on Field label" u="1"/>
        <s v="Bug | 01878 - 218 (BDT) Theme My Company Locations Font Color" u="1"/>
        <s v="Feature |  00150 - Company profile page" u="1"/>
        <s v="Task | 00495 - Update products based on feedback" u="1"/>
        <s v="Task |  | 00580 - Change Reports page &quot;SEC Filings&quot; section to open in a new tab" u="1"/>
        <s v="Bug | 01311 - BIT-94 All Reports from Reports Landing Page- Optional column formatting" u="1"/>
        <s v="Task |  | 00589 - Review page structure and templates" u="1"/>
        <s v="Dummy Feature |  00000 - Dummy Feature of  00496 - Buyer - Document Management" u="1"/>
        <s v="Bug | 02369 - Multiple threads may cause NTLM errors in DataSync" u="1"/>
        <s v="Feature | 00027 - Install on Azure Production" u="1"/>
        <s v="Feature |  | 01007 - Requirement changes for Reports" u="1"/>
        <s v="Bug |  | 00820 - Enter the portal without logging back" u="1"/>
        <s v="Feature | 00349 - Global search - not show pricing" u="1"/>
        <s v="Feature | 00280 - Careers Page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03032 - 510 BDT - Shipments landing page not showing recent shipments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Task | 00126 - Sales Order Status" u="1"/>
        <s v="Bug |  01364 - BIT-114 Scheduled Releases Customer PO" u="1"/>
        <s v="Feature | 00015 - Place remaining Webcontents on Homepage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03229 - 609 BDT - Inventory Detail Report - Get preview but Error on Downloads screen" u="1"/>
        <s v="Bug |  00855 - Orders Page - Marshal Orders with NULL Statuses Displayed" u="1"/>
        <s v="Task | 00481 - UAT/Prod Deployment" u="1"/>
        <s v="Bug | 02425 - 211 (BDT) - Report parameter issue from page view buttons- Open and Closed/ Releases and Shipment History" u="1"/>
        <s v="Dummy Feature |  00000 - Dummy Feature" u="1"/>
        <s v="Dummy Feature | 00000  - Dummy Feature" u="1"/>
        <s v="Feature |  | 01473 - Switch to SOAP calls" u="1"/>
        <s v="Task | 00686 - QA test FP15 and hotfix 815" u="1"/>
        <s v="Bug |  01737 - User Agreement link does not show content" u="1"/>
        <s v="Bug |  | 02377 - SSRS connection settings are not set during deployment " u="1"/>
        <s v="Bug | 02133 - Search icon in ship to dropdown is off center" u="1"/>
        <s v="Bug | 01119 - BIT-145 State, zip and Country details missing from Ship From location on Releases Page" u="1"/>
        <s v="Feature | 00175 - Order Status Report" u="1"/>
        <s v="Bug |  | 01995 - 257 (BDT) - Orders page- mobile footer cutting off fields" u="1"/>
        <s v="Bug |  | 01967 - 235 (BDT) - confirmed quantity in view details shows error " u="1"/>
        <s v="Feature | 02996 - Final Clean QA Deploy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00215 - Login &amp; Logout" u="1"/>
        <s v="Feature |  01007 - Requirement changes for Reports" u="1"/>
        <s v="Bug | 03180 - BDT 575 Tablet menu does not automatically collapse" u="1"/>
        <s v="Task |  00603 - Create Earnings Webcast 1Q 17 page" u="1"/>
        <s v="Task |  | 01133 - Atividades de automação do Sprint 16. " u="1"/>
        <s v="Bug | 00498 - Fix QA issues" u="1"/>
        <s v="Task | 00057 - Management work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BALLPARK - Demand | M | 00000 - Need Credentials for the Following Users" u="1"/>
        <s v="Feature | 00079 - As an internal user, when I successfully login to the portal, I am redirected to the CSR site within the portal" u="1"/>
        <s v="Task |  | 01775 - Theme Dependency needs to be updated due to core changes" u="1"/>
        <s v="Feature | 00296 - As a customer, I can login and view the same screens on my mobile device, so that I can use the site on the go" u="1"/>
        <s v="Task |  00255 - Atividades Gerais sprint 06" u="1"/>
        <s v="Feature |  | 00801 - List shipments from specific Order" u="1"/>
        <s v="Feature |  | 00006 - Add version" u="1"/>
        <s v="Bug | 02336 - 331 (BDT) Time Zone Clarificat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01729 - Error on Report Definition Control Panel when editing " u="1"/>
        <s v="Task |  00040 - BEMISCP-11 Logistics - Product in transit" u="1"/>
        <s v="Task | 00176 - Set up QA environment" u="1"/>
        <s v="Bug |  | 01420 - BIT-103 Time, status and report freezes" u="1"/>
        <s v="Feature |  00305 - Co-Packer - Role by Ship To" u="1"/>
        <s v="Task | 00020 - Create Google Local Environment" u="1"/>
        <s v="Ballpark - Demand | 00000 - Dummy Feature of Content Management" u="1"/>
        <s v="Feature |  00509 - View and Download Invoice and BoL " u="1"/>
        <s v="Bug | 00412 - Homepage &gt; Change &quot;Media and Events&quot; section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Bug | 01139 - BIT-48 Padding issues with left nav menu 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Feature | 00264 - As a buyer, I can see the Shipped Quantity of a specific item, so that I can see the shipment history of an item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Task |  00001 - Request SSL Certificate from Cemex for new website" u="1"/>
        <s v="Ballpark - Demand |  00000 - Dummy Feature of Enhancement - Buyer Inventory Management " u="1"/>
        <s v="Bug | 02737 - 434-GLC Release Missing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Bug | 01238 - The ... next to the Bemis Order number does not expand to show the full line" u="1"/>
        <s v="Feature |  02489 - Change Requested Date Logic" u="1"/>
        <s v="Bug | 02537 - Preview should display for all document types " u="1"/>
        <s v="Bug | 00902 - BIT-42 Update orders data fields to allow for decimals " u="1"/>
        <s v="Bug | 02541 - 328 (BDT) - Shipment Landing page incorrect ship to address" u="1"/>
        <s v="Bug |  | 02485 - 380 (BDT) - Documents functionality missing add Basic Document" u="1"/>
        <s v="Bug | 01069 - Notifications appear overlapped" u="1"/>
        <s v="Bug |  00069 - Menu not working when on mobile mode" u="1"/>
        <s v="Feature | 03010 - 494 BDT - Handle IBB NULL responses in initial data sync" u="1"/>
        <s v="Task |  00025 - Configuração da infraestrutura de DevOps" u="1"/>
        <s v="Bug |  | 01203 - SSRS integration config had wrong password for QA" u="1"/>
        <s v="Bug | 00576 - Home page &quot;More&quot; button does not work for Internet Explorer 10 or 11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00060 - BEMISCP-11 Data Model Mapping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030 - Search function on menu bar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 00495 - Update products based on feedback" u="1"/>
        <s v="Task | 00569 - Create support for showing maintenance page in nginx during Liferay's startup" u="1"/>
        <s v="Feature |  00401 - Careers &gt; Locations and Functions" u="1"/>
        <s v="Feature | 00328 - Custom 404 page" u="1"/>
        <s v="Task |  00597 - Atividades Gerais Sprint 08" u="1"/>
        <s v="Task |  00418 - Criar o componente de multi-moeda e a mudança da exibição nas telas que são utilizadas - Atividade FrontEnd" u="1"/>
        <s v="Bug | 02635 - 402 (BDT) - Data Sync process does not clear the &quot;lastErrorMessage&quot; col. when sync is successful" u="1"/>
        <s v="Feature |  00080 - Redirect customers to dashboard" u="1"/>
        <s v="Bug |  01265 - Bemis Logo Compression/Crowding" u="1"/>
        <s v="Feature | 00219 - As a Staff, I wish to see a list of customers and select the customer's site to view" u="1"/>
        <s v="Feature |  02886 - Always display BOL and Invoice links" u="1"/>
        <s v="Task |  | 01331 - Trocar chamadas fake pelos Serviços SUC / Testar o retorno dos dados e corrigir incosistências" u="1"/>
        <s v="Feature | 00367 - As a buyer, I am brought to a welcome page or landing page upon login to the customer portal, so that I can navigate easily to different parts of the system" u="1"/>
        <s v="Feature |  01440 - Remove date limit on Orders Landing Page display" u="1"/>
        <s v="Feature |  01873 - 211 (BDT) Report parameter issue from page view buttons- Open and Closed/ Releases and Shipment History " u="1"/>
        <s v="Feature |  00055 - Carrier website link" u="1"/>
        <s v="Feature |  | 00070 - Create Theme" u="1"/>
        <s v="Feature | 00044 - Review accesibility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Feature | 00150 - Company profile page" u="1"/>
        <s v="Task |  00450 - Setup Liferay Development Infrastructure" u="1"/>
        <s v="Task |  | 00384 - Setup Bemis Development Infrastructure" u="1"/>
        <s v="Task | 00450  - Setup Liferay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00295 - Products + Service &gt; Trading" u="1"/>
        <s v="Bug | 02379 - IBB synchronization times should be in UTC timezone forma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01056 - Location and ShipTo filter dropdowns are missing a border in FF and IE" u="1"/>
        <s v="Feature | 00014 - Configure Liferay clustering " u="1"/>
        <s v="Bug | 00672 - Items per Page does not allow you to return to default setting" u="1"/>
        <s v="Bug |  | 00010 - Product Attribute" u="1"/>
        <s v="Feature | 00138 - Carousel for full story pages" u="1"/>
        <s v="Bug |  01261 - BIT-68 Optional fields not correctly formatted or are missing in open and closed order report" u="1"/>
        <s v="Bug |  02214 - Not all shipments are being synced from IBB" u="1"/>
        <s v="Bug |  00804 - Parent Customer Profile name displayed is incorrect" u="1"/>
        <s v="Bug | 02217 - 320 (BDT) - Shipment Pg Bemis Order#/Line#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Task | 00013 - BEMISCP-11 Terms &amp; Condition docs (site)(by customer specific)" u="1"/>
        <s v="Bug | 00858 - The root directory for Advanced File Store is not parsed correctly" u="1"/>
        <s v="Bug |  02349 - 238 (BDT) - Item Level Report Preview is blank   " u="1"/>
        <s v="Bug |  | 02027 - 272 (BDT) - User Profile- Buyer missing Job Title" u="1"/>
        <s v="Bug | 03097 - CR56 - Change display of Release and Shipment Reports in the Portal  Inbox " u="1"/>
        <s v="Ballpark - Demand |  | 00000 - Dummy Feature of Roles Configuration" u="1"/>
        <s v="Feature |  00125 - Product spec detail page - CSR view" u="1"/>
        <s v="Task |  00052 - BEMISCP-11 BHP - Bulk upload of users" u="1"/>
        <s v="Bug |  00371 - RDR sync failing halfway through ORG sync" u="1"/>
        <s v="Feature |  | 00234 - Services Page" u="1"/>
        <s v="Feature | 00380 - Logistics Order History - No Pricing" u="1"/>
        <s v="Task |  00021 - BEMISCP-11 3 yrs Rolling History vs 18 months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00445  -  View/Edit User Profile" u="1"/>
        <s v="Bug | 00138 - The legacy id should match the siteId created from mocked data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Feature | 00146 - Two Factor Authentication" u="1"/>
        <s v="Bug |  02116 - 300 (BDT) - Releases page iphone footer issues" u="1"/>
        <s v="Feature | 00377 - Our History" u="1"/>
        <s v="Feature |  00110 - Buyer - Show Expanded Shipment View" u="1"/>
        <s v="Feature | 00110  - Buyer - Show Expanded Shipment View" u="1"/>
        <s v="Feature | 02905 - 470 (BDT) Updates to Consignment logic - Doned Shipments Sub-page shipped qty mismatched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00363 - Internal users - mapping groups to portal roles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Feature | 00371 - Customer Profile updates from IBB" u="1"/>
        <s v="Feature | 02560 - 424 (BDT) - Change password policy verbiage for external users" u="1"/>
        <s v="Bug | 02113 - 297 (BDT) - On Hand Inventory page code error" u="1"/>
        <s v="Bug | 02019 - 266 (BDT) - Iphone view of welcome page- order of pages " u="1"/>
        <s v="Task |  00171 - Replace stock images with real images from Bank of America" u="1"/>
        <s v="Feature |  00215 - Login &amp; Logout" u="1"/>
        <s v="Task |  | 00640 - Apply and verify fix for CEMEX-23" u="1"/>
        <s v="Feature | 00265 - As a buyer, I can see Pending Shipment Quantity for a specific item, so that I know how much product to expect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Bug | 03021 - Date Range on Release and Shipment History Report - all systems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Feature | 00015 - Configure Docker Swarm to auto scale Liferay" u="1"/>
        <s v="Feature | 00511 - Releases by Item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00088 - SDLC Documentation" u="1"/>
        <s v="Feature |  00118 - Include videos on the full story page" u="1"/>
        <s v="Feature | 01527 - Updates for all Report " u="1"/>
        <s v="Bug |  00856 - Spacing is incorrect across all pages" u="1"/>
        <s v="Bug |  00860 - Date Format is incorrect on all Pages" u="1"/>
        <s v="Feature | 00033 - Enhanced Group REST Service" u="1"/>
        <s v="Feature |  | 00060 - Wip validator service REST" u="1"/>
        <s v="Bug |  | 00804 - User Customer Name (Employer) is incorrect" u="1"/>
        <s v="Bug |  | 02555 - 386 (BDT) - Poly IBB On Hand Qty Incorrect" u="1"/>
        <s v="Bug | 02719 - 382 (BDT) - Order Pg Requested Date Incorrect" u="1"/>
        <s v="Task |  | 00495 - Update products based on feedback" u="1"/>
        <s v="Task | 00490 - Update multilocations based feedback" u="1"/>
        <s v="Task | 00034 - Setup Dev Infrasctructure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Feature | 00236 - Global Solutions" u="1"/>
        <s v="Feature | 00007 - Create repository for software images" u="1"/>
        <s v="Bug |  | 00978 - Portlet 'Candiate Photo' is failing with an error" u="1"/>
        <s v="Bug | 02694 - ORM exceptions for Inventory data sync " u="1"/>
        <s v="Bug | 00086 - Have too many errors for the developer license limit 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Bug | 03256 - Invoice # Strip Leading Zeroes Portal Logic Fix (BDT 621)" u="1"/>
        <s v="Task |  00596 - Anchor tags not working for some pages" u="1"/>
        <s v="Feature |  00341 - User agreement - BNA" u="1"/>
        <s v="Task | 00478 - Clean up JSP for two-factor-auth-device-manager-web" u="1"/>
        <s v="Bug | 01020 - Checkboxes for Locations in filter do not show " u="1"/>
        <s v="Task | 00580 - Change Reports page &quot;SEC Filings&quot; section to open in a new tab" u="1"/>
        <s v="Feature | 00286 - As a buyer, I can search globally through the system, so that I can get quick access to relevant information" u="1"/>
        <s v="Feature |  02878 - Update Carrier list for portal " u="1"/>
        <s v="Feature | 01428 - Updates to handle Standard Pallet Qty data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101 - Product landing page" u="1"/>
        <s v="Feature | 00354 - Sort on Landing page" u="1"/>
        <s v="Feature | 00355 - Sort on Landing page" u="1"/>
        <s v="Feature | 00271 - Search for User Profile Details" u="1"/>
        <s v="Bug |  | 02860 - User Profile dropdown is wrapping " u="1"/>
        <s v="Bug | 03139 - 570 BDT - Reports are not automatically downloading" u="1"/>
        <s v="Feature |  00247 - Download - report link" u="1"/>
        <s v="Task | 00140 - Define IBB exception handling" u="1"/>
        <s v="Bug |  | 01323 - Add documents button is inside the footer" u="1"/>
        <s v="Feature |  | 00018 - Concrete Incubator webcontent" u="1"/>
        <s v="Task | 00493 - Update customer inquiry based on feedback" u="1"/>
        <s v="Feature | 00509 - Download Invoice and BoL " u="1"/>
        <s v="Bug |  | 00371 - RDR sync failing halfway through ORG sync" u="1"/>
        <s v="Feature |  | 03037 - 517 BDT - Ship To filters should be checked" u="1"/>
        <s v="Feature |  00344 - Shipments paginated list grouped by item number" u="1"/>
        <s v="Task |  00049 - BEMISCP-11 Customer Terms (Payment, Freight, Incoterms)" u="1"/>
        <s v="Task |  01803 - QA Deployment Documentation" u="1"/>
        <s v="Task | 03258 - Technical Spec Documentation" u="1"/>
        <s v="Feature | 01777 - Keep CSR on Control Panel View when navigating to customer sites  " u="1"/>
        <s v="Feature | 00334 - As a buyer, I can schedule an ASN to be sent to me, so that I know when product has shipped" u="1"/>
        <s v="Feature | 02998 - Create Hub Admin documentation" u="1"/>
        <s v="Bug | 02117 - 303 (BDT) - Releases page in page wildcard search on description" u="1"/>
        <s v="Bug |  01191 - Select All and Clear All links in Location filter do not work" u="1"/>
        <s v="Task | 00665 - Refresh the QA environment data" u="1"/>
        <s v="Feature | 00407 - Search function on menu bar" u="1"/>
        <s v="Task |  | 01732 - Automated Tests SP9 - Functional tests" u="1"/>
        <s v="Feature |  01857 - 199 (BDT)Report Parameter - Date range can have a null value" u="1"/>
        <s v="Bug | 01751 - Edit Links on the User profile view are not visible with menu expanded" u="1"/>
        <s v="Task |  | 01095 - Ajuste no componente de Upload utilizado no SIGEX, nas telas que permitem edição. " u="1"/>
        <s v="Feature |  00107 - Shipments Landing Page" u="1"/>
        <s v="Feature |  00249 - Search on Landing page" u="1"/>
        <s v="Feature |  00276 - Search on Landing page" u="1"/>
        <s v="Feature |  | 00101 - Product landing page" u="1"/>
        <s v="Feature |  | 00354 - Sort on Landing page" u="1"/>
        <s v="Feature |  | 00355 - Sort on Landing page" u="1"/>
        <s v="Feature | 00014 - Language selection functionality" u="1"/>
        <s v="Task | 00834 - Automated tests for Sprint 6" u="1"/>
        <s v="Feature | 01891 - Add Google Analytics to the Customer Portal Sites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00157 - Customer hierarchy - Ongoing maintenance" u="1"/>
        <s v="Task | 00073 - Comb through tickets and label the IBB tickets" u="1"/>
        <s v="Task |  | 01455 - [Mudança evolutiva na tela de consulta dos Tipos de visto] Destacar o motivo do agendamento dos tipos de vistos agendados. " u="1"/>
        <s v="Task |  | 00567 - Add FB Pixel snippet to theme" u="1"/>
        <s v="Bug | 03193 - BDT 596- Connectivity issues in production " u="1"/>
        <s v="Bug | 01491 - Customer Site Template was not updated correctly" u="1"/>
        <s v="Bug | 02218 - 323 (BDT) - Shipment Landing Pg/Shipments Missing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Task | 00016 - BEMISCP-11 Statement of Account (balance due to Bemis)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00159 - As an external user, I can delete a document I have uploaded to a Document Library folder, so that I can remove irrelevant or outdated information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Feature | 01127 - Create Page for CSRs to View Customer Locations 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Feature | 00156  - Create and assign customer Roles" u="1"/>
        <s v="Task | 00066 - BEMISCP-11 Document Extraction Strategy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03154 - _x0009_Customer PO Search Case Sensitive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987 - 245 (BDT) - Order Pg View Details Schedule Lines Sorted In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03138 - Quantities display difference between parent and child buyer views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BALLPARK - Demand | M | 00000 - Cancel task test" u="1"/>
        <s v="Bug | 00915 - Increase size limit for profile picture" u="1"/>
        <s v="Feature |  | 00023 - Add SCORM support" u="1"/>
        <s v="Bug | 03131 - Inventory Sync Timestamp issue" u="1"/>
        <s v="Feature |  00010 - Effects on the &quot;MORE&quot; button" u="1"/>
        <s v="Feature |  01349 - Update default Sort Order on Shipments Landing Page " u="1"/>
        <s v="Feature | 00082 - As a CSR, I can view a list of customers and select one or more, so that I can selectively view information pertaining to a specific customer or sub-organization within the customer." u="1"/>
        <s v="Bug |  00829 - Order Description not wrapping correctly" u="1"/>
        <s v="Bug | 01307 - BIT-90 Report Landing Page- Open Order Status Report- remove parameters from selection screen" u="1"/>
        <s v="Bug | 02935 - Documents page- title running off of screen box" u="1"/>
        <s v="Bug |  | 00632 - Orders - Move view details link below order Date" u="1"/>
        <s v="Feature | 01724 - Update the order of report sections on the Reports Landing Page" u="1"/>
        <s v="Bug | 00144 - Missing learning record events" u="1"/>
        <s v="Feature |  | 00365 - Left Navigation Expand / Collapse on all pages" u="1"/>
        <s v="Feature | 00331 - Page Legal " u="1"/>
        <s v="Bug | 02239 - Zip code is missing from Inventory Layout" u="1"/>
        <s v="Feature |  | 02862 - Customize Email Templates for users " u="1"/>
        <s v="Feature | 00249 - As a buyer, I can search through the shipment landing page, so that I can find the relevant information faster" u="1"/>
        <s v="Feature | 00276 - As a buyer, I can search through the products landing page, so that I can find the relevant information faster" u="1"/>
        <s v="Task |  | 00235 - IBB Request Log" u="1"/>
        <s v="Bug |  02697 - Duplicate key row in object 'dbo.Bemis_Order'" u="1"/>
        <s v="Bug | 01363 - BIT-113 FRM 283- Typos on report landing page" u="1"/>
        <s v="Feature |  00320 - Become a supplier" u="1"/>
        <s v="Bug | 03176 - Sales Order Schedule Line with ConfirmedQty 0 displayed (BDT 590)" u="1"/>
        <s v="Bug | 01761 - Report menu categories should be alphabetical" u="1"/>
        <s v="Feature | 00520 - Release updates from IBB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02570 - Bemis User Agreement is not displaying on first time log in  " u="1"/>
        <s v="Bug |  02130 - 306 (BDT) - Orders Page-Report button" u="1"/>
        <s v="Feature | 00723 - Add content for Portal dashboard landing page" u="1"/>
        <s v="Feature | 01440 - Update search criteria on Orders Landing Page" u="1"/>
        <s v="Bug | 02094 - 286 (BDT) - Release Pg Scheduled Release Qty UoM missing" u="1"/>
        <s v="Task |  | 00048 - BEMISCP-11 Previous customer Item Number" u="1"/>
        <s v="Bug |  00188 - Fix java script errors" u="1"/>
        <s v="Bug | 02732 - 424 (BDT) - Password Policy verbiage changes" u="1"/>
        <s v="Task |  | 00085 - Prebill Inquiry" u="1"/>
        <s v="Bug | 01309 - BIT-92 Report Landing Page- Inventory Detail Report" u="1"/>
        <s v="Bug | 03003 - BDT 493 - Consignment Delivery Invoice Missing " u="1"/>
        <s v="Bug |  | 02570 - Bemis User Agreement is not displaying on first time log in  " u="1"/>
        <s v="Feature |  | 00262 - On-Hand Inventory View for a specific item" u="1"/>
        <s v="Bug | 00180 - White spaces above images in story pages template 2" u="1"/>
        <s v="Task |  | 00220 - Research: Error when creating a WebContent with nested WebContent" u="1"/>
        <s v="Feature | 02445 - 321 (BDT) - Update the Shipments to use a field on Delivery vs. from Orders" u="1"/>
        <s v="Bug |  01563 - SAP Order 541116 Missing" u="1"/>
        <s v="Feature | 03037 - 517 BDT - Ship To filters should be checked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Feature | 00017 - Design concepts, site creation, roles and user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Task | 00043 - BEMISCP-11 CSR portal -&gt; Webcenter/solutioncenter link" u="1"/>
        <s v="Bug | 01967 - 235 (BDT) - confirmed quantity in view details shows error " u="1"/>
        <s v="Feature | 00363 - Map AD Groups to Roles" u="1"/>
        <s v="Bug |  | 02959 - BDT 483- Forgot Password error message" u="1"/>
        <s v="Bug |  | 02390 - Scheduled Releases Sub-Page No Sort Order" u="1"/>
        <s v="Bug |  | 01054 - Entries on the Release Page are not displaying " u="1"/>
        <s v="Dummy Feature | 00000 - Dummy Feature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00644 - Allow HTTP between qa-staging and qa-live to test remote staging" u="1"/>
        <s v="Feature | 00077 - Import Users and Groups from AD" u="1"/>
        <s v="Task |  | 01013 - Update home page issues" u="1"/>
        <s v="Feature | 00379 - View Orders for a specific Cust Item" u="1"/>
        <s v="Bug | 02468 - 378 (BDT) - Report Functionality- limit to reports showing per page but not additional pages to view" u="1"/>
        <s v="Feature | 00335 - As a CSR, I can schedule an ASN to be sent to me or my customer, so that we can be notified of when product has shipped" u="1"/>
        <s v="Feature | 00184 - Key Company Data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Bug | 01088 - BIT-17 Carrier Link is not working " u="1"/>
        <s v="Feature |  | 01444 - Create Handling Unit Report " u="1"/>
      </sharedItems>
    </cacheField>
    <cacheField name="SUBTASK_TYPE" numFmtId="0">
      <sharedItems containsNonDate="0" containsBlank="1" count="32">
        <m/>
        <s v="Demand Ballpark" u="1"/>
        <s v="Development" u="1"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UAT Support" u="1"/>
        <s v="BALLPARK - Alpha Test" u="1"/>
        <s v="Alpha Bug" u="1"/>
        <s v="Developer Support" u="1"/>
        <s v="BALLPARK - Subtask" u="1"/>
        <s v="Pull Request Review" u="1"/>
        <s v="Ballpark - Tech Planning" u="1"/>
        <s v="Feature Planning" u="1"/>
        <s v="UX" u="1"/>
        <s v="Ballpark - Dummy Feature" u="1"/>
        <s v="BALLPARK - Development" u="1"/>
        <s v="Ballpark - UAT Support" u="1"/>
        <s v="Backend Development" u="1"/>
      </sharedItems>
    </cacheField>
    <cacheField name="SUBTASK_STATUS" numFmtId="0">
      <sharedItems containsNonDate="0" containsBlank="1" count="27">
        <m/>
        <s v="Queued for Review" u="1"/>
        <s v="Cancelled" u="1"/>
        <s v="Ready for UAT" u="1"/>
        <s v="To Review" u="1"/>
        <s v="In Progress" u="1"/>
        <s v="Complete" u="1"/>
        <s v="Selected for Development" u="1"/>
        <s v="Deferred" u="1"/>
        <s v="Closed" u="1"/>
        <s v="Doing" u="1"/>
        <s v="Done" u="1"/>
        <s v="To Alpha Test" u="1"/>
        <s v="Open" u="1"/>
        <s v="QAing" u="1"/>
        <s v="To Feature Review" u="1"/>
        <s v="To QA" u="1"/>
        <s v="In UAT" u="1"/>
        <s v="Resolved" u="1"/>
        <s v="Ready for QA" u="1"/>
        <s v="Alpha Testing" u="1"/>
        <s v="Reviewing" u="1"/>
        <s v="Ready for Review" u="1"/>
        <s v="To Do" u="1"/>
        <s v="To UAT" u="1"/>
        <s v="Canceled" u="1"/>
        <s v="In Review" u="1"/>
      </sharedItems>
    </cacheField>
    <cacheField name="SUBTASK_NUM" numFmtId="0">
      <sharedItems containsNonDate="0" containsString="0" containsBlank="1" containsNumber="1" containsInteger="1" minValue="0" maxValue="3047" count="2380">
        <m/>
        <n v="0" u="1"/>
        <n v="2266" u="1"/>
        <n v="2136" u="1"/>
        <n v="517" u="1"/>
        <n v="1962" u="1"/>
        <n v="482" u="1"/>
        <n v="1897" u="1"/>
        <n v="1832" u="1"/>
        <n v="1767" u="1"/>
        <n v="1702" u="1"/>
        <n v="417" u="1"/>
        <n v="1637" u="1"/>
        <n v="1572" u="1"/>
        <n v="25" u="1"/>
        <n v="1507" u="1"/>
        <n v="2983" u="1"/>
        <n v="94" u="1"/>
        <n v="352" u="1"/>
        <n v="1377" u="1"/>
        <n v="2723" u="1"/>
        <n v="2463" u="1"/>
        <n v="2333" u="1"/>
        <n v="287" u="1"/>
        <n v="1117" u="1"/>
        <n v="2203" u="1"/>
        <n v="1052" u="1"/>
        <n v="2073" u="1"/>
        <n v="973" u="1"/>
        <n v="239" u="1"/>
        <n v="908" u="1"/>
        <n v="843" u="1"/>
        <n v="778" u="1"/>
        <n v="2920" u="1"/>
        <n v="713" u="1"/>
        <n v="2790" u="1"/>
        <n v="174" u="1"/>
        <n v="2660" u="1"/>
        <n v="648" u="1"/>
        <n v="2530" u="1"/>
        <n v="2400" u="1"/>
        <n v="583" u="1"/>
        <n v="2270" u="1"/>
        <n v="2140" u="1"/>
        <n v="518" u="1"/>
        <n v="2029" u="1"/>
        <n v="1964" u="1"/>
        <n v="1899" u="1"/>
        <n v="1834" u="1"/>
        <n v="450" u="1"/>
        <n v="1769" u="1"/>
        <n v="1574" u="1"/>
        <n v="385" u="1"/>
        <n v="2857" u="1"/>
        <n v="1379" u="1"/>
        <n v="2727" u="1"/>
        <n v="86" u="1"/>
        <n v="2597" u="1"/>
        <n v="2467" u="1"/>
        <n v="1184" u="1"/>
        <n v="2207" u="1"/>
        <n v="2077" u="1"/>
        <n v="974" u="1"/>
        <n v="909" u="1"/>
        <n v="223" u="1"/>
        <n v="844" u="1"/>
        <n v="779" u="1"/>
        <n v="2924" u="1"/>
        <n v="2794" u="1"/>
        <n v="2664" u="1"/>
        <n v="649" u="1"/>
        <n v="2534" u="1"/>
        <n v="158" u="1"/>
        <n v="2404" u="1"/>
        <n v="2274" u="1"/>
        <n v="519" u="1"/>
        <n v="2031" u="1"/>
        <n v="1966" u="1"/>
        <n v="483" u="1"/>
        <n v="1901" u="1"/>
        <n v="1836" u="1"/>
        <n v="1771" u="1"/>
        <n v="1706" u="1"/>
        <n v="418" u="1"/>
        <n v="1641" u="1"/>
        <n v="1576" u="1"/>
        <n v="1511" u="1"/>
        <n v="2991" u="1"/>
        <n v="2861" u="1"/>
        <n v="353" u="1"/>
        <n v="2601" u="1"/>
        <n v="21" u="1"/>
        <n v="2471" u="1"/>
        <n v="78" u="1"/>
        <n v="1186" u="1"/>
        <n v="2341" u="1"/>
        <n v="288" u="1"/>
        <n v="1121" u="1"/>
        <n v="2211" u="1"/>
        <n v="1056" u="1"/>
        <n v="975" u="1"/>
        <n v="910" u="1"/>
        <n v="845" u="1"/>
        <n v="780" u="1"/>
        <n v="2928" u="1"/>
        <n v="715" u="1"/>
        <n v="2798" u="1"/>
        <n v="2668" u="1"/>
        <n v="650" u="1"/>
        <n v="2538" u="1"/>
        <n v="2408" u="1"/>
        <n v="2278" u="1"/>
        <n v="142" u="1"/>
        <n v="2148" u="1"/>
        <n v="520" u="1"/>
        <n v="2033" u="1"/>
        <n v="1903" u="1"/>
        <n v="1838" u="1"/>
        <n v="451" u="1"/>
        <n v="1773" u="1"/>
        <n v="1708" u="1"/>
        <n v="1578" u="1"/>
        <n v="386" u="1"/>
        <n v="1513" u="1"/>
        <n v="2865" u="1"/>
        <n v="2605" u="1"/>
        <n v="321" u="1"/>
        <n v="2475" u="1"/>
        <n v="2345" u="1"/>
        <n v="19" u="1"/>
        <n v="1123" u="1"/>
        <n v="2215" u="1"/>
        <n v="70" u="1"/>
        <n v="1058" u="1"/>
        <n v="2085" u="1"/>
        <n v="256" u="1"/>
        <n v="976" u="1"/>
        <n v="911" u="1"/>
        <n v="846" u="1"/>
        <n v="781" u="1"/>
        <n v="191" u="1"/>
        <n v="2932" u="1"/>
        <n v="2802" u="1"/>
        <n v="2672" u="1"/>
        <n v="651" u="1"/>
        <n v="2542" u="1"/>
        <n v="2412" u="1"/>
        <n v="586" u="1"/>
        <n v="2282" u="1"/>
        <n v="2152" u="1"/>
        <n v="521" u="1"/>
        <n v="2035" u="1"/>
        <n v="127" u="1"/>
        <n v="1970" u="1"/>
        <n v="484" u="1"/>
        <n v="1905" u="1"/>
        <n v="1840" u="1"/>
        <n v="1710" u="1"/>
        <n v="419" u="1"/>
        <n v="1645" u="1"/>
        <n v="1580" u="1"/>
        <n v="1515" u="1"/>
        <n v="2999" u="1"/>
        <n v="2869" u="1"/>
        <n v="354" u="1"/>
        <n v="1385" u="1"/>
        <n v="2739" u="1"/>
        <n v="1320" u="1"/>
        <n v="2609" u="1"/>
        <n v="1255" u="1"/>
        <n v="2479" u="1"/>
        <n v="1190" u="1"/>
        <n v="289" u="1"/>
        <n v="1125" u="1"/>
        <n v="1060" u="1"/>
        <n v="17" u="1"/>
        <n v="63" u="1"/>
        <n v="977" u="1"/>
        <n v="240" u="1"/>
        <n v="912" u="1"/>
        <n v="847" u="1"/>
        <n v="782" u="1"/>
        <n v="2936" u="1"/>
        <n v="2806" u="1"/>
        <n v="2676" u="1"/>
        <n v="2416" u="1"/>
        <n v="587" u="1"/>
        <n v="2286" u="1"/>
        <n v="2156" u="1"/>
        <n v="522" u="1"/>
        <n v="2037" u="1"/>
        <n v="1972" u="1"/>
        <n v="1907" u="1"/>
        <n v="452" u="1"/>
        <n v="1712" u="1"/>
        <n v="1647" u="1"/>
        <n v="1582" u="1"/>
        <n v="387" u="1"/>
        <n v="1517" u="1"/>
        <n v="2873" u="1"/>
        <n v="1387" u="1"/>
        <n v="2743" u="1"/>
        <n v="1322" u="1"/>
        <n v="2613" u="1"/>
        <n v="2483" u="1"/>
        <n v="2353" u="1"/>
        <n v="2223" u="1"/>
        <n v="1062" u="1"/>
        <n v="257" u="1"/>
        <n v="978" u="1"/>
        <n v="59" u="1"/>
        <n v="913" u="1"/>
        <n v="224" u="1"/>
        <n v="848" u="1"/>
        <n v="783" u="1"/>
        <n v="2940" u="1"/>
        <n v="718" u="1"/>
        <n v="2810" u="1"/>
        <n v="653" u="1"/>
        <n v="2550" u="1"/>
        <n v="159" u="1"/>
        <n v="2420" u="1"/>
        <n v="588" u="1"/>
        <n v="2290" u="1"/>
        <n v="2160" u="1"/>
        <n v="2039" u="1"/>
        <n v="485" u="1"/>
        <n v="1909" u="1"/>
        <n v="111" u="1"/>
        <n v="1714" u="1"/>
        <n v="420" u="1"/>
        <n v="1649" u="1"/>
        <n v="1584" u="1"/>
        <n v="3007" u="1"/>
        <n v="2877" u="1"/>
        <n v="355" u="1"/>
        <n v="1389" u="1"/>
        <n v="2747" u="1"/>
        <n v="2617" u="1"/>
        <n v="2357" u="1"/>
        <n v="290" u="1"/>
        <n v="1129" u="1"/>
        <n v="1064" u="1"/>
        <n v="2097" u="1"/>
        <n v="979" u="1"/>
        <n v="914" u="1"/>
        <n v="55" u="1"/>
        <n v="849" u="1"/>
        <n v="2944" u="1"/>
        <n v="719" u="1"/>
        <n v="2814" u="1"/>
        <n v="654" u="1"/>
        <n v="2554" u="1"/>
        <n v="2424" u="1"/>
        <n v="2294" u="1"/>
        <n v="2164" u="1"/>
        <n v="524" u="1"/>
        <n v="2041" u="1"/>
        <n v="1976" u="1"/>
        <n v="1911" u="1"/>
        <n v="1846" u="1"/>
        <n v="453" u="1"/>
        <n v="1781" u="1"/>
        <n v="1651" u="1"/>
        <n v="103" u="1"/>
        <n v="1586" u="1"/>
        <n v="388" u="1"/>
        <n v="1521" u="1"/>
        <n v="3011" u="1"/>
        <n v="1456" u="1"/>
        <n v="1391" u="1"/>
        <n v="2751" u="1"/>
        <n v="1326" u="1"/>
        <n v="2621" u="1"/>
        <n v="323" u="1"/>
        <n v="1196" u="1"/>
        <n v="1131" u="1"/>
        <n v="1066" u="1"/>
        <n v="2101" u="1"/>
        <n v="258" u="1"/>
        <n v="980" u="1"/>
        <n v="850" u="1"/>
        <n v="51" u="1"/>
        <n v="785" u="1"/>
        <n v="192" u="1"/>
        <n v="2948" u="1"/>
        <n v="720" u="1"/>
        <n v="2818" u="1"/>
        <n v="655" u="1"/>
        <n v="2558" u="1"/>
        <n v="2428" u="1"/>
        <n v="2298" u="1"/>
        <n v="2168" u="1"/>
        <n v="525" u="1"/>
        <n v="2043" u="1"/>
        <n v="1978" u="1"/>
        <n v="486" u="1"/>
        <n v="1913" u="1"/>
        <n v="1848" u="1"/>
        <n v="421" u="1"/>
        <n v="1653" u="1"/>
        <n v="1523" u="1"/>
        <n v="3015" u="1"/>
        <n v="1458" u="1"/>
        <n v="356" u="1"/>
        <n v="1393" u="1"/>
        <n v="2755" u="1"/>
        <n v="1328" u="1"/>
        <n v="2625" u="1"/>
        <n v="2495" u="1"/>
        <n v="2365" u="1"/>
        <n v="291" u="1"/>
        <n v="1133" u="1"/>
        <n v="2235" u="1"/>
        <n v="2105" u="1"/>
        <n v="981" u="1"/>
        <n v="241" u="1"/>
        <n v="916" u="1"/>
        <n v="851" u="1"/>
        <n v="786" u="1"/>
        <n v="2952" u="1"/>
        <n v="47" u="1"/>
        <n v="721" u="1"/>
        <n v="2822" u="1"/>
        <n v="656" u="1"/>
        <n v="2562" u="1"/>
        <n v="591" u="1"/>
        <n v="2302" u="1"/>
        <n v="526" u="1"/>
        <n v="2045" u="1"/>
        <n v="1980" u="1"/>
        <n v="1915" u="1"/>
        <n v="454" u="1"/>
        <n v="1785" u="1"/>
        <n v="1720" u="1"/>
        <n v="1655" u="1"/>
        <n v="1590" u="1"/>
        <n v="389" u="1"/>
        <n v="1525" u="1"/>
        <n v="3019" u="1"/>
        <n v="1460" u="1"/>
        <n v="2889" u="1"/>
        <n v="1395" u="1"/>
        <n v="2759" u="1"/>
        <n v="1330" u="1"/>
        <n v="2629" u="1"/>
        <n v="324" u="1"/>
        <n v="2499" u="1"/>
        <n v="1200" u="1"/>
        <n v="1135" u="1"/>
        <n v="259" u="1"/>
        <n v="982" u="1"/>
        <n v="917" u="1"/>
        <n v="852" u="1"/>
        <n v="787" u="1"/>
        <n v="2956" u="1"/>
        <n v="722" u="1"/>
        <n v="2826" u="1"/>
        <n v="43" u="1"/>
        <n v="657" u="1"/>
        <n v="2566" u="1"/>
        <n v="160" u="1"/>
        <n v="2436" u="1"/>
        <n v="592" u="1"/>
        <n v="2306" u="1"/>
        <n v="2176" u="1"/>
        <n v="527" u="1"/>
        <n v="1982" u="1"/>
        <n v="487" u="1"/>
        <n v="1787" u="1"/>
        <n v="1722" u="1"/>
        <n v="422" u="1"/>
        <n v="1592" u="1"/>
        <n v="3023" u="1"/>
        <n v="1462" u="1"/>
        <n v="2893" u="1"/>
        <n v="357" u="1"/>
        <n v="1397" u="1"/>
        <n v="2763" u="1"/>
        <n v="1332" u="1"/>
        <n v="2503" u="1"/>
        <n v="79" u="1"/>
        <n v="1202" u="1"/>
        <n v="292" u="1"/>
        <n v="1137" u="1"/>
        <n v="2243" u="1"/>
        <n v="1072" u="1"/>
        <n v="983" u="1"/>
        <n v="918" u="1"/>
        <n v="853" u="1"/>
        <n v="209" u="1"/>
        <n v="2960" u="1"/>
        <n v="723" u="1"/>
        <n v="658" u="1"/>
        <n v="2440" u="1"/>
        <n v="39" u="1"/>
        <n v="593" u="1"/>
        <n v="2310" u="1"/>
        <n v="2180" u="1"/>
        <n v="528" u="1"/>
        <n v="2050" u="1"/>
        <n v="1984" u="1"/>
        <n v="1919" u="1"/>
        <n v="1854" u="1"/>
        <n v="455" u="1"/>
        <n v="1789" u="1"/>
        <n v="1659" u="1"/>
        <n v="1594" u="1"/>
        <n v="390" u="1"/>
        <n v="1529" u="1"/>
        <n v="3027" u="1"/>
        <n v="1464" u="1"/>
        <n v="2897" u="1"/>
        <n v="1399" u="1"/>
        <n v="2767" u="1"/>
        <n v="1334" u="1"/>
        <n v="2637" u="1"/>
        <n v="325" u="1"/>
        <n v="1269" u="1"/>
        <n v="2507" u="1"/>
        <n v="1204" u="1"/>
        <n v="2247" u="1"/>
        <n v="71" u="1"/>
        <n v="1074" u="1"/>
        <n v="260" u="1"/>
        <n v="984" u="1"/>
        <n v="919" u="1"/>
        <n v="789" u="1"/>
        <n v="193" u="1"/>
        <n v="724" u="1"/>
        <n v="2834" u="1"/>
        <n v="2704" u="1"/>
        <n v="659" u="1"/>
        <n v="2574" u="1"/>
        <n v="2444" u="1"/>
        <n v="594" u="1"/>
        <n v="2314" u="1"/>
        <n v="2184" u="1"/>
        <n v="35" u="1"/>
        <n v="529" u="1"/>
        <n v="2054" u="1"/>
        <n v="488" u="1"/>
        <n v="1921" u="1"/>
        <n v="1856" u="1"/>
        <n v="1791" u="1"/>
        <n v="1726" u="1"/>
        <n v="423" u="1"/>
        <n v="1596" u="1"/>
        <n v="1531" u="1"/>
        <n v="1466" u="1"/>
        <n v="2901" u="1"/>
        <n v="358" u="1"/>
        <n v="1401" u="1"/>
        <n v="2771" u="1"/>
        <n v="2641" u="1"/>
        <n v="2511" u="1"/>
        <n v="1206" u="1"/>
        <n v="2381" u="1"/>
        <n v="293" u="1"/>
        <n v="1141" u="1"/>
        <n v="2251" u="1"/>
        <n v="1076" u="1"/>
        <n v="2121" u="1"/>
        <n v="985" u="1"/>
        <n v="242" u="1"/>
        <n v="920" u="1"/>
        <n v="790" u="1"/>
        <n v="2968" u="1"/>
        <n v="725" u="1"/>
        <n v="2838" u="1"/>
        <n v="2708" u="1"/>
        <n v="660" u="1"/>
        <n v="2578" u="1"/>
        <n v="2448" u="1"/>
        <n v="595" u="1"/>
        <n v="2318" u="1"/>
        <n v="2188" u="1"/>
        <n v="530" u="1"/>
        <n v="2058" u="1"/>
        <n v="1923" u="1"/>
        <n v="456" u="1"/>
        <n v="1793" u="1"/>
        <n v="1663" u="1"/>
        <n v="1598" u="1"/>
        <n v="391" u="1"/>
        <n v="1533" u="1"/>
        <n v="3035" u="1"/>
        <n v="1468" u="1"/>
        <n v="1403" u="1"/>
        <n v="2645" u="1"/>
        <n v="326" u="1"/>
        <n v="1273" u="1"/>
        <n v="2515" u="1"/>
        <n v="1208" u="1"/>
        <n v="2385" u="1"/>
        <n v="1143" u="1"/>
        <n v="2255" u="1"/>
        <n v="1078" u="1"/>
        <n v="2125" u="1"/>
        <n v="261" u="1"/>
        <n v="986" u="1"/>
        <n v="921" u="1"/>
        <n v="226" u="1"/>
        <n v="791" u="1"/>
        <n v="2972" u="1"/>
        <n v="726" u="1"/>
        <n v="2712" u="1"/>
        <n v="2582" u="1"/>
        <n v="2452" u="1"/>
        <n v="596" u="1"/>
        <n v="2322" u="1"/>
        <n v="2192" u="1"/>
        <n v="531" u="1"/>
        <n v="2062" u="1"/>
        <n v="1990" u="1"/>
        <n v="489" u="1"/>
        <n v="1925" u="1"/>
        <n v="1795" u="1"/>
        <n v="112" u="1"/>
        <n v="1730" u="1"/>
        <n v="424" u="1"/>
        <n v="1665" u="1"/>
        <n v="1600" u="1"/>
        <n v="3039" u="1"/>
        <n v="1470" u="1"/>
        <n v="2909" u="1"/>
        <n v="359" u="1"/>
        <n v="1405" u="1"/>
        <n v="2779" u="1"/>
        <n v="1340" u="1"/>
        <n v="2649" u="1"/>
        <n v="1275" u="1"/>
        <n v="2519" u="1"/>
        <n v="1210" u="1"/>
        <n v="2389" u="1"/>
        <n v="294" u="1"/>
        <n v="1145" u="1"/>
        <n v="2259" u="1"/>
        <n v="1080" u="1"/>
        <n v="987" u="1"/>
        <n v="922" u="1"/>
        <n v="857" u="1"/>
        <n v="792" u="1"/>
        <n v="727" u="1"/>
        <n v="2456" u="1"/>
        <n v="597" u="1"/>
        <n v="2326" u="1"/>
        <n v="532" u="1"/>
        <n v="2066" u="1"/>
        <n v="1992" u="1"/>
        <n v="1927" u="1"/>
        <n v="457" u="1"/>
        <n v="1797" u="1"/>
        <n v="1732" u="1"/>
        <n v="1667" u="1"/>
        <n v="104" u="1"/>
        <n v="1602" u="1"/>
        <n v="392" u="1"/>
        <n v="1537" u="1"/>
        <n v="3043" u="1"/>
        <n v="1472" u="1"/>
        <n v="2913" u="1"/>
        <n v="1407" u="1"/>
        <n v="1342" u="1"/>
        <n v="327" u="1"/>
        <n v="1277" u="1"/>
        <n v="2523" u="1"/>
        <n v="2393" u="1"/>
        <n v="1147" u="1"/>
        <n v="2263" u="1"/>
        <n v="1082" u="1"/>
        <n v="262" u="1"/>
        <n v="988" u="1"/>
        <n v="923" u="1"/>
        <n v="793" u="1"/>
        <n v="2980" u="1"/>
        <n v="728" u="1"/>
        <n v="2850" u="1"/>
        <n v="2720" u="1"/>
        <n v="2590" u="1"/>
        <n v="2460" u="1"/>
        <n v="598" u="1"/>
        <n v="2330" u="1"/>
        <n v="2200" u="1"/>
        <n v="533" u="1"/>
        <n v="2070" u="1"/>
        <n v="129" u="1"/>
        <n v="490" u="1"/>
        <n v="1929" u="1"/>
        <n v="1799" u="1"/>
        <n v="1734" u="1"/>
        <n v="425" u="1"/>
        <n v="1604" u="1"/>
        <n v="1539" u="1"/>
        <n v="3047" u="1"/>
        <n v="96" u="1"/>
        <n v="2917" u="1"/>
        <n v="360" u="1"/>
        <n v="1409" u="1"/>
        <n v="2787" u="1"/>
        <n v="2657" u="1"/>
        <n v="1279" u="1"/>
        <n v="2527" u="1"/>
        <n v="2397" u="1"/>
        <n v="1149" u="1"/>
        <n v="2267" u="1"/>
        <n v="1084" u="1"/>
        <n v="2137" u="1"/>
        <n v="989" u="1"/>
        <n v="243" u="1"/>
        <n v="924" u="1"/>
        <n v="859" u="1"/>
        <n v="2984" u="1"/>
        <n v="729" u="1"/>
        <n v="2854" u="1"/>
        <n v="2724" u="1"/>
        <n v="2594" u="1"/>
        <n v="599" u="1"/>
        <n v="2334" u="1"/>
        <n v="2204" u="1"/>
        <n v="534" u="1"/>
        <n v="2074" u="1"/>
        <n v="1931" u="1"/>
        <n v="1866" u="1"/>
        <n v="458" u="1"/>
        <n v="1801" u="1"/>
        <n v="1671" u="1"/>
        <n v="1606" u="1"/>
        <n v="393" u="1"/>
        <n v="1541" u="1"/>
        <n v="2921" u="1"/>
        <n v="2791" u="1"/>
        <n v="88" u="1"/>
        <n v="1346" u="1"/>
        <n v="2661" u="1"/>
        <n v="1281" u="1"/>
        <n v="2531" u="1"/>
        <n v="1216" u="1"/>
        <n v="2401" u="1"/>
        <n v="2271" u="1"/>
        <n v="2141" u="1"/>
        <n v="263" u="1"/>
        <n v="990" u="1"/>
        <n v="925" u="1"/>
        <n v="795" u="1"/>
        <n v="2988" u="1"/>
        <n v="730" u="1"/>
        <n v="2858" u="1"/>
        <n v="2728" u="1"/>
        <n v="2598" u="1"/>
        <n v="600" u="1"/>
        <n v="2338" u="1"/>
        <n v="2208" u="1"/>
        <n v="535" u="1"/>
        <n v="2078" u="1"/>
        <n v="1998" u="1"/>
        <n v="491" u="1"/>
        <n v="1933" u="1"/>
        <n v="1738" u="1"/>
        <n v="426" u="1"/>
        <n v="1673" u="1"/>
        <n v="1608" u="1"/>
        <n v="1543" u="1"/>
        <n v="1478" u="1"/>
        <n v="2925" u="1"/>
        <n v="361" u="1"/>
        <n v="2795" u="1"/>
        <n v="2665" u="1"/>
        <n v="1283" u="1"/>
        <n v="80" u="1"/>
        <n v="2405" u="1"/>
        <n v="296" u="1"/>
        <n v="1153" u="1"/>
        <n v="2145" u="1"/>
        <n v="926" u="1"/>
        <n v="861" u="1"/>
        <n v="796" u="1"/>
        <n v="731" u="1"/>
        <n v="2602" u="1"/>
        <n v="2472" u="1"/>
        <n v="601" u="1"/>
        <n v="146" u="1"/>
        <n v="2212" u="1"/>
        <n v="536" u="1"/>
        <n v="2082" u="1"/>
        <n v="2000" u="1"/>
        <n v="1935" u="1"/>
        <n v="1870" u="1"/>
        <n v="459" u="1"/>
        <n v="1805" u="1"/>
        <n v="1740" u="1"/>
        <n v="1675" u="1"/>
        <n v="1610" u="1"/>
        <n v="394" u="1"/>
        <n v="1545" u="1"/>
        <n v="2929" u="1"/>
        <n v="2799" u="1"/>
        <n v="1350" u="1"/>
        <n v="2669" u="1"/>
        <n v="1285" u="1"/>
        <n v="2539" u="1"/>
        <n v="1220" u="1"/>
        <n v="2409" u="1"/>
        <n v="1155" u="1"/>
        <n v="2279" u="1"/>
        <n v="2149" u="1"/>
        <n v="264" u="1"/>
        <n v="1025" u="1"/>
        <n v="992" u="1"/>
        <n v="927" u="1"/>
        <n v="862" u="1"/>
        <n v="797" u="1"/>
        <n v="195" u="1"/>
        <n v="732" u="1"/>
        <n v="2866" u="1"/>
        <n v="2736" u="1"/>
        <n v="2606" u="1"/>
        <n v="2476" u="1"/>
        <n v="602" u="1"/>
        <n v="2346" u="1"/>
        <n v="2086" u="1"/>
        <n v="130" u="1"/>
        <n v="2002" u="1"/>
        <n v="492" u="1"/>
        <n v="1937" u="1"/>
        <n v="1872" u="1"/>
        <n v="1807" u="1"/>
        <n v="1742" u="1"/>
        <n v="427" u="1"/>
        <n v="1677" u="1"/>
        <n v="1612" u="1"/>
        <n v="1547" u="1"/>
        <n v="1482" u="1"/>
        <n v="2933" u="1"/>
        <n v="362" u="1"/>
        <n v="2803" u="1"/>
        <n v="1352" u="1"/>
        <n v="2673" u="1"/>
        <n v="1287" u="1"/>
        <n v="2543" u="1"/>
        <n v="2413" u="1"/>
        <n v="2283" u="1"/>
        <n v="1092" u="1"/>
        <n v="2153" u="1"/>
        <n v="1027" u="1"/>
        <n v="64" u="1"/>
        <n v="993" u="1"/>
        <n v="244" u="1"/>
        <n v="928" u="1"/>
        <n v="863" u="1"/>
        <n v="798" u="1"/>
        <n v="733" u="1"/>
        <n v="2740" u="1"/>
        <n v="668" u="1"/>
        <n v="2610" u="1"/>
        <n v="2480" u="1"/>
        <n v="603" u="1"/>
        <n v="2350" u="1"/>
        <n v="2220" u="1"/>
        <n v="538" u="1"/>
        <n v="2090" u="1"/>
        <n v="2004" u="1"/>
        <n v="1939" u="1"/>
        <n v="121" u="1"/>
        <n v="460" u="1"/>
        <n v="1809" u="1"/>
        <n v="1744" u="1"/>
        <n v="1679" u="1"/>
        <n v="1614" u="1"/>
        <n v="395" u="1"/>
        <n v="1549" u="1"/>
        <n v="1484" u="1"/>
        <n v="2937" u="1"/>
        <n v="1419" u="1"/>
        <n v="2807" u="1"/>
        <n v="1354" u="1"/>
        <n v="2677" u="1"/>
        <n v="330" u="1"/>
        <n v="1289" u="1"/>
        <n v="2547" u="1"/>
        <n v="1224" u="1"/>
        <n v="2417" u="1"/>
        <n v="1159" u="1"/>
        <n v="2287" u="1"/>
        <n v="1094" u="1"/>
        <n v="2157" u="1"/>
        <n v="1029" u="1"/>
        <n v="994" u="1"/>
        <n v="60" u="1"/>
        <n v="929" u="1"/>
        <n v="864" u="1"/>
        <n v="799" u="1"/>
        <n v="3004" u="1"/>
        <n v="734" u="1"/>
        <n v="2874" u="1"/>
        <n v="2744" u="1"/>
        <n v="669" u="1"/>
        <n v="2614" u="1"/>
        <n v="163" u="1"/>
        <n v="2484" u="1"/>
        <n v="604" u="1"/>
        <n v="2354" u="1"/>
        <n v="2224" u="1"/>
        <n v="539" u="1"/>
        <n v="2006" u="1"/>
        <n v="493" u="1"/>
        <n v="1941" u="1"/>
        <n v="1811" u="1"/>
        <n v="113" u="1"/>
        <n v="428" u="1"/>
        <n v="1681" u="1"/>
        <n v="1616" u="1"/>
        <n v="1486" u="1"/>
        <n v="2941" u="1"/>
        <n v="363" u="1"/>
        <n v="2811" u="1"/>
        <n v="1356" u="1"/>
        <n v="2551" u="1"/>
        <n v="1226" u="1"/>
        <n v="2421" u="1"/>
        <n v="298" u="1"/>
        <n v="1161" u="1"/>
        <n v="2291" u="1"/>
        <n v="1096" u="1"/>
        <n v="2161" u="1"/>
        <n v="1031" u="1"/>
        <n v="995" u="1"/>
        <n v="930" u="1"/>
        <n v="865" u="1"/>
        <n v="212" u="1"/>
        <n v="3008" u="1"/>
        <n v="735" u="1"/>
        <n v="2748" u="1"/>
        <n v="670" u="1"/>
        <n v="2618" u="1"/>
        <n v="2488" u="1"/>
        <n v="605" u="1"/>
        <n v="147" u="1"/>
        <n v="2228" u="1"/>
        <n v="540" u="1"/>
        <n v="2008" u="1"/>
        <n v="1943" u="1"/>
        <n v="461" u="1"/>
        <n v="1813" u="1"/>
        <n v="1748" u="1"/>
        <n v="1683" u="1"/>
        <n v="105" u="1"/>
        <n v="1618" u="1"/>
        <n v="1553" u="1"/>
        <n v="2945" u="1"/>
        <n v="2815" u="1"/>
        <n v="1163" u="1"/>
        <n v="2295" u="1"/>
        <n v="1098" u="1"/>
        <n v="2165" u="1"/>
        <n v="1033" u="1"/>
        <n v="996" u="1"/>
        <n v="931" u="1"/>
        <n v="866" u="1"/>
        <n v="52" u="1"/>
        <n v="3012" u="1"/>
        <n v="2882" u="1"/>
        <n v="2752" u="1"/>
        <n v="671" u="1"/>
        <n v="2622" u="1"/>
        <n v="2492" u="1"/>
        <n v="606" u="1"/>
        <n v="2102" u="1"/>
        <n v="131" u="1"/>
        <n v="2010" u="1"/>
        <n v="494" u="1"/>
        <n v="1945" u="1"/>
        <n v="1880" u="1"/>
        <n v="1815" u="1"/>
        <n v="1750" u="1"/>
        <n v="429" u="1"/>
        <n v="1685" u="1"/>
        <n v="1620" u="1"/>
        <n v="1555" u="1"/>
        <n v="97" u="1"/>
        <n v="1490" u="1"/>
        <n v="2949" u="1"/>
        <n v="364" u="1"/>
        <n v="1425" u="1"/>
        <n v="2819" u="1"/>
        <n v="1360" u="1"/>
        <n v="2559" u="1"/>
        <n v="1230" u="1"/>
        <n v="2429" u="1"/>
        <n v="299" u="1"/>
        <n v="1165" u="1"/>
        <n v="2299" u="1"/>
        <n v="1100" u="1"/>
        <n v="1035" u="1"/>
        <n v="997" u="1"/>
        <n v="245" u="1"/>
        <n v="932" u="1"/>
        <n v="867" u="1"/>
        <n v="3016" u="1"/>
        <n v="48" u="1"/>
        <n v="737" u="1"/>
        <n v="180" u="1"/>
        <n v="2756" u="1"/>
        <n v="2626" u="1"/>
        <n v="2496" u="1"/>
        <n v="607" u="1"/>
        <n v="2366" u="1"/>
        <n v="2236" u="1"/>
        <n v="542" u="1"/>
        <n v="2106" u="1"/>
        <n v="2012" u="1"/>
        <n v="1947" u="1"/>
        <n v="1882" u="1"/>
        <n v="462" u="1"/>
        <n v="1817" u="1"/>
        <n v="1752" u="1"/>
        <n v="1492" u="1"/>
        <n v="2953" u="1"/>
        <n v="1427" u="1"/>
        <n v="89" u="1"/>
        <n v="2693" u="1"/>
        <n v="332" u="1"/>
        <n v="1232" u="1"/>
        <n v="1167" u="1"/>
        <n v="2303" u="1"/>
        <n v="1102" u="1"/>
        <n v="267" u="1"/>
        <n v="1037" u="1"/>
        <n v="998" u="1"/>
        <n v="933" u="1"/>
        <n v="229" u="1"/>
        <n v="868" u="1"/>
        <n v="803" u="1"/>
        <n v="738" u="1"/>
        <n v="2760" u="1"/>
        <n v="44" u="1"/>
        <n v="673" u="1"/>
        <n v="2500" u="1"/>
        <n v="608" u="1"/>
        <n v="2370" u="1"/>
        <n v="2240" u="1"/>
        <n v="543" u="1"/>
        <n v="2110" u="1"/>
        <n v="2014" u="1"/>
        <n v="495" u="1"/>
        <n v="1949" u="1"/>
        <n v="1884" u="1"/>
        <n v="1819" u="1"/>
        <n v="1754" u="1"/>
        <n v="430" u="1"/>
        <n v="1689" u="1"/>
        <n v="1624" u="1"/>
        <n v="1494" u="1"/>
        <n v="365" u="1"/>
        <n v="1299" u="1"/>
        <n v="2567" u="1"/>
        <n v="81" u="1"/>
        <n v="1234" u="1"/>
        <n v="2437" u="1"/>
        <n v="300" u="1"/>
        <n v="1169" u="1"/>
        <n v="2307" u="1"/>
        <n v="1104" u="1"/>
        <n v="2177" u="1"/>
        <n v="1039" u="1"/>
        <n v="999" u="1"/>
        <n v="934" u="1"/>
        <n v="869" u="1"/>
        <n v="213" u="1"/>
        <n v="3024" u="1"/>
        <n v="739" u="1"/>
        <n v="2894" u="1"/>
        <n v="2764" u="1"/>
        <n v="674" u="1"/>
        <n v="2504" u="1"/>
        <n v="40" u="1"/>
        <n v="609" u="1"/>
        <n v="2374" u="1"/>
        <n v="148" u="1"/>
        <n v="2244" u="1"/>
        <n v="544" u="1"/>
        <n v="1951" u="1"/>
        <n v="1886" u="1"/>
        <n v="463" u="1"/>
        <n v="1821" u="1"/>
        <n v="1756" u="1"/>
        <n v="1691" u="1"/>
        <n v="398" u="1"/>
        <n v="1496" u="1"/>
        <n v="1431" u="1"/>
        <n v="2831" u="1"/>
        <n v="2701" u="1"/>
        <n v="333" u="1"/>
        <n v="1301" u="1"/>
        <n v="2571" u="1"/>
        <n v="2441" u="1"/>
        <n v="1171" u="1"/>
        <n v="2311" u="1"/>
        <n v="1106" u="1"/>
        <n v="2181" u="1"/>
        <n v="268" u="1"/>
        <n v="1041" u="1"/>
        <n v="1000" u="1"/>
        <n v="935" u="1"/>
        <n v="870" u="1"/>
        <n v="197" u="1"/>
        <n v="3028" u="1"/>
        <n v="740" u="1"/>
        <n v="2898" u="1"/>
        <n v="2768" u="1"/>
        <n v="2508" u="1"/>
        <n v="610" u="1"/>
        <n v="2378" u="1"/>
        <n v="2248" u="1"/>
        <n v="36" u="1"/>
        <n v="545" u="1"/>
        <n v="132" u="1"/>
        <n v="496" u="1"/>
        <n v="1953" u="1"/>
        <n v="1888" u="1"/>
        <n v="1823" u="1"/>
        <n v="1758" u="1"/>
        <n v="431" u="1"/>
        <n v="1693" u="1"/>
        <n v="1628" u="1"/>
        <n v="1498" u="1"/>
        <n v="2965" u="1"/>
        <n v="366" u="1"/>
        <n v="2835" u="1"/>
        <n v="1368" u="1"/>
        <n v="2705" u="1"/>
        <n v="1303" u="1"/>
        <n v="2575" u="1"/>
        <n v="301" u="1"/>
        <n v="2315" u="1"/>
        <n v="1108" u="1"/>
        <n v="2185" u="1"/>
        <n v="1043" u="1"/>
        <n v="1001" u="1"/>
        <n v="246" u="1"/>
        <n v="936" u="1"/>
        <n v="871" u="1"/>
        <n v="741" u="1"/>
        <n v="2902" u="1"/>
        <n v="181" u="1"/>
        <n v="2772" u="1"/>
        <n v="676" u="1"/>
        <n v="2642" u="1"/>
        <n v="2512" u="1"/>
        <n v="611" u="1"/>
        <n v="2382" u="1"/>
        <n v="2252" u="1"/>
        <n v="546" u="1"/>
        <n v="2122" u="1"/>
        <n v="32" u="1"/>
        <n v="1955" u="1"/>
        <n v="122" u="1"/>
        <n v="1890" u="1"/>
        <n v="464" u="1"/>
        <n v="1825" u="1"/>
        <n v="1760" u="1"/>
        <n v="1695" u="1"/>
        <n v="1630" u="1"/>
        <n v="399" u="1"/>
        <n v="1565" u="1"/>
        <n v="1500" u="1"/>
        <n v="2969" u="1"/>
        <n v="1435" u="1"/>
        <n v="2839" u="1"/>
        <n v="1370" u="1"/>
        <n v="2709" u="1"/>
        <n v="2579" u="1"/>
        <n v="2449" u="1"/>
        <n v="1175" u="1"/>
        <n v="2319" u="1"/>
        <n v="1110" u="1"/>
        <n v="2189" u="1"/>
        <n v="269" u="1"/>
        <n v="2059" u="1"/>
        <n v="1002" u="1"/>
        <n v="937" u="1"/>
        <n v="872" u="1"/>
        <n v="807" u="1"/>
        <n v="742" u="1"/>
        <n v="2906" u="1"/>
        <n v="2776" u="1"/>
        <n v="677" u="1"/>
        <n v="2646" u="1"/>
        <n v="165" u="1"/>
        <n v="2516" u="1"/>
        <n v="612" u="1"/>
        <n v="2386" u="1"/>
        <n v="2256" u="1"/>
        <n v="547" u="1"/>
        <n v="2126" u="1"/>
        <n v="497" u="1"/>
        <n v="1957" u="1"/>
        <n v="1892" u="1"/>
        <n v="30" u="1"/>
        <n v="1827" u="1"/>
        <n v="114" u="1"/>
        <n v="432" u="1"/>
        <n v="1632" u="1"/>
        <n v="1502" u="1"/>
        <n v="2973" u="1"/>
        <n v="367" u="1"/>
        <n v="2843" u="1"/>
        <n v="1372" u="1"/>
        <n v="2713" u="1"/>
        <n v="2583" u="1"/>
        <n v="302" u="1"/>
        <n v="2323" u="1"/>
        <n v="1112" u="1"/>
        <n v="2193" u="1"/>
        <n v="1047" u="1"/>
        <n v="2063" u="1"/>
        <n v="1003" u="1"/>
        <n v="938" u="1"/>
        <n v="873" u="1"/>
        <n v="214" u="1"/>
        <n v="3040" u="1"/>
        <n v="743" u="1"/>
        <n v="2910" u="1"/>
        <n v="2780" u="1"/>
        <n v="678" u="1"/>
        <n v="2650" u="1"/>
        <n v="2520" u="1"/>
        <n v="613" u="1"/>
        <n v="2260" u="1"/>
        <n v="548" u="1"/>
        <n v="1959" u="1"/>
        <n v="1894" u="1"/>
        <n v="465" u="1"/>
        <n v="1829" u="1"/>
        <n v="1764" u="1"/>
        <n v="28" u="1"/>
        <n v="1699" u="1"/>
        <n v="106" u="1"/>
        <n v="1634" u="1"/>
        <n v="400" u="1"/>
        <n v="1504" u="1"/>
        <n v="2847" u="1"/>
        <n v="1374" u="1"/>
        <n v="2717" u="1"/>
        <n v="335" u="1"/>
        <n v="2587" u="1"/>
        <n v="2457" u="1"/>
        <n v="1179" u="1"/>
        <n v="2327" u="1"/>
        <n v="1114" u="1"/>
        <n v="2197" u="1"/>
        <n v="270" u="1"/>
        <n v="1049" u="1"/>
        <n v="2067" u="1"/>
        <n v="1004" u="1"/>
        <n v="939" u="1"/>
        <n v="874" u="1"/>
        <n v="809" u="1"/>
        <n v="198" u="1"/>
        <n v="3044" u="1"/>
        <n v="744" u="1"/>
        <n v="2914" u="1"/>
        <n v="679" u="1"/>
        <n v="2654" u="1"/>
        <n v="2524" u="1"/>
        <n v="614" u="1"/>
        <n v="2394" u="1"/>
        <n v="2264" u="1"/>
        <n v="549" u="1"/>
        <n v="2134" u="1"/>
        <n v="133" u="1"/>
        <n v="498" u="1"/>
        <n v="1961" u="1"/>
        <n v="1896" u="1"/>
        <n v="1831" u="1"/>
        <n v="433" u="1"/>
        <n v="1701" u="1"/>
        <n v="1636" u="1"/>
        <n v="26" u="1"/>
        <n v="1571" u="1"/>
        <n v="98" u="1"/>
        <n v="1506" u="1"/>
        <n v="2981" u="1"/>
        <n v="368" u="1"/>
        <n v="2851" u="1"/>
        <n v="1376" u="1"/>
        <n v="2721" u="1"/>
        <n v="303" u="1"/>
        <n v="2331" u="1"/>
        <n v="1116" u="1"/>
        <n v="2201" u="1"/>
        <n v="1051" u="1"/>
        <n v="2071" u="1"/>
        <n v="247" u="1"/>
        <n v="940" u="1"/>
        <n v="875" u="1"/>
        <n v="810" u="1"/>
        <n v="745" u="1"/>
        <n v="182" u="1"/>
        <n v="2788" u="1"/>
        <n v="680" u="1"/>
        <n v="2658" u="1"/>
        <n v="2528" u="1"/>
        <n v="615" u="1"/>
        <n v="2398" u="1"/>
        <n v="2268" u="1"/>
        <n v="550" u="1"/>
        <n v="2138" u="1"/>
        <n v="1963" u="1"/>
        <n v="1898" u="1"/>
        <n v="466" u="1"/>
        <n v="1833" u="1"/>
        <n v="1768" u="1"/>
        <n v="1703" u="1"/>
        <n v="1638" u="1"/>
        <n v="1573" u="1"/>
        <n v="2985" u="1"/>
        <n v="24" u="1"/>
        <n v="2855" u="1"/>
        <n v="90" u="1"/>
        <n v="1378" u="1"/>
        <n v="2725" u="1"/>
        <n v="336" u="1"/>
        <n v="2465" u="1"/>
        <n v="2335" u="1"/>
        <n v="1118" u="1"/>
        <n v="271" u="1"/>
        <n v="1053" u="1"/>
        <n v="2075" u="1"/>
        <n v="1006" u="1"/>
        <n v="941" u="1"/>
        <n v="231" u="1"/>
        <n v="876" u="1"/>
        <n v="811" u="1"/>
        <n v="746" u="1"/>
        <n v="2922" u="1"/>
        <n v="2792" u="1"/>
        <n v="681" u="1"/>
        <n v="2662" u="1"/>
        <n v="2532" u="1"/>
        <n v="616" u="1"/>
        <n v="2402" u="1"/>
        <n v="2272" u="1"/>
        <n v="551" u="1"/>
        <n v="2142" u="1"/>
        <n v="2030" u="1"/>
        <n v="499" u="1"/>
        <n v="1965" u="1"/>
        <n v="1900" u="1"/>
        <n v="1835" u="1"/>
        <n v="1770" u="1"/>
        <n v="434" u="1"/>
        <n v="1705" u="1"/>
        <n v="1510" u="1"/>
        <n v="2989" u="1"/>
        <n v="369" u="1"/>
        <n v="1445" u="1"/>
        <n v="1380" u="1"/>
        <n v="2729" u="1"/>
        <n v="82" u="1"/>
        <n v="2469" u="1"/>
        <n v="304" u="1"/>
        <n v="1185" u="1"/>
        <n v="2339" u="1"/>
        <n v="1120" u="1"/>
        <n v="2209" u="1"/>
        <n v="1055" u="1"/>
        <n v="2079" u="1"/>
        <n v="942" u="1"/>
        <n v="877" u="1"/>
        <n v="215" u="1"/>
        <n v="812" u="1"/>
        <n v="747" u="1"/>
        <n v="2926" u="1"/>
        <n v="2796" u="1"/>
        <n v="682" u="1"/>
        <n v="2666" u="1"/>
        <n v="2536" u="1"/>
        <n v="617" u="1"/>
        <n v="2406" u="1"/>
        <n v="150" u="1"/>
        <n v="552" u="1"/>
        <n v="2146" u="1"/>
        <n v="2032" u="1"/>
        <n v="467" u="1"/>
        <n v="1837" u="1"/>
        <n v="1772" u="1"/>
        <n v="1707" u="1"/>
        <n v="1642" u="1"/>
        <n v="402" u="1"/>
        <n v="1577" u="1"/>
        <n v="2863" u="1"/>
        <n v="337" u="1"/>
        <n v="2603" u="1"/>
        <n v="2473" u="1"/>
        <n v="20" u="1"/>
        <n v="2343" u="1"/>
        <n v="1122" u="1"/>
        <n v="272" u="1"/>
        <n v="2083" u="1"/>
        <n v="1008" u="1"/>
        <n v="943" u="1"/>
        <n v="878" u="1"/>
        <n v="813" u="1"/>
        <n v="199" u="1"/>
        <n v="748" u="1"/>
        <n v="2930" u="1"/>
        <n v="2800" u="1"/>
        <n v="683" u="1"/>
        <n v="2670" u="1"/>
        <n v="2540" u="1"/>
        <n v="618" u="1"/>
        <n v="2410" u="1"/>
        <n v="2280" u="1"/>
        <n v="553" u="1"/>
        <n v="2150" u="1"/>
        <n v="134" u="1"/>
        <n v="2034" u="1"/>
        <n v="500" u="1"/>
        <n v="1969" u="1"/>
        <n v="1904" u="1"/>
        <n v="1839" u="1"/>
        <n v="1774" u="1"/>
        <n v="435" u="1"/>
        <n v="1709" u="1"/>
        <n v="1644" u="1"/>
        <n v="1579" u="1"/>
        <n v="1514" u="1"/>
        <n v="370" u="1"/>
        <n v="2867" u="1"/>
        <n v="2607" u="1"/>
        <n v="305" u="1"/>
        <n v="1124" u="1"/>
        <n v="18" u="1"/>
        <n v="1059" u="1"/>
        <n v="2087" u="1"/>
        <n v="1009" u="1"/>
        <n v="248" u="1"/>
        <n v="944" u="1"/>
        <n v="879" u="1"/>
        <n v="814" u="1"/>
        <n v="749" u="1"/>
        <n v="183" u="1"/>
        <n v="2804" u="1"/>
        <n v="684" u="1"/>
        <n v="2674" u="1"/>
        <n v="2544" u="1"/>
        <n v="619" u="1"/>
        <n v="2414" u="1"/>
        <n v="2284" u="1"/>
        <n v="554" u="1"/>
        <n v="2154" u="1"/>
        <n v="2036" u="1"/>
        <n v="1971" u="1"/>
        <n v="123" u="1"/>
        <n v="1906" u="1"/>
        <n v="468" u="1"/>
        <n v="1776" u="1"/>
        <n v="1711" u="1"/>
        <n v="1646" u="1"/>
        <n v="403" u="1"/>
        <n v="1581" u="1"/>
        <n v="1516" u="1"/>
        <n v="3001" u="1"/>
        <n v="1386" u="1"/>
        <n v="2741" u="1"/>
        <n v="338" u="1"/>
        <n v="1321" u="1"/>
        <n v="2611" u="1"/>
        <n v="2481" u="1"/>
        <n v="2351" u="1"/>
        <n v="1126" u="1"/>
        <n v="273" u="1"/>
        <n v="1061" u="1"/>
        <n v="1010" u="1"/>
        <n v="61" u="1"/>
        <n v="945" u="1"/>
        <n v="880" u="1"/>
        <n v="815" u="1"/>
        <n v="750" u="1"/>
        <n v="2938" u="1"/>
        <n v="2808" u="1"/>
        <n v="685" u="1"/>
        <n v="2548" u="1"/>
        <n v="620" u="1"/>
        <n v="2418" u="1"/>
        <n v="2288" u="1"/>
        <n v="555" u="1"/>
        <n v="2158" u="1"/>
        <n v="2038" u="1"/>
        <n v="501" u="1"/>
        <n v="1908" u="1"/>
        <n v="1843" u="1"/>
        <n v="1778" u="1"/>
        <n v="436" u="1"/>
        <n v="1713" u="1"/>
        <n v="1648" u="1"/>
        <n v="1583" u="1"/>
        <n v="1518" u="1"/>
        <n v="3005" u="1"/>
        <n v="371" u="1"/>
        <n v="1453" u="1"/>
        <n v="1388" u="1"/>
        <n v="2745" u="1"/>
        <n v="2615" u="1"/>
        <n v="2355" u="1"/>
        <n v="1128" u="1"/>
        <n v="1063" u="1"/>
        <n v="1011" u="1"/>
        <n v="946" u="1"/>
        <n v="15" u="1"/>
        <n v="57" u="1"/>
        <n v="881" u="1"/>
        <n v="216" u="1"/>
        <n v="816" u="1"/>
        <n v="751" u="1"/>
        <n v="2942" u="1"/>
        <n v="2812" u="1"/>
        <n v="621" u="1"/>
        <n v="2422" u="1"/>
        <n v="151" u="1"/>
        <n v="2292" u="1"/>
        <n v="556" u="1"/>
        <n v="2162" u="1"/>
        <n v="2040" u="1"/>
        <n v="1975" u="1"/>
        <n v="1910" u="1"/>
        <n v="469" u="1"/>
        <n v="1845" u="1"/>
        <n v="1780" u="1"/>
        <n v="1715" u="1"/>
        <n v="107" u="1"/>
        <n v="1650" u="1"/>
        <n v="404" u="1"/>
        <n v="1585" u="1"/>
        <n v="1520" u="1"/>
        <n v="3009" u="1"/>
        <n v="2879" u="1"/>
        <n v="1390" u="1"/>
        <n v="2749" u="1"/>
        <n v="339" u="1"/>
        <n v="1325" u="1"/>
        <n v="2619" u="1"/>
        <n v="1260" u="1"/>
        <n v="1130" u="1"/>
        <n v="274" u="1"/>
        <n v="2099" u="1"/>
        <n v="1012" u="1"/>
        <n v="947" u="1"/>
        <n v="882" u="1"/>
        <n v="14" u="1"/>
        <n v="53" u="1"/>
        <n v="817" u="1"/>
        <n v="200" u="1"/>
        <n v="752" u="1"/>
        <n v="2946" u="1"/>
        <n v="2816" u="1"/>
        <n v="2556" u="1"/>
        <n v="622" u="1"/>
        <n v="2296" u="1"/>
        <n v="557" u="1"/>
        <n v="2166" u="1"/>
        <n v="135" u="1"/>
        <n v="502" u="1"/>
        <n v="1977" u="1"/>
        <n v="1912" u="1"/>
        <n v="437" u="1"/>
        <n v="1717" u="1"/>
        <n v="1587" u="1"/>
        <n v="99" u="1"/>
        <n v="1522" u="1"/>
        <n v="3013" u="1"/>
        <n v="372" u="1"/>
        <n v="1457" u="1"/>
        <n v="1392" u="1"/>
        <n v="2753" u="1"/>
        <n v="1327" u="1"/>
        <n v="2623" u="1"/>
        <n v="2493" u="1"/>
        <n v="307" u="1"/>
        <n v="1197" u="1"/>
        <n v="2363" u="1"/>
        <n v="1132" u="1"/>
        <n v="2233" u="1"/>
        <n v="1067" u="1"/>
        <n v="2103" u="1"/>
        <n v="1013" u="1"/>
        <n v="249" u="1"/>
        <n v="948" u="1"/>
        <n v="883" u="1"/>
        <n v="818" u="1"/>
        <n v="13" u="1"/>
        <n v="49" u="1"/>
        <n v="2950" u="1"/>
        <n v="2820" u="1"/>
        <n v="688" u="1"/>
        <n v="2690" u="1"/>
        <n v="623" u="1"/>
        <n v="2430" u="1"/>
        <n v="2300" u="1"/>
        <n v="558" u="1"/>
        <n v="2170" u="1"/>
        <n v="2044" u="1"/>
        <n v="1979" u="1"/>
        <n v="1914" u="1"/>
        <n v="470" u="1"/>
        <n v="1654" u="1"/>
        <n v="405" u="1"/>
        <n v="1524" u="1"/>
        <n v="3017" u="1"/>
        <n v="2887" u="1"/>
        <n v="91" u="1"/>
        <n v="1394" u="1"/>
        <n v="2757" u="1"/>
        <n v="340" u="1"/>
        <n v="1329" u="1"/>
        <n v="2627" u="1"/>
        <n v="2497" u="1"/>
        <n v="1199" u="1"/>
        <n v="2367" u="1"/>
        <n v="1134" u="1"/>
        <n v="275" u="1"/>
        <n v="1069" u="1"/>
        <n v="2107" u="1"/>
        <n v="1014" u="1"/>
        <n v="949" u="1"/>
        <n v="233" u="1"/>
        <n v="884" u="1"/>
        <n v="819" u="1"/>
        <n v="754" u="1"/>
        <n v="2954" u="1"/>
        <n v="12" u="1"/>
        <n v="2824" u="1"/>
        <n v="45" u="1"/>
        <n v="689" u="1"/>
        <n v="2564" u="1"/>
        <n v="624" u="1"/>
        <n v="2304" u="1"/>
        <n v="559" u="1"/>
        <n v="2174" u="1"/>
        <n v="2046" u="1"/>
        <n v="503" u="1"/>
        <n v="1916" u="1"/>
        <n v="1786" u="1"/>
        <n v="438" u="1"/>
        <n v="1721" u="1"/>
        <n v="1591" u="1"/>
        <n v="373" u="1"/>
        <n v="1461" u="1"/>
        <n v="2891" u="1"/>
        <n v="2761" u="1"/>
        <n v="1331" u="1"/>
        <n v="2631" u="1"/>
        <n v="83" u="1"/>
        <n v="2501" u="1"/>
        <n v="1201" u="1"/>
        <n v="2371" u="1"/>
        <n v="1136" u="1"/>
        <n v="1071" u="1"/>
        <n v="2111" u="1"/>
        <n v="1015" u="1"/>
        <n v="950" u="1"/>
        <n v="885" u="1"/>
        <n v="217" u="1"/>
        <n v="755" u="1"/>
        <n v="2958" u="1"/>
        <n v="690" u="1"/>
        <n v="2698" u="1"/>
        <n v="11" u="1"/>
        <n v="2568" u="1"/>
        <n v="41" u="1"/>
        <n v="625" u="1"/>
        <n v="2438" u="1"/>
        <n v="152" u="1"/>
        <n v="2308" u="1"/>
        <n v="560" u="1"/>
        <n v="2178" u="1"/>
        <n v="1983" u="1"/>
        <n v="1918" u="1"/>
        <n v="471" u="1"/>
        <n v="1853" u="1"/>
        <n v="1723" u="1"/>
        <n v="406" u="1"/>
        <n v="1593" u="1"/>
        <n v="1528" u="1"/>
        <n v="3025" u="1"/>
        <n v="1463" u="1"/>
        <n v="2895" u="1"/>
        <n v="1398" u="1"/>
        <n v="2765" u="1"/>
        <n v="341" u="1"/>
        <n v="1333" u="1"/>
        <n v="2505" u="1"/>
        <n v="75" u="1"/>
        <n v="1138" u="1"/>
        <n v="2245" u="1"/>
        <n v="276" u="1"/>
        <n v="1073" u="1"/>
        <n v="1016" u="1"/>
        <n v="951" u="1"/>
        <n v="886" u="1"/>
        <n v="201" u="1"/>
        <n v="756" u="1"/>
        <n v="2832" u="1"/>
        <n v="2572" u="1"/>
        <n v="626" u="1"/>
        <n v="2442" u="1"/>
        <n v="10" u="1"/>
        <n v="2312" u="1"/>
        <n v="37" u="1"/>
        <n v="2182" u="1"/>
        <n v="136" u="1"/>
        <n v="504" u="1"/>
        <n v="1790" u="1"/>
        <n v="439" u="1"/>
        <n v="1725" u="1"/>
        <n v="1660" u="1"/>
        <n v="374" u="1"/>
        <n v="1465" u="1"/>
        <n v="1400" u="1"/>
        <n v="2769" u="1"/>
        <n v="2639" u="1"/>
        <n v="2509" u="1"/>
        <n v="309" u="1"/>
        <n v="1140" u="1"/>
        <n v="2249" u="1"/>
        <n v="1075" u="1"/>
        <n v="2119" u="1"/>
        <n v="67" u="1"/>
        <n v="1017" u="1"/>
        <n v="250" u="1"/>
        <n v="952" u="1"/>
        <n v="887" u="1"/>
        <n v="2966" u="1"/>
        <n v="692" u="1"/>
        <n v="2706" u="1"/>
        <n v="2576" u="1"/>
        <n v="627" u="1"/>
        <n v="2446" u="1"/>
        <n v="2316" u="1"/>
        <n v="562" u="1"/>
        <n v="2186" u="1"/>
        <n v="9" u="1"/>
        <n v="2056" u="1"/>
        <n v="33" u="1"/>
        <n v="124" u="1"/>
        <n v="472" u="1"/>
        <n v="1792" u="1"/>
        <n v="1727" u="1"/>
        <n v="1532" u="1"/>
        <n v="3033" u="1"/>
        <n v="1467" u="1"/>
        <n v="2903" u="1"/>
        <n v="1402" u="1"/>
        <n v="2773" u="1"/>
        <n v="342" u="1"/>
        <n v="2643" u="1"/>
        <n v="1272" u="1"/>
        <n v="2513" u="1"/>
        <n v="1207" u="1"/>
        <n v="2383" u="1"/>
        <n v="1142" u="1"/>
        <n v="2253" u="1"/>
        <n v="277" u="1"/>
        <n v="1077" u="1"/>
        <n v="2123" u="1"/>
        <n v="888" u="1"/>
        <n v="758" u="1"/>
        <n v="2970" u="1"/>
        <n v="2840" u="1"/>
        <n v="693" u="1"/>
        <n v="169" u="1"/>
        <n v="2580" u="1"/>
        <n v="628" u="1"/>
        <n v="2320" u="1"/>
        <n v="563" u="1"/>
        <n v="2190" u="1"/>
        <n v="2060" u="1"/>
        <n v="505" u="1"/>
        <n v="8" u="1"/>
        <n v="1924" u="1"/>
        <n v="116" u="1"/>
        <n v="1794" u="1"/>
        <n v="440" u="1"/>
        <n v="1664" u="1"/>
        <n v="1599" u="1"/>
        <n v="375" u="1"/>
        <n v="1469" u="1"/>
        <n v="2907" u="1"/>
        <n v="1404" u="1"/>
        <n v="2777" u="1"/>
        <n v="1339" u="1"/>
        <n v="2647" u="1"/>
        <n v="1274" u="1"/>
        <n v="2517" u="1"/>
        <n v="310" u="1"/>
        <n v="1209" u="1"/>
        <n v="2387" u="1"/>
        <n v="1144" u="1"/>
        <n v="2257" u="1"/>
        <n v="1079" u="1"/>
        <n v="2127" u="1"/>
        <n v="889" u="1"/>
        <n v="759" u="1"/>
        <n v="2974" u="1"/>
        <n v="2844" u="1"/>
        <n v="694" u="1"/>
        <n v="2714" u="1"/>
        <n v="2584" u="1"/>
        <n v="629" u="1"/>
        <n v="153" u="1"/>
        <n v="2324" u="1"/>
        <n v="564" u="1"/>
        <n v="2194" u="1"/>
        <n v="2064" u="1"/>
        <n v="1926" u="1"/>
        <n v="473" u="1"/>
        <n v="1796" u="1"/>
        <n v="1731" u="1"/>
        <n v="108" u="1"/>
        <n v="1666" u="1"/>
        <n v="1601" u="1"/>
        <n v="1536" u="1"/>
        <n v="3041" u="1"/>
        <n v="1471" u="1"/>
        <n v="2911" u="1"/>
        <n v="1406" u="1"/>
        <n v="2781" u="1"/>
        <n v="343" u="1"/>
        <n v="1341" u="1"/>
        <n v="2651" u="1"/>
        <n v="1276" u="1"/>
        <n v="2521" u="1"/>
        <n v="2391" u="1"/>
        <n v="1146" u="1"/>
        <n v="2261" u="1"/>
        <n v="278" u="1"/>
        <n v="1081" u="1"/>
        <n v="2131" u="1"/>
        <n v="1020" u="1"/>
        <n v="890" u="1"/>
        <n v="825" u="1"/>
        <n v="202" u="1"/>
        <n v="2978" u="1"/>
        <n v="2848" u="1"/>
        <n v="695" u="1"/>
        <n v="2718" u="1"/>
        <n v="2588" u="1"/>
        <n v="630" u="1"/>
        <n v="2458" u="1"/>
        <n v="2328" u="1"/>
        <n v="565" u="1"/>
        <n v="2198" u="1"/>
        <n v="137" u="1"/>
        <n v="2068" u="1"/>
        <n v="506" u="1"/>
        <n v="1928" u="1"/>
        <n v="1798" u="1"/>
        <n v="441" u="1"/>
        <n v="1733" u="1"/>
        <n v="1603" u="1"/>
        <n v="100" u="1"/>
        <n v="1538" u="1"/>
        <n v="376" u="1"/>
        <n v="2915" u="1"/>
        <n v="1408" u="1"/>
        <n v="2785" u="1"/>
        <n v="1343" u="1"/>
        <n v="2655" u="1"/>
        <n v="1278" u="1"/>
        <n v="2525" u="1"/>
        <n v="311" u="1"/>
        <n v="1213" u="1"/>
        <n v="2265" u="1"/>
        <n v="1083" u="1"/>
        <n v="2135" u="1"/>
        <n v="1021" u="1"/>
        <n v="251" u="1"/>
        <n v="956" u="1"/>
        <n v="891" u="1"/>
        <n v="826" u="1"/>
        <n v="761" u="1"/>
        <n v="2982" u="1"/>
        <n v="186" u="1"/>
        <n v="2852" u="1"/>
        <n v="696" u="1"/>
        <n v="2722" u="1"/>
        <n v="2592" u="1"/>
        <n v="631" u="1"/>
        <n v="2332" u="1"/>
        <n v="566" u="1"/>
        <n v="2202" u="1"/>
        <n v="2072" u="1"/>
        <n v="1930" u="1"/>
        <n v="474" u="1"/>
        <n v="1865" u="1"/>
        <n v="1800" u="1"/>
        <n v="1735" u="1"/>
        <n v="409" u="1"/>
        <n v="1605" u="1"/>
        <n v="1540" u="1"/>
        <n v="2919" u="1"/>
        <n v="92" u="1"/>
        <n v="2789" u="1"/>
        <n v="344" u="1"/>
        <n v="1345" u="1"/>
        <n v="2659" u="1"/>
        <n v="1280" u="1"/>
        <n v="2529" u="1"/>
        <n v="1215" u="1"/>
        <n v="2399" u="1"/>
        <n v="1150" u="1"/>
        <n v="2269" u="1"/>
        <n v="279" u="1"/>
        <n v="1085" u="1"/>
        <n v="2139" u="1"/>
        <n v="1022" u="1"/>
        <n v="957" u="1"/>
        <n v="827" u="1"/>
        <n v="762" u="1"/>
        <n v="2986" u="1"/>
        <n v="2856" u="1"/>
        <n v="697" u="1"/>
        <n v="2726" u="1"/>
        <n v="170" u="1"/>
        <n v="2596" u="1"/>
        <n v="2466" u="1"/>
        <n v="567" u="1"/>
        <n v="2206" u="1"/>
        <n v="2076" u="1"/>
        <n v="507" u="1"/>
        <n v="1932" u="1"/>
        <n v="1867" u="1"/>
        <n v="1802" u="1"/>
        <n v="442" u="1"/>
        <n v="1672" u="1"/>
        <n v="1607" u="1"/>
        <n v="1542" u="1"/>
        <n v="1477" u="1"/>
        <n v="2923" u="1"/>
        <n v="6" u="1"/>
        <n v="2793" u="1"/>
        <n v="2663" u="1"/>
        <n v="84" u="1"/>
        <n v="1282" u="1"/>
        <n v="2533" u="1"/>
        <n v="312" u="1"/>
        <n v="1217" u="1"/>
        <n v="2403" u="1"/>
        <n v="1152" u="1"/>
        <n v="1087" u="1"/>
        <n v="2143" u="1"/>
        <n v="958" u="1"/>
        <n v="893" u="1"/>
        <n v="219" u="1"/>
        <n v="828" u="1"/>
        <n v="763" u="1"/>
        <n v="698" u="1"/>
        <n v="2730" u="1"/>
        <n v="2600" u="1"/>
        <n v="2470" u="1"/>
        <n v="154" u="1"/>
        <n v="2340" u="1"/>
        <n v="2210" u="1"/>
        <n v="2080" u="1"/>
        <n v="1999" u="1"/>
        <n v="1934" u="1"/>
        <n v="475" u="1"/>
        <n v="1869" u="1"/>
        <n v="1804" u="1"/>
        <n v="1739" u="1"/>
        <n v="1674" u="1"/>
        <n v="410" u="1"/>
        <n v="1609" u="1"/>
        <n v="1544" u="1"/>
        <n v="1479" u="1"/>
        <n v="2927" u="1"/>
        <n v="2797" u="1"/>
        <n v="345" u="1"/>
        <n v="2667" u="1"/>
        <n v="1284" u="1"/>
        <n v="1219" u="1"/>
        <n v="76" u="1"/>
        <n v="1154" u="1"/>
        <n v="2277" u="1"/>
        <n v="2147" u="1"/>
        <n v="1024" u="1"/>
        <n v="959" u="1"/>
        <n v="894" u="1"/>
        <n v="203" u="1"/>
        <n v="764" u="1"/>
        <n v="2994" u="1"/>
        <n v="699" u="1"/>
        <n v="2604" u="1"/>
        <n v="2474" u="1"/>
        <n v="2344" u="1"/>
        <n v="2084" u="1"/>
        <n v="508" u="1"/>
        <n v="1936" u="1"/>
        <n v="1806" u="1"/>
        <n v="1741" u="1"/>
        <n v="1676" u="1"/>
        <n v="1611" u="1"/>
        <n v="1546" u="1"/>
        <n v="378" u="1"/>
        <n v="1481" u="1"/>
        <n v="2931" u="1"/>
        <n v="2801" u="1"/>
        <n v="1351" u="1"/>
        <n v="2671" u="1"/>
        <n v="1286" u="1"/>
        <n v="313" u="1"/>
        <n v="1221" u="1"/>
        <n v="2411" u="1"/>
        <n v="5" u="1"/>
        <n v="1156" u="1"/>
        <n v="2281" u="1"/>
        <n v="1091" u="1"/>
        <n v="2151" u="1"/>
        <n v="68" u="1"/>
        <n v="1026" u="1"/>
        <n v="252" u="1"/>
        <n v="960" u="1"/>
        <n v="895" u="1"/>
        <n v="187" u="1"/>
        <n v="2868" u="1"/>
        <n v="700" u="1"/>
        <n v="2738" u="1"/>
        <n v="2608" u="1"/>
        <n v="635" u="1"/>
        <n v="2478" u="1"/>
        <n v="570" u="1"/>
        <n v="2088" u="1"/>
        <n v="2003" u="1"/>
        <n v="125" u="1"/>
        <n v="1938" u="1"/>
        <n v="476" u="1"/>
        <n v="1808" u="1"/>
        <n v="1743" u="1"/>
        <n v="1678" u="1"/>
        <n v="411" u="1"/>
        <n v="1613" u="1"/>
        <n v="1483" u="1"/>
        <n v="2805" u="1"/>
        <n v="346" u="1"/>
        <n v="1353" u="1"/>
        <n v="2675" u="1"/>
        <n v="1288" u="1"/>
        <n v="2545" u="1"/>
        <n v="2415" u="1"/>
        <n v="1158" u="1"/>
        <n v="2285" u="1"/>
        <n v="281" u="1"/>
        <n v="1093" u="1"/>
        <n v="2155" u="1"/>
        <n v="1028" u="1"/>
        <n v="62" u="1"/>
        <n v="961" u="1"/>
        <n v="236" u="1"/>
        <n v="896" u="1"/>
        <n v="831" u="1"/>
        <n v="766" u="1"/>
        <n v="3002" u="1"/>
        <n v="2872" u="1"/>
        <n v="701" u="1"/>
        <n v="2742" u="1"/>
        <n v="171" u="1"/>
        <n v="2612" u="1"/>
        <n v="636" u="1"/>
        <n v="2482" u="1"/>
        <n v="2352" u="1"/>
        <n v="571" u="1"/>
        <n v="2222" u="1"/>
        <n v="509" u="1"/>
        <n v="2005" u="1"/>
        <n v="1940" u="1"/>
        <n v="117" u="1"/>
        <n v="1810" u="1"/>
        <n v="444" u="1"/>
        <n v="1745" u="1"/>
        <n v="1680" u="1"/>
        <n v="1615" u="1"/>
        <n v="1550" u="1"/>
        <n v="1485" u="1"/>
        <n v="2809" u="1"/>
        <n v="1355" u="1"/>
        <n v="2549" u="1"/>
        <n v="314" u="1"/>
        <n v="1225" u="1"/>
        <n v="2419" u="1"/>
        <n v="1160" u="1"/>
        <n v="2289" u="1"/>
        <n v="1095" u="1"/>
        <n v="2159" u="1"/>
        <n v="4" u="1"/>
        <n v="962" u="1"/>
        <n v="58" u="1"/>
        <n v="897" u="1"/>
        <n v="832" u="1"/>
        <n v="767" u="1"/>
        <n v="3006" u="1"/>
        <n v="702" u="1"/>
        <n v="2746" u="1"/>
        <n v="2616" u="1"/>
        <n v="637" u="1"/>
        <n v="155" u="1"/>
        <n v="2356" u="1"/>
        <n v="572" u="1"/>
        <n v="2226" u="1"/>
        <n v="1942" u="1"/>
        <n v="477" u="1"/>
        <n v="1812" u="1"/>
        <n v="1747" u="1"/>
        <n v="109" u="1"/>
        <n v="1682" u="1"/>
        <n v="412" u="1"/>
        <n v="1617" u="1"/>
        <n v="1552" u="1"/>
        <n v="1487" u="1"/>
        <n v="2943" u="1"/>
        <n v="1422" u="1"/>
        <n v="2813" u="1"/>
        <n v="347" u="1"/>
        <n v="2553" u="1"/>
        <n v="1227" u="1"/>
        <n v="2423" u="1"/>
        <n v="1162" u="1"/>
        <n v="2293" u="1"/>
        <n v="282" u="1"/>
        <n v="1097" u="1"/>
        <n v="2163" u="1"/>
        <n v="1032" u="1"/>
        <n v="963" u="1"/>
        <n v="898" u="1"/>
        <n v="54" u="1"/>
        <n v="833" u="1"/>
        <n v="204" u="1"/>
        <n v="768" u="1"/>
        <n v="703" u="1"/>
        <n v="2750" u="1"/>
        <n v="2620" u="1"/>
        <n v="638" u="1"/>
        <n v="2490" u="1"/>
        <n v="2360" u="1"/>
        <n v="573" u="1"/>
        <n v="2100" u="1"/>
        <n v="1944" u="1"/>
        <n v="1814" u="1"/>
        <n v="445" u="1"/>
        <n v="1619" u="1"/>
        <n v="101" u="1"/>
        <n v="1554" u="1"/>
        <n v="380" u="1"/>
        <n v="2947" u="1"/>
        <n v="1424" u="1"/>
        <n v="2817" u="1"/>
        <n v="1359" u="1"/>
        <n v="2557" u="1"/>
        <n v="315" u="1"/>
        <n v="1229" u="1"/>
        <n v="2427" u="1"/>
        <n v="1164" u="1"/>
        <n v="2297" u="1"/>
        <n v="1099" u="1"/>
        <n v="1034" u="1"/>
        <n v="253" u="1"/>
        <n v="964" u="1"/>
        <n v="899" u="1"/>
        <n v="834" u="1"/>
        <n v="50" u="1"/>
        <n v="769" u="1"/>
        <n v="3014" u="1"/>
        <n v="2884" u="1"/>
        <n v="704" u="1"/>
        <n v="2754" u="1"/>
        <n v="2624" u="1"/>
        <n v="639" u="1"/>
        <n v="2494" u="1"/>
        <n v="574" u="1"/>
        <n v="2234" u="1"/>
        <n v="2011" u="1"/>
        <n v="1946" u="1"/>
        <n v="478" u="1"/>
        <n v="1881" u="1"/>
        <n v="1816" u="1"/>
        <n v="1686" u="1"/>
        <n v="413" u="1"/>
        <n v="1621" u="1"/>
        <n v="1556" u="1"/>
        <n v="2951" u="1"/>
        <n v="93" u="1"/>
        <n v="2821" u="1"/>
        <n v="348" u="1"/>
        <n v="1361" u="1"/>
        <n v="2691" u="1"/>
        <n v="2561" u="1"/>
        <n v="1231" u="1"/>
        <n v="1166" u="1"/>
        <n v="2301" u="1"/>
        <n v="283" u="1"/>
        <n v="1101" u="1"/>
        <n v="1036" u="1"/>
        <n v="965" u="1"/>
        <n v="900" u="1"/>
        <n v="835" u="1"/>
        <n v="770" u="1"/>
        <n v="3018" u="1"/>
        <n v="2888" u="1"/>
        <n v="46" u="1"/>
        <n v="705" u="1"/>
        <n v="2758" u="1"/>
        <n v="172" u="1"/>
        <n v="2628" u="1"/>
        <n v="640" u="1"/>
        <n v="2498" u="1"/>
        <n v="2368" u="1"/>
        <n v="2238" u="1"/>
        <n v="2108" u="1"/>
        <n v="2013" u="1"/>
        <n v="1948" u="1"/>
        <n v="1883" u="1"/>
        <n v="1818" u="1"/>
        <n v="446" u="1"/>
        <n v="1753" u="1"/>
        <n v="1688" u="1"/>
        <n v="1623" u="1"/>
        <n v="381" u="1"/>
        <n v="2955" u="1"/>
        <n v="2825" u="1"/>
        <n v="2695" u="1"/>
        <n v="85" u="1"/>
        <n v="1298" u="1"/>
        <n v="2565" u="1"/>
        <n v="1233" u="1"/>
        <n v="2435" u="1"/>
        <n v="1168" u="1"/>
        <n v="2305" u="1"/>
        <n v="1103" u="1"/>
        <n v="1038" u="1"/>
        <n v="966" u="1"/>
        <n v="901" u="1"/>
        <n v="221" u="1"/>
        <n v="771" u="1"/>
        <n v="3022" u="1"/>
        <n v="2892" u="1"/>
        <n v="3" u="1"/>
        <n v="706" u="1"/>
        <n v="2762" u="1"/>
        <n v="2632" u="1"/>
        <n v="42" u="1"/>
        <n v="641" u="1"/>
        <n v="2502" u="1"/>
        <n v="156" u="1"/>
        <n v="2372" u="1"/>
        <n v="576" u="1"/>
        <n v="2242" u="1"/>
        <n v="2112" u="1"/>
        <n v="2015" u="1"/>
        <n v="1950" u="1"/>
        <n v="479" u="1"/>
        <n v="1885" u="1"/>
        <n v="1820" u="1"/>
        <n v="1690" u="1"/>
        <n v="414" u="1"/>
        <n v="1625" u="1"/>
        <n v="1495" u="1"/>
        <n v="1430" u="1"/>
        <n v="2829" u="1"/>
        <n v="349" u="1"/>
        <n v="1365" u="1"/>
        <n v="1300" u="1"/>
        <n v="2569" u="1"/>
        <n v="1235" u="1"/>
        <n v="2439" u="1"/>
        <n v="77" u="1"/>
        <n v="1170" u="1"/>
        <n v="2309" u="1"/>
        <n v="284" u="1"/>
        <n v="1105" u="1"/>
        <n v="2179" u="1"/>
        <n v="1040" u="1"/>
        <n v="967" u="1"/>
        <n v="837" u="1"/>
        <n v="205" u="1"/>
        <n v="772" u="1"/>
        <n v="3026" u="1"/>
        <n v="2896" u="1"/>
        <n v="707" u="1"/>
        <n v="2766" u="1"/>
        <n v="2636" u="1"/>
        <n v="642" u="1"/>
        <n v="2506" u="1"/>
        <n v="2376" u="1"/>
        <n v="38" u="1"/>
        <n v="577" u="1"/>
        <n v="2246" u="1"/>
        <n v="1952" u="1"/>
        <n v="1887" u="1"/>
        <n v="1822" u="1"/>
        <n v="447" u="1"/>
        <n v="1757" u="1"/>
        <n v="1627" u="1"/>
        <n v="1562" u="1"/>
        <n v="382" u="1"/>
        <n v="2963" u="1"/>
        <n v="2833" u="1"/>
        <n v="1367" u="1"/>
        <n v="1302" u="1"/>
        <n v="2573" u="1"/>
        <n v="317" u="1"/>
        <n v="1237" u="1"/>
        <n v="2443" u="1"/>
        <n v="2313" u="1"/>
        <n v="1107" u="1"/>
        <n v="2183" u="1"/>
        <n v="1042" u="1"/>
        <n v="2053" u="1"/>
        <n v="254" u="1"/>
        <n v="968" u="1"/>
        <n v="838" u="1"/>
        <n v="773" u="1"/>
        <n v="3030" u="1"/>
        <n v="189" u="1"/>
        <n v="2900" u="1"/>
        <n v="708" u="1"/>
        <n v="2770" u="1"/>
        <n v="2640" u="1"/>
        <n v="643" u="1"/>
        <n v="2510" u="1"/>
        <n v="2380" u="1"/>
        <n v="2250" u="1"/>
        <n v="2120" u="1"/>
        <n v="34" u="1"/>
        <n v="513" u="1"/>
        <n v="126" u="1"/>
        <n v="1954" u="1"/>
        <n v="480" u="1"/>
        <n v="1889" u="1"/>
        <n v="1824" u="1"/>
        <n v="1759" u="1"/>
        <n v="1694" u="1"/>
        <n v="415" u="1"/>
        <n v="1629" u="1"/>
        <n v="1564" u="1"/>
        <n v="1499" u="1"/>
        <n v="2967" u="1"/>
        <n v="1434" u="1"/>
        <n v="2837" u="1"/>
        <n v="350" u="1"/>
        <n v="1369" u="1"/>
        <n v="2707" u="1"/>
        <n v="1304" u="1"/>
        <n v="2577" u="1"/>
        <n v="2447" u="1"/>
        <n v="2317" u="1"/>
        <n v="285" u="1"/>
        <n v="1109" u="1"/>
        <n v="2187" u="1"/>
        <n v="1044" u="1"/>
        <n v="969" u="1"/>
        <n v="238" u="1"/>
        <n v="839" u="1"/>
        <n v="774" u="1"/>
        <n v="709" u="1"/>
        <n v="2774" u="1"/>
        <n v="173" u="1"/>
        <n v="2644" u="1"/>
        <n v="644" u="1"/>
        <n v="2514" u="1"/>
        <n v="2384" u="1"/>
        <n v="579" u="1"/>
        <n v="2254" u="1"/>
        <n v="2124" u="1"/>
        <n v="1956" u="1"/>
        <n v="31" u="1"/>
        <n v="1826" u="1"/>
        <n v="448" u="1"/>
        <n v="1631" u="1"/>
        <n v="1566" u="1"/>
        <n v="383" u="1"/>
        <n v="1501" u="1"/>
        <n v="2971" u="1"/>
        <n v="2841" u="1"/>
        <n v="1371" u="1"/>
        <n v="1306" u="1"/>
        <n v="2581" u="1"/>
        <n v="2451" u="1"/>
        <n v="1176" u="1"/>
        <n v="2321" u="1"/>
        <n v="1111" u="1"/>
        <n v="2191" u="1"/>
        <n v="1046" u="1"/>
        <n v="2061" u="1"/>
        <n v="970" u="1"/>
        <n v="222" u="1"/>
        <n v="840" u="1"/>
        <n v="775" u="1"/>
        <n v="3038" u="1"/>
        <n v="2908" u="1"/>
        <n v="710" u="1"/>
        <n v="2778" u="1"/>
        <n v="2648" u="1"/>
        <n v="2518" u="1"/>
        <n v="157" u="1"/>
        <n v="2388" u="1"/>
        <n v="580" u="1"/>
        <n v="2258" u="1"/>
        <n v="2128" u="1"/>
        <n v="1958" u="1"/>
        <n v="481" u="1"/>
        <n v="1893" u="1"/>
        <n v="1828" u="1"/>
        <n v="29" u="1"/>
        <n v="1763" u="1"/>
        <n v="110" u="1"/>
        <n v="1698" u="1"/>
        <n v="416" u="1"/>
        <n v="1633" u="1"/>
        <n v="1568" u="1"/>
        <n v="1503" u="1"/>
        <n v="2975" u="1"/>
        <n v="351" u="1"/>
        <n v="1373" u="1"/>
        <n v="2715" u="1"/>
        <n v="2585" u="1"/>
        <n v="1178" u="1"/>
        <n v="2325" u="1"/>
        <n v="286" u="1"/>
        <n v="1048" u="1"/>
        <n v="2065" u="1"/>
        <n v="971" u="1"/>
        <n v="841" u="1"/>
        <n v="206" u="1"/>
        <n v="776" u="1"/>
        <n v="3042" u="1"/>
        <n v="2912" u="1"/>
        <n v="711" u="1"/>
        <n v="2782" u="1"/>
        <n v="2652" u="1"/>
        <n v="646" u="1"/>
        <n v="2522" u="1"/>
        <n v="2392" u="1"/>
        <n v="581" u="1"/>
        <n v="2262" u="1"/>
        <n v="2132" u="1"/>
        <n v="516" u="1"/>
        <n v="1960" u="1"/>
        <n v="1895" u="1"/>
        <n v="1830" u="1"/>
        <n v="449" u="1"/>
        <n v="1700" u="1"/>
        <n v="27" u="1"/>
        <n v="1635" u="1"/>
        <n v="102" u="1"/>
        <n v="1570" u="1"/>
        <n v="384" u="1"/>
        <n v="1505" u="1"/>
        <n v="2979" u="1"/>
        <n v="2849" u="1"/>
        <n v="1375" u="1"/>
        <n v="2589" u="1"/>
        <n v="2459" u="1"/>
        <n v="2329" u="1"/>
        <n v="1115" u="1"/>
        <n v="2199" u="1"/>
        <n v="1050" u="1"/>
        <n v="2069" u="1"/>
        <n v="255" u="1"/>
        <n v="972" u="1"/>
        <n v="842" u="1"/>
        <n v="777" u="1"/>
        <n v="3046" u="1"/>
        <n v="190" u="1"/>
        <n v="2916" u="1"/>
        <n v="712" u="1"/>
        <n v="2786" u="1"/>
        <n v="2656" u="1"/>
        <n v="647" u="1"/>
        <n v="2526" u="1"/>
        <n v="2396" u="1"/>
      </sharedItems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 count="1">
        <m/>
      </sharedItems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9">
        <m/>
        <s v="" u="1"/>
        <s v="Sprint 4" u="1"/>
        <s v="Release 7" u="1"/>
        <s v="Release 1 QA" u="1"/>
        <s v="No release set" u="1"/>
        <s v="Sprint 3" u="1"/>
        <s v="Release 4 QA" u="1"/>
        <s v="Release 3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1.0 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TaskProgress" numFmtId="0" formula="IF(EffortEstimate=0,0,EffortDone/EffortEstimate)" databaseField="0"/>
    <cacheField name="EEP" numFmtId="0" formula=" IF(WorklogDone= 0, 0,SubtaskEstimativeForEEPCalculation/WorklogDone)" databaseField="0"/>
    <cacheField name="PlannedScope%" numFmtId="0" formula="PlannedEffort/EffortEstimate" databaseField="0"/>
    <cacheField name="BallparkScope%" numFmtId="0" formula="BallparkEffort/EffortEstim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x v="0"/>
    <x v="0"/>
    <n v="0.5"/>
    <n v="1"/>
    <n v="0"/>
    <n v="0"/>
    <e v="#DIV/0!"/>
  </r>
  <r>
    <x v="0"/>
    <x v="0"/>
    <x v="0"/>
    <x v="1"/>
    <n v="0.5"/>
    <n v="1"/>
    <n v="0"/>
    <n v="0"/>
    <e v="#DIV/0!"/>
  </r>
  <r>
    <x v="0"/>
    <x v="0"/>
    <x v="1"/>
    <x v="1"/>
    <n v="0.2"/>
    <n v="1"/>
    <n v="0"/>
    <n v="0"/>
    <e v="#DIV/0!"/>
  </r>
  <r>
    <x v="0"/>
    <x v="0"/>
    <x v="1"/>
    <x v="0"/>
    <n v="0.8"/>
    <n v="1"/>
    <n v="0"/>
    <n v="0"/>
    <e v="#DIV/0!"/>
  </r>
  <r>
    <x v="0"/>
    <x v="0"/>
    <x v="2"/>
    <x v="1"/>
    <n v="0.6"/>
    <n v="1"/>
    <n v="0"/>
    <n v="0"/>
    <e v="#DIV/0!"/>
  </r>
  <r>
    <x v="0"/>
    <x v="0"/>
    <x v="2"/>
    <x v="0"/>
    <n v="0.4"/>
    <n v="1"/>
    <n v="0"/>
    <n v="0"/>
    <e v="#DIV/0!"/>
  </r>
  <r>
    <x v="0"/>
    <x v="0"/>
    <x v="3"/>
    <x v="1"/>
    <n v="0.6"/>
    <n v="1"/>
    <n v="0"/>
    <n v="0"/>
    <e v="#DIV/0!"/>
  </r>
  <r>
    <x v="0"/>
    <x v="0"/>
    <x v="3"/>
    <x v="0"/>
    <n v="0.4"/>
    <n v="1"/>
    <n v="0"/>
    <n v="0"/>
    <e v="#DIV/0!"/>
  </r>
  <r>
    <x v="0"/>
    <x v="0"/>
    <x v="4"/>
    <x v="0"/>
    <n v="1"/>
    <n v="1"/>
    <n v="0"/>
    <n v="0"/>
    <e v="#DIV/0!"/>
  </r>
  <r>
    <x v="0"/>
    <x v="0"/>
    <x v="5"/>
    <x v="1"/>
    <n v="0.4"/>
    <n v="1"/>
    <n v="0"/>
    <n v="0"/>
    <e v="#DIV/0!"/>
  </r>
  <r>
    <x v="0"/>
    <x v="0"/>
    <x v="5"/>
    <x v="0"/>
    <n v="0.6"/>
    <n v="1"/>
    <n v="0"/>
    <n v="0"/>
    <e v="#DIV/0!"/>
  </r>
  <r>
    <x v="0"/>
    <x v="0"/>
    <x v="6"/>
    <x v="1"/>
    <n v="0.6"/>
    <n v="1"/>
    <n v="0"/>
    <n v="0"/>
    <e v="#DIV/0!"/>
  </r>
  <r>
    <x v="0"/>
    <x v="0"/>
    <x v="6"/>
    <x v="0"/>
    <n v="0.4"/>
    <n v="1"/>
    <n v="0"/>
    <n v="0"/>
    <e v="#DIV/0!"/>
  </r>
  <r>
    <x v="0"/>
    <x v="0"/>
    <x v="7"/>
    <x v="1"/>
    <n v="1"/>
    <n v="1"/>
    <n v="0"/>
    <n v="0"/>
    <e v="#DIV/0!"/>
  </r>
  <r>
    <x v="0"/>
    <x v="1"/>
    <x v="8"/>
    <x v="0"/>
    <n v="0.5"/>
    <n v="1"/>
    <n v="0"/>
    <n v="0"/>
    <e v="#DIV/0!"/>
  </r>
  <r>
    <x v="0"/>
    <x v="1"/>
    <x v="8"/>
    <x v="1"/>
    <n v="0.5"/>
    <n v="1"/>
    <n v="0"/>
    <n v="0"/>
    <e v="#DIV/0!"/>
  </r>
  <r>
    <x v="0"/>
    <x v="1"/>
    <x v="9"/>
    <x v="1"/>
    <n v="1"/>
    <n v="1"/>
    <n v="0"/>
    <n v="0"/>
    <e v="#DIV/0!"/>
  </r>
  <r>
    <x v="0"/>
    <x v="1"/>
    <x v="10"/>
    <x v="0"/>
    <n v="0.4"/>
    <n v="1"/>
    <n v="0"/>
    <n v="0"/>
    <e v="#DIV/0!"/>
  </r>
  <r>
    <x v="0"/>
    <x v="1"/>
    <x v="10"/>
    <x v="1"/>
    <n v="0.6"/>
    <n v="1"/>
    <n v="0"/>
    <n v="0"/>
    <e v="#DIV/0!"/>
  </r>
  <r>
    <x v="0"/>
    <x v="1"/>
    <x v="11"/>
    <x v="0"/>
    <n v="0.4"/>
    <n v="1"/>
    <n v="0"/>
    <n v="0"/>
    <e v="#DIV/0!"/>
  </r>
  <r>
    <x v="0"/>
    <x v="1"/>
    <x v="11"/>
    <x v="1"/>
    <n v="0.6"/>
    <n v="1"/>
    <n v="0"/>
    <n v="0"/>
    <e v="#DIV/0!"/>
  </r>
  <r>
    <x v="0"/>
    <x v="1"/>
    <x v="12"/>
    <x v="0"/>
    <n v="1"/>
    <n v="1"/>
    <n v="0"/>
    <n v="0"/>
    <e v="#DIV/0!"/>
  </r>
  <r>
    <x v="0"/>
    <x v="1"/>
    <x v="13"/>
    <x v="1"/>
    <n v="1"/>
    <n v="1"/>
    <n v="0"/>
    <n v="0"/>
    <e v="#DIV/0!"/>
  </r>
  <r>
    <x v="0"/>
    <x v="1"/>
    <x v="14"/>
    <x v="0"/>
    <n v="0.4"/>
    <n v="1"/>
    <n v="0"/>
    <n v="0"/>
    <e v="#DIV/0!"/>
  </r>
  <r>
    <x v="0"/>
    <x v="1"/>
    <x v="14"/>
    <x v="1"/>
    <n v="0.6"/>
    <n v="1"/>
    <n v="0"/>
    <n v="0"/>
    <e v="#DIV/0!"/>
  </r>
  <r>
    <x v="0"/>
    <x v="1"/>
    <x v="15"/>
    <x v="0"/>
    <n v="0.4"/>
    <n v="1"/>
    <n v="0"/>
    <n v="0"/>
    <e v="#DIV/0!"/>
  </r>
  <r>
    <x v="0"/>
    <x v="1"/>
    <x v="15"/>
    <x v="1"/>
    <n v="0.6"/>
    <n v="1"/>
    <n v="0"/>
    <n v="0"/>
    <e v="#DIV/0!"/>
  </r>
  <r>
    <x v="0"/>
    <x v="1"/>
    <x v="16"/>
    <x v="1"/>
    <n v="0.6"/>
    <n v="1"/>
    <n v="0"/>
    <n v="0"/>
    <e v="#DIV/0!"/>
  </r>
  <r>
    <x v="0"/>
    <x v="1"/>
    <x v="16"/>
    <x v="0"/>
    <n v="0.4"/>
    <n v="1"/>
    <n v="0"/>
    <n v="0"/>
    <e v="#DIV/0!"/>
  </r>
  <r>
    <x v="0"/>
    <x v="1"/>
    <x v="17"/>
    <x v="0"/>
    <n v="0.4"/>
    <n v="1"/>
    <n v="0"/>
    <n v="0"/>
    <e v="#DIV/0!"/>
  </r>
  <r>
    <x v="0"/>
    <x v="1"/>
    <x v="17"/>
    <x v="1"/>
    <n v="0.6"/>
    <n v="1"/>
    <n v="0"/>
    <n v="0"/>
    <e v="#DIV/0!"/>
  </r>
  <r>
    <x v="0"/>
    <x v="1"/>
    <x v="18"/>
    <x v="1"/>
    <n v="1"/>
    <n v="1"/>
    <n v="0"/>
    <n v="0"/>
    <e v="#DIV/0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00"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00"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999"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rogressByDemand" cacheId="77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6" indent="0" outline="1" outlineData="1" multipleFieldFilters="0" rowHeaderCaption="Demand Status &gt; Demand &gt; Task Status &gt; Task &gt; Subtask">
  <location ref="A14:S20" firstHeaderRow="0" firstDataRow="1" firstDataCol="1" rowPageCount="8" colPageCount="1"/>
  <pivotFields count="49">
    <pivotField axis="axisPage" showAll="0">
      <items count="20">
        <item m="1" x="16"/>
        <item m="1" x="9"/>
        <item m="1" x="2"/>
        <item m="1" x="14"/>
        <item m="1" x="15"/>
        <item m="1" x="7"/>
        <item m="1" x="17"/>
        <item m="1" x="18"/>
        <item m="1" x="3"/>
        <item m="1" x="13"/>
        <item m="1" x="4"/>
        <item m="1" x="8"/>
        <item m="1" x="6"/>
        <item m="1" x="11"/>
        <item m="1" x="10"/>
        <item m="1" x="1"/>
        <item m="1" x="12"/>
        <item x="0"/>
        <item m="1" x="5"/>
        <item t="default"/>
      </items>
    </pivotField>
    <pivotField axis="axisPage" showAll="0">
      <items count="3">
        <item m="1" x="1"/>
        <item x="0"/>
        <item t="default"/>
      </items>
    </pivotField>
    <pivotField axis="axisRow" showAll="0">
      <items count="12">
        <item m="1" x="5"/>
        <item m="1" x="7"/>
        <item x="0"/>
        <item m="1" x="9"/>
        <item m="1" x="8"/>
        <item m="1" x="6"/>
        <item m="1" x="4"/>
        <item m="1" x="2"/>
        <item m="1" x="10"/>
        <item m="1" x="1"/>
        <item m="1" x="3"/>
        <item t="default"/>
      </items>
    </pivotField>
    <pivotField axis="axisPage" showAll="0">
      <items count="48">
        <item m="1" x="42"/>
        <item m="1" x="7"/>
        <item m="1" x="2"/>
        <item m="1" x="36"/>
        <item m="1" x="29"/>
        <item m="1" x="4"/>
        <item m="1" x="14"/>
        <item m="1" x="26"/>
        <item m="1" x="46"/>
        <item m="1" x="35"/>
        <item m="1" x="19"/>
        <item m="1" x="30"/>
        <item m="1" x="23"/>
        <item x="0"/>
        <item m="1" x="6"/>
        <item m="1" x="31"/>
        <item m="1" x="25"/>
        <item m="1" x="10"/>
        <item m="1" x="27"/>
        <item m="1" x="43"/>
        <item m="1" x="5"/>
        <item m="1" x="11"/>
        <item m="1" x="28"/>
        <item m="1" x="8"/>
        <item m="1" x="13"/>
        <item m="1" x="15"/>
        <item m="1" x="38"/>
        <item m="1" x="41"/>
        <item m="1" x="20"/>
        <item m="1" x="45"/>
        <item m="1" x="21"/>
        <item m="1" x="1"/>
        <item m="1" x="24"/>
        <item m="1" x="18"/>
        <item m="1" x="9"/>
        <item m="1" x="16"/>
        <item m="1" x="44"/>
        <item m="1" x="22"/>
        <item m="1" x="39"/>
        <item m="1" x="12"/>
        <item m="1" x="33"/>
        <item m="1" x="40"/>
        <item m="1" x="3"/>
        <item m="1" x="34"/>
        <item m="1" x="37"/>
        <item m="1" x="32"/>
        <item m="1" x="17"/>
        <item t="default"/>
      </items>
    </pivotField>
    <pivotField showAll="0"/>
    <pivotField axis="axisRow" showAll="0" sortType="ascending">
      <items count="212">
        <item sd="0" m="1" x="26"/>
        <item m="1" x="132"/>
        <item sd="0" m="1" x="123"/>
        <item sd="0" m="1" x="59"/>
        <item sd="0" m="1" x="46"/>
        <item sd="0" m="1" x="13"/>
        <item m="1" x="52"/>
        <item m="1" x="174"/>
        <item m="1" x="188"/>
        <item m="1" x="22"/>
        <item m="1" x="27"/>
        <item m="1" x="92"/>
        <item m="1" x="83"/>
        <item m="1" x="24"/>
        <item m="1" x="178"/>
        <item m="1" x="48"/>
        <item m="1" x="32"/>
        <item m="1" x="189"/>
        <item m="1" x="42"/>
        <item m="1" x="193"/>
        <item m="1" x="96"/>
        <item m="1" x="205"/>
        <item m="1" x="11"/>
        <item sd="0" m="1" x="129"/>
        <item m="1" x="120"/>
        <item m="1" x="82"/>
        <item m="1" x="84"/>
        <item m="1" x="177"/>
        <item m="1" x="158"/>
        <item m="1" x="149"/>
        <item m="1" x="128"/>
        <item m="1" x="124"/>
        <item m="1" x="15"/>
        <item m="1" x="14"/>
        <item m="1" x="114"/>
        <item m="1" x="72"/>
        <item m="1" x="143"/>
        <item m="1" x="25"/>
        <item m="1" x="172"/>
        <item m="1" x="86"/>
        <item m="1" x="43"/>
        <item m="1" x="94"/>
        <item m="1" x="200"/>
        <item m="1" x="65"/>
        <item m="1" x="112"/>
        <item m="1" x="28"/>
        <item m="1" x="142"/>
        <item m="1" x="207"/>
        <item m="1" x="93"/>
        <item m="1" x="162"/>
        <item m="1" x="139"/>
        <item m="1" x="39"/>
        <item m="1" x="69"/>
        <item m="1" x="88"/>
        <item m="1" x="17"/>
        <item m="1" x="29"/>
        <item m="1" x="157"/>
        <item m="1" x="206"/>
        <item sd="0" m="1" x="33"/>
        <item sd="0" m="1" x="202"/>
        <item m="1" x="176"/>
        <item m="1" x="186"/>
        <item m="1" x="116"/>
        <item m="1" x="180"/>
        <item m="1" x="182"/>
        <item m="1" x="3"/>
        <item sd="0" m="1" x="71"/>
        <item m="1" x="148"/>
        <item sd="0" m="1" x="19"/>
        <item m="1" x="203"/>
        <item sd="0" m="1" x="166"/>
        <item m="1" x="119"/>
        <item sd="0" m="1" x="117"/>
        <item m="1" x="104"/>
        <item m="1" x="101"/>
        <item sd="0" m="1" x="95"/>
        <item m="1" x="197"/>
        <item m="1" x="183"/>
        <item m="1" x="73"/>
        <item sd="0" m="1" x="170"/>
        <item sd="0" m="1" x="125"/>
        <item m="1" x="163"/>
        <item m="1" x="81"/>
        <item m="1" x="64"/>
        <item sd="0" m="1" x="155"/>
        <item m="1" x="1"/>
        <item m="1" x="77"/>
        <item m="1" x="45"/>
        <item m="1" x="179"/>
        <item m="1" x="122"/>
        <item m="1" x="160"/>
        <item m="1" x="10"/>
        <item m="1" x="201"/>
        <item sd="0" m="1" x="169"/>
        <item sd="0" m="1" x="99"/>
        <item sd="0" m="1" x="49"/>
        <item sd="0" m="1" x="35"/>
        <item m="1" x="79"/>
        <item sd="0" m="1" x="68"/>
        <item sd="0" m="1" x="50"/>
        <item sd="0" m="1" x="135"/>
        <item sd="0" m="1" x="161"/>
        <item sd="0" m="1" x="90"/>
        <item sd="0" m="1" x="97"/>
        <item sd="0" m="1" x="106"/>
        <item sd="0" m="1" x="58"/>
        <item sd="0" m="1" x="54"/>
        <item sd="0" m="1" x="195"/>
        <item m="1" x="37"/>
        <item m="1" x="154"/>
        <item m="1" x="105"/>
        <item m="1" x="147"/>
        <item m="1" x="159"/>
        <item m="1" x="111"/>
        <item m="1" x="36"/>
        <item m="1" x="190"/>
        <item m="1" x="145"/>
        <item m="1" x="110"/>
        <item m="1" x="165"/>
        <item m="1" x="127"/>
        <item m="1" x="80"/>
        <item sd="0" m="1" x="167"/>
        <item m="1" x="44"/>
        <item sd="0" m="1" x="199"/>
        <item sd="0" m="1" x="141"/>
        <item m="1" x="98"/>
        <item sd="0" m="1" x="67"/>
        <item sd="0" m="1" x="62"/>
        <item m="1" x="4"/>
        <item m="1" x="144"/>
        <item m="1" x="103"/>
        <item m="1" x="126"/>
        <item m="1" x="66"/>
        <item m="1" x="5"/>
        <item m="1" x="118"/>
        <item m="1" x="60"/>
        <item m="1" x="107"/>
        <item m="1" x="89"/>
        <item m="1" x="61"/>
        <item m="1" x="171"/>
        <item m="1" x="137"/>
        <item m="1" x="41"/>
        <item m="1" x="164"/>
        <item m="1" x="23"/>
        <item m="1" x="38"/>
        <item m="1" x="204"/>
        <item m="1" x="192"/>
        <item m="1" x="57"/>
        <item m="1" x="113"/>
        <item m="1" x="198"/>
        <item sd="0" m="1" x="20"/>
        <item m="1" x="56"/>
        <item sd="0" m="1" x="138"/>
        <item sd="0" m="1" x="74"/>
        <item m="1" x="34"/>
        <item m="1" x="6"/>
        <item sd="0" m="1" x="78"/>
        <item sd="0" m="1" x="146"/>
        <item sd="0" m="1" x="175"/>
        <item sd="0" m="1" x="115"/>
        <item sd="0" m="1" x="30"/>
        <item m="1" x="187"/>
        <item sd="0" m="1" x="12"/>
        <item sd="0" m="1" x="210"/>
        <item sd="0" m="1" x="136"/>
        <item m="1" x="209"/>
        <item sd="0" m="1" x="40"/>
        <item sd="0" m="1" x="70"/>
        <item sd="0" m="1" x="85"/>
        <item sd="0" m="1" x="133"/>
        <item sd="0" m="1" x="47"/>
        <item sd="0" m="1" x="2"/>
        <item sd="0" m="1" x="91"/>
        <item sd="0" m="1" x="7"/>
        <item sd="0" m="1" x="76"/>
        <item sd="0" m="1" x="156"/>
        <item sd="0" m="1" x="108"/>
        <item sd="0" m="1" x="184"/>
        <item sd="0" m="1" x="140"/>
        <item sd="0" m="1" x="63"/>
        <item sd="0" m="1" x="131"/>
        <item m="1" x="31"/>
        <item m="1" x="151"/>
        <item m="1" x="152"/>
        <item m="1" x="51"/>
        <item m="1" x="181"/>
        <item m="1" x="168"/>
        <item m="1" x="9"/>
        <item m="1" x="109"/>
        <item m="1" x="185"/>
        <item m="1" x="134"/>
        <item m="1" x="191"/>
        <item m="1" x="194"/>
        <item m="1" x="100"/>
        <item m="1" x="55"/>
        <item m="1" x="173"/>
        <item m="1" x="153"/>
        <item m="1" x="21"/>
        <item m="1" x="150"/>
        <item m="1" x="53"/>
        <item m="1" x="130"/>
        <item m="1" x="102"/>
        <item m="1" x="18"/>
        <item m="1" x="208"/>
        <item m="1" x="75"/>
        <item m="1" x="16"/>
        <item m="1" x="121"/>
        <item m="1" x="87"/>
        <item m="1" x="196"/>
        <item m="1" x="8"/>
        <item x="0"/>
        <item t="default" sd="0"/>
      </items>
    </pivotField>
    <pivotField axis="axisPage" multipleItemSelectionAllowed="1" showAll="0">
      <items count="7">
        <item m="1" x="4"/>
        <item m="1" x="3"/>
        <item x="0"/>
        <item m="1" x="2"/>
        <item m="1" x="1"/>
        <item m="1" x="5"/>
        <item t="default"/>
      </items>
    </pivotField>
    <pivotField axis="axisRow" showAll="0">
      <items count="26">
        <item sd="0" m="1" x="10"/>
        <item m="1" x="11"/>
        <item m="1" x="14"/>
        <item m="1" x="4"/>
        <item sd="0" m="1" x="13"/>
        <item m="1" x="21"/>
        <item sd="0" m="1" x="22"/>
        <item m="1" x="16"/>
        <item x="0"/>
        <item m="1" x="12"/>
        <item m="1" x="17"/>
        <item m="1" x="20"/>
        <item m="1" x="15"/>
        <item m="1" x="2"/>
        <item m="1" x="9"/>
        <item m="1" x="8"/>
        <item m="1" x="18"/>
        <item m="1" x="3"/>
        <item m="1" x="7"/>
        <item m="1" x="24"/>
        <item m="1" x="19"/>
        <item m="1" x="23"/>
        <item m="1" x="6"/>
        <item m="1" x="5"/>
        <item m="1" x="1"/>
        <item t="default"/>
      </items>
    </pivotField>
    <pivotField axis="axisPage" showAll="0">
      <items count="685">
        <item m="1" x="406"/>
        <item m="1" x="354"/>
        <item m="1" x="26"/>
        <item m="1" x="16"/>
        <item m="1" x="4"/>
        <item m="1" x="324"/>
        <item m="1" x="675"/>
        <item m="1" x="466"/>
        <item m="1" x="634"/>
        <item m="1" x="128"/>
        <item m="1" x="283"/>
        <item m="1" x="453"/>
        <item m="1" x="621"/>
        <item m="1" x="118"/>
        <item m="1" x="277"/>
        <item m="1" x="611"/>
        <item m="1" x="266"/>
        <item m="1" x="419"/>
        <item m="1" x="598"/>
        <item m="1" x="89"/>
        <item m="1" x="252"/>
        <item m="1" x="407"/>
        <item m="1" x="585"/>
        <item m="1" x="240"/>
        <item m="1" x="228"/>
        <item m="1" x="387"/>
        <item m="1" x="219"/>
        <item m="1" x="212"/>
        <item m="1" x="292"/>
        <item m="1" x="463"/>
        <item m="1" x="38"/>
        <item m="1" x="124"/>
        <item m="1" x="205"/>
        <item m="1" x="355"/>
        <item m="1" x="446"/>
        <item m="1" x="617"/>
        <item m="1" x="274"/>
        <item m="1" x="345"/>
        <item m="1" x="430"/>
        <item m="1" x="606"/>
        <item m="1" x="335"/>
        <item m="1" x="85"/>
        <item m="1" x="581"/>
        <item m="1" x="390"/>
        <item m="1" x="663"/>
        <item m="1" x="637"/>
        <item m="1" x="41"/>
        <item m="1" x="200"/>
        <item m="1" x="612"/>
        <item m="1" x="656"/>
        <item m="1" x="50"/>
        <item m="1" x="90"/>
        <item m="1" x="321"/>
        <item m="1" x="672"/>
        <item m="1" x="29"/>
        <item m="1" x="196"/>
        <item m="1" x="348"/>
        <item m="1" x="518"/>
        <item m="1" x="608"/>
        <item m="1" x="653"/>
        <item m="1" x="101"/>
        <item m="1" x="143"/>
        <item m="1" x="339"/>
        <item m="1" x="417"/>
        <item m="1" x="507"/>
        <item m="1" x="213"/>
        <item m="1" x="250"/>
        <item m="1" x="293"/>
        <item m="1" x="329"/>
        <item m="1" x="404"/>
        <item m="1" x="631"/>
        <item m="1" x="682"/>
        <item m="1" x="39"/>
        <item m="1" x="61"/>
        <item m="1" x="80"/>
        <item m="1" x="100"/>
        <item m="1" x="163"/>
        <item m="1" x="206"/>
        <item m="1" x="218"/>
        <item m="1" x="239"/>
        <item m="1" x="299"/>
        <item m="1" x="338"/>
        <item m="1" x="416"/>
        <item m="1" x="447"/>
        <item m="1" x="667"/>
        <item m="1" x="152"/>
        <item m="1" x="194"/>
        <item m="1" x="211"/>
        <item m="1" x="308"/>
        <item m="1" x="363"/>
        <item m="1" x="432"/>
        <item m="1" x="36"/>
        <item m="1" x="217"/>
        <item m="1" x="236"/>
        <item m="1" x="261"/>
        <item m="1" x="441"/>
        <item m="1" x="550"/>
        <item m="1" x="571"/>
        <item m="1" x="616"/>
        <item m="1" x="665"/>
        <item m="1" x="7"/>
        <item m="1" x="23"/>
        <item m="1" x="67"/>
        <item m="1" x="151"/>
        <item m="1" x="171"/>
        <item m="1" x="190"/>
        <item m="1" x="225"/>
        <item m="1" x="270"/>
        <item m="1" x="305"/>
        <item m="1" x="342"/>
        <item m="1" x="360"/>
        <item m="1" x="379"/>
        <item m="1" x="400"/>
        <item m="1" x="427"/>
        <item m="1" x="459"/>
        <item m="1" x="481"/>
        <item m="1" x="497"/>
        <item m="1" x="514"/>
        <item m="1" x="538"/>
        <item m="1" x="558"/>
        <item m="1" x="582"/>
        <item m="1" x="603"/>
        <item m="1" x="677"/>
        <item m="1" x="579"/>
        <item m="1" x="601"/>
        <item m="1" x="626"/>
        <item m="1" x="648"/>
        <item m="1" x="12"/>
        <item m="1" x="503"/>
        <item m="1" x="589"/>
        <item m="1" x="661"/>
        <item m="1" x="131"/>
        <item m="1" x="148"/>
        <item m="1" x="168"/>
        <item m="1" x="187"/>
        <item m="1" x="209"/>
        <item m="1" x="222"/>
        <item m="1" x="247"/>
        <item m="1" x="268"/>
        <item m="1" x="418"/>
        <item m="1" x="386"/>
        <item m="1" x="375"/>
        <item m="1" x="47"/>
        <item m="1" x="366"/>
        <item m="1" x="37"/>
        <item m="1" x="343"/>
        <item m="1" x="316"/>
        <item m="1" x="662"/>
        <item m="1" x="303"/>
        <item m="1" x="645"/>
        <item m="1" x="296"/>
        <item m="1" x="436"/>
        <item m="1" x="104"/>
        <item m="1" x="396"/>
        <item m="1" x="573"/>
        <item m="1" x="551"/>
        <item m="1" x="48"/>
        <item m="1" x="540"/>
        <item m="1" x="630"/>
        <item m="1" x="280"/>
        <item m="1" x="527"/>
        <item m="1" x="17"/>
        <item m="1" x="248"/>
        <item m="1" x="622"/>
        <item m="1" x="82"/>
        <item m="1" x="555"/>
        <item m="1" x="658"/>
        <item m="1" x="422"/>
        <item m="1" x="600"/>
        <item m="1" x="624"/>
        <item m="1" x="635"/>
        <item m="1" x="643"/>
        <item m="1" x="31"/>
        <item m="1" x="72"/>
        <item m="1" x="320"/>
        <item m="1" x="357"/>
        <item m="1" x="180"/>
        <item m="1" x="1"/>
        <item m="1" x="275"/>
        <item m="1" x="310"/>
        <item m="1" x="186"/>
        <item m="1" x="201"/>
        <item m="1" x="208"/>
        <item m="1" x="564"/>
        <item m="1" x="599"/>
        <item m="1" x="284"/>
        <item m="1" x="506"/>
        <item m="1" x="484"/>
        <item m="1" x="509"/>
        <item m="1" x="521"/>
        <item m="1" x="533"/>
        <item m="1" x="655"/>
        <item m="1" x="51"/>
        <item m="1" x="410"/>
        <item m="1" x="450"/>
        <item m="1" x="477"/>
        <item m="1" x="192"/>
        <item m="1" x="673"/>
        <item m="1" x="49"/>
        <item m="1" x="75"/>
        <item m="1" x="102"/>
        <item m="1" x="243"/>
        <item m="1" x="491"/>
        <item m="1" x="408"/>
        <item m="1" x="74"/>
        <item m="1" x="113"/>
        <item m="1" x="173"/>
        <item m="1" x="229"/>
        <item m="1" x="276"/>
        <item m="1" x="281"/>
        <item m="1" x="311"/>
        <item m="1" x="434"/>
        <item m="1" x="40"/>
        <item m="1" x="542"/>
        <item m="1" x="464"/>
        <item m="1" x="541"/>
        <item m="1" x="609"/>
        <item m="1" x="164"/>
        <item m="1" x="530"/>
        <item m="1" x="136"/>
        <item m="1" x="144"/>
        <item m="1" x="184"/>
        <item m="1" x="255"/>
        <item m="1" x="241"/>
        <item m="1" x="251"/>
        <item m="1" x="619"/>
        <item m="1" x="671"/>
        <item m="1" x="683"/>
        <item m="1" x="639"/>
        <item m="1" x="632"/>
        <item m="1" x="508"/>
        <item m="1" x="652"/>
        <item m="1" x="81"/>
        <item m="1" x="294"/>
        <item m="1" x="610"/>
        <item m="1" x="494"/>
        <item m="1" x="676"/>
        <item m="1" x="159"/>
        <item m="1" x="138"/>
        <item m="1" x="129"/>
        <item m="1" x="421"/>
        <item m="1" x="553"/>
        <item m="1" x="137"/>
        <item m="1" x="214"/>
        <item m="1" x="254"/>
        <item m="1" x="586"/>
        <item m="1" x="165"/>
        <item m="1" x="242"/>
        <item m="1" x="433"/>
        <item m="1" x="565"/>
        <item m="1" x="183"/>
        <item m="1" x="220"/>
        <item m="1" x="595"/>
        <item m="1" x="383"/>
        <item m="1" x="607"/>
        <item m="1" x="297"/>
        <item m="1" x="95"/>
        <item m="1" x="370"/>
        <item m="1" x="488"/>
        <item m="1" x="570"/>
        <item m="1" x="169"/>
        <item m="1" x="557"/>
        <item m="1" x="121"/>
        <item m="1" x="140"/>
        <item m="1" x="234"/>
        <item m="1" x="577"/>
        <item m="1" x="83"/>
        <item m="1" x="246"/>
        <item m="1" x="302"/>
        <item m="1" x="368"/>
        <item m="1" x="522"/>
        <item m="1" x="613"/>
        <item m="1" x="633"/>
        <item m="1" x="657"/>
        <item m="1" x="53"/>
        <item m="1" x="231"/>
        <item m="1" x="312"/>
        <item m="1" x="620"/>
        <item m="1" x="654"/>
        <item m="1" x="114"/>
        <item m="1" x="405"/>
        <item m="1" x="485"/>
        <item m="1" x="566"/>
        <item m="1" x="584"/>
        <item m="1" x="640"/>
        <item m="1" x="126"/>
        <item m="1" x="62"/>
        <item m="1" x="500"/>
        <item m="1" x="597"/>
        <item m="1" x="670"/>
        <item m="1" x="28"/>
        <item m="1" x="403"/>
        <item m="1" x="482"/>
        <item m="1" x="291"/>
        <item m="1" x="300"/>
        <item m="1" x="394"/>
        <item m="1" x="529"/>
        <item m="1" x="264"/>
        <item m="1" x="629"/>
        <item m="1" x="309"/>
        <item m="1" x="69"/>
        <item m="1" x="489"/>
        <item m="1" x="161"/>
        <item m="1" x="288"/>
        <item m="1" x="298"/>
        <item m="1" x="362"/>
        <item m="1" x="372"/>
        <item m="1" x="57"/>
        <item m="1" x="402"/>
        <item m="1" x="96"/>
        <item m="1" x="431"/>
        <item m="1" x="110"/>
        <item m="1" x="443"/>
        <item m="1" x="461"/>
        <item m="1" x="471"/>
        <item m="1" x="562"/>
        <item m="1" x="227"/>
        <item m="1" x="572"/>
        <item m="1" x="262"/>
        <item m="1" x="306"/>
        <item m="1" x="319"/>
        <item m="1" x="8"/>
        <item m="1" x="18"/>
        <item m="1" x="353"/>
        <item m="1" x="35"/>
        <item m="1" x="381"/>
        <item m="1" x="68"/>
        <item m="1" x="429"/>
        <item m="1" x="142"/>
        <item m="1" x="191"/>
        <item m="1" x="524"/>
        <item m="1" x="272"/>
        <item m="1" x="523"/>
        <item m="1" x="203"/>
        <item m="1" x="210"/>
        <item m="1" x="549"/>
        <item m="1" x="560"/>
        <item m="1" x="226"/>
        <item m="1" x="235"/>
        <item m="1" x="592"/>
        <item m="1" x="605"/>
        <item m="1" x="15"/>
        <item m="1" x="34"/>
        <item m="1" x="43"/>
        <item m="1" x="371"/>
        <item m="1" x="498"/>
        <item m="1" x="604"/>
        <item m="1" x="317"/>
        <item m="1" x="333"/>
        <item m="1" x="480"/>
        <item m="1" x="150"/>
        <item m="1" x="547"/>
        <item m="1" x="602"/>
        <item m="1" x="287"/>
        <item m="1" x="178"/>
        <item m="1" x="258"/>
        <item m="1" x="14"/>
        <item m="1" x="504"/>
        <item m="1" x="257"/>
        <item m="1" x="13"/>
        <item m="1" x="158"/>
        <item m="1" x="513"/>
        <item m="1" x="224"/>
        <item m="1" x="614"/>
        <item m="1" x="649"/>
        <item m="1" x="323"/>
        <item m="1" x="42"/>
        <item m="1" x="66"/>
        <item m="1" x="439"/>
        <item m="1" x="189"/>
        <item m="1" x="369"/>
        <item m="1" x="54"/>
        <item m="1" x="65"/>
        <item m="1" x="399"/>
        <item m="1" x="94"/>
        <item m="1" x="424"/>
        <item m="1" x="458"/>
        <item m="1" x="469"/>
        <item m="1" x="139"/>
        <item m="1" x="478"/>
        <item m="1" x="149"/>
        <item m="1" x="487"/>
        <item m="1" x="493"/>
        <item m="1" x="188"/>
        <item m="1" x="537"/>
        <item m="1" x="216"/>
        <item m="1" x="556"/>
        <item m="1" x="223"/>
        <item m="1" x="569"/>
        <item m="1" x="233"/>
        <item m="1" x="578"/>
        <item m="1" x="106"/>
        <item m="1" x="457"/>
        <item m="1" x="468"/>
        <item m="1" x="350"/>
        <item m="1" x="64"/>
        <item m="1" x="456"/>
        <item m="1" x="130"/>
        <item m="1" x="467"/>
        <item m="1" x="476"/>
        <item m="1" x="492"/>
        <item m="1" x="167"/>
        <item m="1" x="502"/>
        <item m="1" x="175"/>
        <item m="1" x="512"/>
        <item m="1" x="536"/>
        <item m="1" x="279"/>
        <item m="1" x="625"/>
        <item m="1" x="286"/>
        <item m="1" x="636"/>
        <item m="1" x="295"/>
        <item m="1" x="644"/>
        <item m="1" x="659"/>
        <item m="1" x="315"/>
        <item m="1" x="674"/>
        <item m="1" x="3"/>
        <item m="1" x="331"/>
        <item m="1" x="398"/>
        <item m="1" x="105"/>
        <item m="1" x="438"/>
        <item m="1" x="618"/>
        <item m="1" x="455"/>
        <item m="1" x="638"/>
        <item m="1" x="46"/>
        <item m="1" x="374"/>
        <item m="1" x="554"/>
        <item m="1" x="60"/>
        <item m="1" x="221"/>
        <item m="1" x="385"/>
        <item m="1" x="568"/>
        <item m="1" x="232"/>
        <item m="1" x="588"/>
        <item m="1" x="112"/>
        <item m="1" x="278"/>
        <item m="1" x="448"/>
        <item m="1" x="623"/>
        <item m="1" x="125"/>
        <item m="1" x="285"/>
        <item m="1" x="153"/>
        <item m="1" x="314"/>
        <item m="1" x="162"/>
        <item m="1" x="583"/>
        <item m="1" x="249"/>
        <item m="1" x="596"/>
        <item m="1" x="93"/>
        <item m="1" x="265"/>
        <item m="1" x="669"/>
        <item m="1" x="337"/>
        <item m="1" x="356"/>
        <item m="1" x="534"/>
        <item m="1" x="207"/>
        <item m="1" x="365"/>
        <item m="1" x="544"/>
        <item m="1" x="45"/>
        <item m="1" x="384"/>
        <item m="1" x="70"/>
        <item m="1" x="576"/>
        <item m="1" x="79"/>
        <item m="1" x="245"/>
        <item m="1" x="415"/>
        <item m="1" x="98"/>
        <item m="1" x="516"/>
        <item m="1" x="510"/>
        <item m="1" x="20"/>
        <item m="1" x="199"/>
        <item m="1" x="364"/>
        <item m="1" x="543"/>
        <item m="1" x="44"/>
        <item m="1" x="393"/>
        <item m="1" x="244"/>
        <item m="1" x="587"/>
        <item m="1" x="97"/>
        <item m="1" x="111"/>
        <item m="1" x="445"/>
        <item m="1" x="122"/>
        <item m="1" x="462"/>
        <item m="1" x="313"/>
        <item m="1" x="499"/>
        <item m="1" x="526"/>
        <item m="1" x="238"/>
        <item m="1" x="397"/>
        <item m="1" x="594"/>
        <item m="1" x="92"/>
        <item m="1" x="289"/>
        <item m="1" x="475"/>
        <item m="1" x="307"/>
        <item m="1" x="486"/>
        <item m="1" x="666"/>
        <item m="1" x="326"/>
        <item m="1" x="174"/>
        <item m="1" x="185"/>
        <item m="1" x="382"/>
        <item m="1" x="567"/>
        <item m="1" x="391"/>
        <item m="1" x="78"/>
        <item m="1" x="525"/>
        <item m="1" x="539"/>
        <item m="1" x="52"/>
        <item m="1" x="389"/>
        <item m="1" x="237"/>
        <item m="1" x="411"/>
        <item m="1" x="263"/>
        <item m="1" x="117"/>
        <item m="1" x="325"/>
        <item m="1" x="9"/>
        <item m="1" x="344"/>
        <item m="1" x="267"/>
        <item m="1" x="109"/>
        <item m="1" x="442"/>
        <item m="1" x="282"/>
        <item m="1" x="561"/>
        <item m="1" x="63"/>
        <item m="1" x="388"/>
        <item m="1" x="91"/>
        <item m="1" x="420"/>
        <item m="1" x="103"/>
        <item m="1" x="273"/>
        <item m="1" x="116"/>
        <item m="1" x="451"/>
        <item m="1" x="628"/>
        <item m="1" x="473"/>
        <item m="1" x="650"/>
        <item m="1" x="156"/>
        <item m="1" x="679"/>
        <item m="1" x="24"/>
        <item m="1" x="198"/>
        <item m="1" x="352"/>
        <item m="1" x="532"/>
        <item m="1" x="361"/>
        <item m="1" x="160"/>
        <item m="1" x="260"/>
        <item m="1" x="271"/>
        <item m="1" x="115"/>
        <item m="1" x="155"/>
        <item m="1" x="520"/>
        <item m="1" x="531"/>
        <item m="1" x="575"/>
        <item m="1" x="401"/>
        <item m="1" x="86"/>
        <item m="1" x="253"/>
        <item m="1" x="460"/>
        <item m="1" x="141"/>
        <item m="1" x="515"/>
        <item m="1" x="452"/>
        <item m="1" x="230"/>
        <item m="1" x="341"/>
        <item m="1" x="646"/>
        <item m="1" x="454"/>
        <item m="1" x="395"/>
        <item m="1" x="145"/>
        <item m="1" x="197"/>
        <item m="1" x="179"/>
        <item m="1" x="202"/>
        <item m="1" x="552"/>
        <item m="1" x="181"/>
        <item m="1" x="440"/>
        <item m="1" x="76"/>
        <item m="1" x="120"/>
        <item m="1" x="349"/>
        <item m="1" x="437"/>
        <item m="1" x="73"/>
        <item m="1" x="135"/>
        <item m="1" x="668"/>
        <item m="1" x="123"/>
        <item m="1" x="681"/>
        <item m="1" x="327"/>
        <item m="1" x="336"/>
        <item m="1" x="392"/>
        <item m="1" x="414"/>
        <item m="1" x="580"/>
        <item m="1" x="563"/>
        <item m="1" x="88"/>
        <item m="1" x="490"/>
        <item m="1" x="27"/>
        <item m="1" x="373"/>
        <item m="1" x="58"/>
        <item m="1" x="328"/>
        <item m="1" x="21"/>
        <item m="1" x="347"/>
        <item m="1" x="444"/>
        <item m="1" x="77"/>
        <item m="1" x="134"/>
        <item m="1" x="517"/>
        <item m="1" x="195"/>
        <item m="1" x="483"/>
        <item m="1" x="358"/>
        <item m="1" x="59"/>
        <item m="1" x="87"/>
        <item m="1" x="428"/>
        <item m="1" x="182"/>
        <item m="1" x="193"/>
        <item m="1" x="590"/>
        <item m="1" x="591"/>
        <item m="1" x="107"/>
        <item m="1" x="170"/>
        <item m="1" x="346"/>
        <item m="1" x="678"/>
        <item m="1" x="5"/>
        <item m="1" x="505"/>
        <item m="1" x="32"/>
        <item m="1" x="304"/>
        <item m="1" x="423"/>
        <item m="1" x="132"/>
        <item m="1" x="627"/>
        <item m="1" x="177"/>
        <item m="1" x="55"/>
        <item m="1" x="412"/>
        <item m="1" x="25"/>
        <item m="1" x="425"/>
        <item m="1" x="108"/>
        <item m="1" x="495"/>
        <item m="1" x="546"/>
        <item m="1" x="84"/>
        <item m="1" x="290"/>
        <item m="1" x="465"/>
        <item m="1" x="435"/>
        <item m="1" x="340"/>
        <item m="1" x="593"/>
        <item m="1" x="334"/>
        <item m="1" x="10"/>
        <item m="1" x="409"/>
        <item m="1" x="376"/>
        <item m="1" x="660"/>
        <item m="1" x="301"/>
        <item m="1" x="472"/>
        <item m="1" x="172"/>
        <item m="1" x="378"/>
        <item m="1" x="647"/>
        <item m="1" x="535"/>
        <item m="1" x="146"/>
        <item m="1" x="377"/>
        <item m="1" x="651"/>
        <item m="1" x="680"/>
        <item m="1" x="19"/>
        <item m="1" x="157"/>
        <item m="1" x="99"/>
        <item m="1" x="528"/>
        <item m="1" x="204"/>
        <item m="1" x="259"/>
        <item m="1" x="332"/>
        <item m="1" x="413"/>
        <item m="1" x="470"/>
        <item m="1" x="664"/>
        <item m="1" x="11"/>
        <item m="1" x="22"/>
        <item m="1" x="30"/>
        <item m="1" x="119"/>
        <item m="1" x="147"/>
        <item m="1" x="6"/>
        <item m="1" x="642"/>
        <item m="1" x="330"/>
        <item m="1" x="367"/>
        <item m="1" x="548"/>
        <item m="1" x="559"/>
        <item m="1" x="269"/>
        <item m="1" x="615"/>
        <item m="1" x="449"/>
        <item m="1" x="127"/>
        <item m="1" x="154"/>
        <item m="1" x="166"/>
        <item m="1" x="215"/>
        <item m="1" x="351"/>
        <item m="1" x="318"/>
        <item m="1" x="519"/>
        <item m="1" x="71"/>
        <item m="1" x="474"/>
        <item m="1" x="176"/>
        <item m="1" x="256"/>
        <item m="1" x="545"/>
        <item m="1" x="2"/>
        <item m="1" x="322"/>
        <item m="1" x="501"/>
        <item m="1" x="511"/>
        <item m="1" x="479"/>
        <item m="1" x="33"/>
        <item m="1" x="56"/>
        <item m="1" x="574"/>
        <item m="1" x="426"/>
        <item m="1" x="133"/>
        <item m="1" x="641"/>
        <item m="1" x="359"/>
        <item m="1" x="496"/>
        <item m="1" x="380"/>
        <item x="0"/>
        <item t="default"/>
      </items>
    </pivotField>
    <pivotField showAll="0"/>
    <pivotField showAll="0"/>
    <pivotField axis="axisRow" showAll="0" sortType="ascending">
      <items count="3021">
        <item m="1" x="1048"/>
        <item m="1" x="1056"/>
        <item m="1" x="549"/>
        <item m="1" x="2732"/>
        <item m="1" x="177"/>
        <item m="1" x="976"/>
        <item m="1" x="925"/>
        <item m="1" x="2271"/>
        <item m="1" x="2496"/>
        <item m="1" x="1824"/>
        <item m="1" x="2831"/>
        <item m="1" x="1150"/>
        <item m="1" x="1988"/>
        <item m="1" x="2755"/>
        <item m="1" x="2612"/>
        <item sd="0" m="1" x="471"/>
        <item m="1" x="375"/>
        <item m="1" x="2602"/>
        <item m="1" x="1693"/>
        <item sd="0" m="1" x="2700"/>
        <item m="1" x="2592"/>
        <item m="1" x="2220"/>
        <item m="1" x="1453"/>
        <item m="1" x="1109"/>
        <item m="1" x="1055"/>
        <item m="1" x="247"/>
        <item m="1" x="969"/>
        <item m="1" x="1389"/>
        <item m="1" x="172"/>
        <item m="1" x="2329"/>
        <item m="1" x="2032"/>
        <item m="1" x="815"/>
        <item m="1" x="2937"/>
        <item m="1" x="465"/>
        <item m="1" x="1810"/>
        <item m="1" x="584"/>
        <item m="1" x="916"/>
        <item m="1" x="1401"/>
        <item m="1" x="2575"/>
        <item m="1" x="1438"/>
        <item m="1" x="420"/>
        <item m="1" x="1715"/>
        <item m="1" x="1576"/>
        <item m="1" x="1330"/>
        <item m="1" x="2708"/>
        <item m="1" x="1585"/>
        <item m="1" x="615"/>
        <item m="1" x="752"/>
        <item m="1" x="1720"/>
        <item sd="0" m="1" x="339"/>
        <item m="1" x="2919"/>
        <item m="1" x="2072"/>
        <item m="1" x="1340"/>
        <item m="1" x="1473"/>
        <item m="1" x="2922"/>
        <item m="1" x="2793"/>
        <item m="1" x="207"/>
        <item m="1" x="1837"/>
        <item m="1" x="2441"/>
        <item m="1" x="2716"/>
        <item m="1" x="2135"/>
        <item m="1" x="1856"/>
        <item m="1" x="1315"/>
        <item m="1" x="2696"/>
        <item m="1" x="2164"/>
        <item m="1" x="548"/>
        <item m="1" x="1483"/>
        <item m="1" x="1106"/>
        <item m="1" x="2850"/>
        <item m="1" x="1358"/>
        <item m="1" x="419"/>
        <item m="1" x="366"/>
        <item m="1" x="663"/>
        <item m="1" x="1119"/>
        <item m="1" x="1001"/>
        <item m="1" x="2360"/>
        <item m="1" x="864"/>
        <item m="1" x="1610"/>
        <item m="1" x="879"/>
        <item m="1" x="654"/>
        <item m="1" x="2423"/>
        <item m="1" x="1376"/>
        <item m="1" x="1138"/>
        <item m="1" x="1064"/>
        <item m="1" x="331"/>
        <item m="1" x="185"/>
        <item m="1" x="2947"/>
        <item m="1" x="1696"/>
        <item m="1" x="979"/>
        <item m="1" x="3004"/>
        <item m="1" x="1714"/>
        <item m="1" x="813"/>
        <item m="1" x="2933"/>
        <item m="1" x="1164"/>
        <item m="1" x="127"/>
        <item m="1" x="1246"/>
        <item m="1" x="986"/>
        <item m="1" x="226"/>
        <item m="1" x="2528"/>
        <item m="1" x="2604"/>
        <item m="1" x="1677"/>
        <item m="1" x="2804"/>
        <item m="1" x="273"/>
        <item m="1" x="1800"/>
        <item m="1" x="2488"/>
        <item m="1" x="2523"/>
        <item m="1" x="2623"/>
        <item m="1" x="1534"/>
        <item m="1" x="2410"/>
        <item m="1" x="1240"/>
        <item m="1" x="3014"/>
        <item m="1" x="757"/>
        <item m="1" x="108"/>
        <item m="1" x="932"/>
        <item m="1" x="1957"/>
        <item m="1" x="933"/>
        <item m="1" x="1691"/>
        <item m="1" x="2026"/>
        <item m="1" x="1263"/>
        <item m="1" x="276"/>
        <item m="1" x="1169"/>
        <item m="1" x="2795"/>
        <item m="1" x="996"/>
        <item m="1" x="2160"/>
        <item m="1" x="1873"/>
        <item m="1" x="1234"/>
        <item m="1" x="2816"/>
        <item m="1" x="659"/>
        <item m="1" x="2313"/>
        <item m="1" x="1939"/>
        <item m="1" x="232"/>
        <item m="1" x="1398"/>
        <item m="1" x="3000"/>
        <item m="1" x="2481"/>
        <item m="1" x="2084"/>
        <item m="1" x="1251"/>
        <item m="1" x="1040"/>
        <item m="1" x="1760"/>
        <item m="1" x="270"/>
        <item m="1" x="2315"/>
        <item m="1" x="1054"/>
        <item m="1" x="1459"/>
        <item m="1" x="2714"/>
        <item m="1" x="1526"/>
        <item m="1" x="2166"/>
        <item m="1" x="2068"/>
        <item m="1" x="594"/>
        <item m="1" x="1871"/>
        <item m="1" x="496"/>
        <item m="1" x="491"/>
        <item m="1" x="1569"/>
        <item m="1" x="786"/>
        <item m="1" x="1659"/>
        <item m="1" x="2473"/>
        <item m="1" x="1191"/>
        <item m="1" x="163"/>
        <item m="1" x="1361"/>
        <item m="1" x="97"/>
        <item m="1" x="416"/>
        <item m="1" x="1027"/>
        <item m="1" x="1299"/>
        <item m="1" x="718"/>
        <item m="1" x="2695"/>
        <item m="1" x="701"/>
        <item m="1" x="1183"/>
        <item m="1" x="948"/>
        <item m="1" x="2087"/>
        <item m="1" x="43"/>
        <item m="1" x="2157"/>
        <item m="1" x="1141"/>
        <item m="1" x="2229"/>
        <item m="1" x="719"/>
        <item m="1" x="1577"/>
        <item m="1" x="2078"/>
        <item m="1" x="288"/>
        <item m="1" x="1771"/>
        <item m="1" x="2035"/>
        <item m="1" x="572"/>
        <item m="1" x="614"/>
        <item m="1" x="2810"/>
        <item m="1" x="309"/>
        <item m="1" x="1326"/>
        <item m="1" x="2636"/>
        <item m="1" x="596"/>
        <item m="1" x="762"/>
        <item m="1" x="1772"/>
        <item m="1" x="873"/>
        <item m="1" x="201"/>
        <item m="1" x="1175"/>
        <item m="1" x="2413"/>
        <item m="1" x="302"/>
        <item m="1" x="2834"/>
        <item m="1" x="2257"/>
        <item m="1" x="955"/>
        <item m="1" x="120"/>
        <item m="1" x="2540"/>
        <item m="1" x="1011"/>
        <item m="1" x="1980"/>
        <item m="1" x="160"/>
        <item m="1" x="1596"/>
        <item m="1" x="1517"/>
        <item m="1" x="1082"/>
        <item m="1" x="2276"/>
        <item m="1" x="734"/>
        <item m="1" x="2526"/>
        <item m="1" x="149"/>
        <item m="1" x="2056"/>
        <item m="1" x="1686"/>
        <item m="1" x="1407"/>
        <item m="1" x="989"/>
        <item m="1" x="343"/>
        <item m="1" x="1932"/>
        <item m="1" x="799"/>
        <item m="1" x="2924"/>
        <item m="1" x="613"/>
        <item m="1" x="468"/>
        <item m="1" x="2846"/>
        <item m="1" x="278"/>
        <item m="1" x="738"/>
        <item m="1" x="1888"/>
        <item m="1" x="515"/>
        <item m="1" x="626"/>
        <item m="1" x="1843"/>
        <item m="1" x="2511"/>
        <item m="1" x="1000"/>
        <item m="1" x="1972"/>
        <item m="1" x="853"/>
        <item m="1" x="2589"/>
        <item m="1" x="1470"/>
        <item m="1" x="2680"/>
        <item m="1" x="2765"/>
        <item m="1" x="1921"/>
        <item m="1" x="1424"/>
        <item m="1" x="1283"/>
        <item m="1" x="1029"/>
        <item m="1" x="800"/>
        <item m="1" x="1136"/>
        <item m="1" x="248"/>
        <item m="1" x="171"/>
        <item m="1" x="333"/>
        <item m="1" x="1723"/>
        <item m="1" x="2480"/>
        <item m="1" x="583"/>
        <item m="1" x="102"/>
        <item m="1" x="539"/>
        <item m="1" x="901"/>
        <item m="1" x="1498"/>
        <item m="1" x="119"/>
        <item m="1" x="1979"/>
        <item m="1" x="197"/>
        <item m="1" x="1739"/>
        <item m="1" x="821"/>
        <item m="1" x="482"/>
        <item m="1" x="2796"/>
        <item m="1" x="1600"/>
        <item m="1" x="2688"/>
        <item m="1" x="1707"/>
        <item m="1" x="2368"/>
        <item m="1" x="265"/>
        <item m="1" x="1065"/>
        <item m="1" x="209"/>
        <item m="1" x="2316"/>
        <item m="1" x="1524"/>
        <item m="1" x="2463"/>
        <item m="1" x="50"/>
        <item m="1" x="321"/>
        <item m="1" x="2605"/>
        <item m="1" x="1033"/>
        <item m="1" x="2660"/>
        <item m="1" x="1501"/>
        <item m="1" x="561"/>
        <item m="1" x="133"/>
        <item m="1" x="907"/>
        <item m="1" x="836"/>
        <item m="1" x="410"/>
        <item m="1" x="2224"/>
        <item m="1" x="1544"/>
        <item m="1" x="2345"/>
        <item m="1" x="771"/>
        <item m="1" x="2083"/>
        <item m="1" x="2044"/>
        <item m="1" x="211"/>
        <item m="1" x="204"/>
        <item m="1" x="2103"/>
        <item m="1" x="1991"/>
        <item m="1" x="2280"/>
        <item m="1" x="2556"/>
        <item m="1" x="1189"/>
        <item m="1" x="2476"/>
        <item m="1" x="2207"/>
        <item m="1" x="829"/>
        <item m="1" x="1232"/>
        <item m="1" x="2292"/>
        <item m="1" x="2555"/>
        <item m="1" x="1127"/>
        <item m="1" x="2719"/>
        <item m="1" x="2247"/>
        <item m="1" x="2208"/>
        <item m="1" x="1712"/>
        <item m="1" x="784"/>
        <item m="1" x="2045"/>
        <item m="1" x="1869"/>
        <item m="1" x="1255"/>
        <item m="1" x="25"/>
        <item m="1" x="400"/>
        <item m="1" x="954"/>
        <item m="1" x="506"/>
        <item m="1" x="2730"/>
        <item m="1" x="1085"/>
        <item m="1" x="2417"/>
        <item m="1" x="1893"/>
        <item m="1" x="2295"/>
        <item m="1" x="1976"/>
        <item m="1" x="477"/>
        <item m="1" x="20"/>
        <item m="1" x="2497"/>
        <item m="1" x="2498"/>
        <item m="1" x="737"/>
        <item m="1" x="1132"/>
        <item m="1" x="968"/>
        <item m="1" x="1364"/>
        <item m="1" x="720"/>
        <item m="1" x="91"/>
        <item m="1" x="1356"/>
        <item m="1" x="1586"/>
        <item m="1" x="2240"/>
        <item m="1" x="1616"/>
        <item m="1" x="2077"/>
        <item m="1" x="239"/>
        <item m="1" x="1737"/>
        <item m="1" x="1911"/>
        <item m="1" x="2029"/>
        <item m="1" x="2181"/>
        <item m="1" x="2436"/>
        <item m="1" x="1471"/>
        <item m="1" x="802"/>
        <item m="1" x="807"/>
        <item m="1" x="2502"/>
        <item m="1" x="1833"/>
        <item m="1" x="1990"/>
        <item m="1" x="188"/>
        <item m="1" x="1395"/>
        <item m="1" x="1242"/>
        <item m="1" x="2028"/>
        <item m="1" x="899"/>
        <item m="1" x="13"/>
        <item m="1" x="988"/>
        <item m="1" x="523"/>
        <item m="1" x="2967"/>
        <item m="1" x="1950"/>
        <item m="1" x="287"/>
        <item m="1" x="1538"/>
        <item m="1" x="1320"/>
        <item m="1" x="1114"/>
        <item m="1" x="2018"/>
        <item m="1" x="222"/>
        <item m="1" x="1846"/>
        <item m="1" x="389"/>
        <item m="1" x="1590"/>
        <item m="1" x="914"/>
        <item m="1" x="2811"/>
        <item m="1" x="528"/>
        <item m="1" x="2308"/>
        <item m="1" x="2702"/>
        <item m="1" x="2646"/>
        <item m="1" x="2551"/>
        <item m="1" x="1629"/>
        <item m="1" x="2999"/>
        <item m="1" x="981"/>
        <item m="1" x="1513"/>
        <item m="1" x="927"/>
        <item m="1" x="2074"/>
        <item m="1" x="225"/>
        <item m="1" x="463"/>
        <item m="1" x="1083"/>
        <item m="1" x="45"/>
        <item m="1" x="2433"/>
        <item m="1" x="2180"/>
        <item m="1" x="1851"/>
        <item m="1" x="2631"/>
        <item m="1" x="2620"/>
        <item m="1" x="2183"/>
        <item m="1" x="1449"/>
        <item m="1" x="2624"/>
        <item m="1" x="76"/>
        <item m="1" x="1763"/>
        <item m="1" x="2805"/>
        <item m="1" x="2783"/>
        <item m="1" x="2981"/>
        <item m="1" x="2643"/>
        <item m="1" x="2322"/>
        <item m="1" x="2266"/>
        <item m="1" x="2283"/>
        <item m="1" x="1128"/>
        <item m="1" x="1235"/>
        <item m="1" x="2527"/>
        <item m="1" x="1599"/>
        <item m="1" x="145"/>
        <item m="1" x="2399"/>
        <item m="1" x="512"/>
        <item m="1" x="1801"/>
        <item m="1" x="692"/>
        <item m="1" x="530"/>
        <item m="1" x="1338"/>
        <item m="1" x="597"/>
        <item m="1" x="1355"/>
        <item m="1" x="755"/>
        <item m="1" x="1226"/>
        <item m="1" x="358"/>
        <item m="1" x="950"/>
        <item m="1" x="318"/>
        <item m="1" x="2842"/>
        <item m="1" x="1542"/>
        <item m="1" x="274"/>
        <item m="1" x="230"/>
        <item m="1" x="2472"/>
        <item m="1" x="348"/>
        <item m="1" x="2698"/>
        <item m="1" x="1966"/>
        <item m="1" x="3005"/>
        <item m="1" x="2998"/>
        <item m="1" x="114"/>
        <item m="1" x="237"/>
        <item m="1" x="1643"/>
        <item m="1" x="2464"/>
        <item m="1" x="417"/>
        <item m="1" x="1905"/>
        <item m="1" x="2909"/>
        <item m="1" x="1309"/>
        <item m="1" x="176"/>
        <item m="1" x="729"/>
        <item m="1" x="973"/>
        <item m="1" x="629"/>
        <item m="1" x="2425"/>
        <item m="1" x="328"/>
        <item m="1" x="2633"/>
        <item sd="0" m="1" x="409"/>
        <item sd="0" m="1" x="2969"/>
        <item m="1" x="135"/>
        <item sd="0" m="1" x="1593"/>
        <item m="1" x="2359"/>
        <item sd="0" m="1" x="472"/>
        <item sd="0" m="1" x="1887"/>
        <item sd="0" m="1" x="3"/>
        <item m="1" x="2976"/>
        <item m="1" x="1595"/>
        <item sd="0" m="1" x="1043"/>
        <item m="1" x="806"/>
        <item m="1" x="1981"/>
        <item sd="0" m="1" x="1835"/>
        <item sd="0" m="1" x="115"/>
        <item sd="0" m="1" x="2005"/>
        <item m="1" x="2735"/>
        <item m="1" x="839"/>
        <item m="1" x="2391"/>
        <item m="1" x="1372"/>
        <item m="1" x="1405"/>
        <item m="1" x="2968"/>
        <item sd="0" m="1" x="2073"/>
        <item m="1" x="2206"/>
        <item sd="0" m="1" x="1589"/>
        <item m="1" x="1766"/>
        <item m="1" x="2638"/>
        <item m="1" x="2813"/>
        <item m="1" x="2327"/>
        <item m="1" x="670"/>
        <item sd="0" m="1" x="1770"/>
        <item sd="0" m="1" x="1034"/>
        <item sd="0" m="1" x="688"/>
        <item sd="0" m="1" x="1647"/>
        <item sd="0" m="1" x="2918"/>
        <item sd="0" m="1" x="1757"/>
        <item m="1" x="2274"/>
        <item sd="0" m="1" x="1454"/>
        <item sd="0" m="1" x="2383"/>
        <item sd="0" m="1" x="631"/>
        <item sd="0" m="1" x="1429"/>
        <item sd="0" m="1" x="2930"/>
        <item m="1" x="1347"/>
        <item m="1" x="2444"/>
        <item sd="0" m="1" x="458"/>
        <item m="1" x="2712"/>
        <item sd="0" m="1" x="1702"/>
        <item m="1" x="2027"/>
        <item m="1" x="1468"/>
        <item m="1" x="1713"/>
        <item m="1" x="1268"/>
        <item m="1" x="1116"/>
        <item m="1" x="1248"/>
        <item m="1" x="707"/>
        <item sd="0" m="1" x="2944"/>
        <item m="1" x="1108"/>
        <item m="1" x="660"/>
        <item m="1" x="2618"/>
        <item m="1" x="1497"/>
        <item m="1" x="2543"/>
        <item sd="0" m="1" x="2800"/>
        <item m="1" x="2926"/>
        <item m="1" x="2801"/>
        <item m="1" x="852"/>
        <item m="1" x="1168"/>
        <item m="1" x="1418"/>
        <item m="1" x="566"/>
        <item sd="0" m="1" x="2881"/>
        <item m="1" x="275"/>
        <item m="1" x="541"/>
        <item sd="0" m="1" x="875"/>
        <item m="1" x="2756"/>
        <item m="1" x="1750"/>
        <item m="1" x="2988"/>
        <item m="1" x="2012"/>
        <item m="1" x="2300"/>
        <item m="1" x="942"/>
        <item m="1" x="2011"/>
        <item m="1" x="1404"/>
        <item m="1" x="1375"/>
        <item m="1" x="2537"/>
        <item m="1" x="2584"/>
        <item m="1" x="319"/>
        <item m="1" x="1637"/>
        <item m="1" x="675"/>
        <item m="1" x="2900"/>
        <item m="1" x="1588"/>
        <item m="1" x="2046"/>
        <item m="1" x="355"/>
        <item m="1" x="1681"/>
        <item m="1" x="1664"/>
        <item m="1" x="1721"/>
        <item m="1" x="2992"/>
        <item m="1" x="2179"/>
        <item m="1" x="2860"/>
        <item m="1" x="1024"/>
        <item m="1" x="2214"/>
        <item m="1" x="2339"/>
        <item m="1" x="2096"/>
        <item m="1" x="1960"/>
        <item m="1" x="154"/>
        <item m="1" x="694"/>
        <item m="1" x="1351"/>
        <item m="1" x="1601"/>
        <item m="1" x="1285"/>
        <item m="1" x="2492"/>
        <item m="1" x="112"/>
        <item m="1" x="2016"/>
        <item m="1" x="869"/>
        <item m="1" x="179"/>
        <item m="1" x="2710"/>
        <item m="1" x="1012"/>
        <item m="1" x="1503"/>
        <item m="1" x="90"/>
        <item m="1" x="1722"/>
        <item m="1" x="2053"/>
        <item m="1" x="2670"/>
        <item m="1" x="2104"/>
        <item m="1" x="867"/>
        <item m="1" x="777"/>
        <item m="1" x="2106"/>
        <item m="1" x="1533"/>
        <item m="1" x="1842"/>
        <item m="1" x="308"/>
        <item m="1" x="1094"/>
        <item m="1" x="607"/>
        <item m="1" x="150"/>
        <item m="1" x="2415"/>
        <item m="1" x="653"/>
        <item m="1" x="576"/>
        <item m="1" x="495"/>
        <item m="1" x="2625"/>
        <item m="1" x="727"/>
        <item m="1" x="2499"/>
        <item m="1" x="1"/>
        <item m="1" x="311"/>
        <item m="1" x="751"/>
        <item m="1" x="1954"/>
        <item m="1" x="1747"/>
        <item m="1" x="1360"/>
        <item m="1" x="2216"/>
        <item m="1" x="325"/>
        <item m="1" x="693"/>
        <item m="1" x="58"/>
        <item m="1" x="814"/>
        <item m="1" x="140"/>
        <item m="1" x="1684"/>
        <item m="1" x="1400"/>
        <item m="1" x="1525"/>
        <item m="1" x="1118"/>
        <item m="1" x="2281"/>
        <item m="1" x="2616"/>
        <item m="1" x="423"/>
        <item m="1" x="1948"/>
        <item m="1" x="2923"/>
        <item m="1" x="2652"/>
        <item m="1" x="2178"/>
        <item m="1" x="1762"/>
        <item m="1" x="2303"/>
        <item m="1" x="617"/>
        <item m="1" x="1204"/>
        <item m="1" x="2535"/>
        <item m="1" x="1793"/>
        <item m="1" x="1716"/>
        <item m="1" x="2254"/>
        <item m="1" x="606"/>
        <item m="1" x="2344"/>
        <item m="1" x="1316"/>
        <item m="1" x="186"/>
        <item m="1" x="2067"/>
        <item m="1" x="931"/>
        <item m="1" x="2456"/>
        <item m="1" x="257"/>
        <item m="1" x="1666"/>
        <item m="1" x="1142"/>
        <item m="1" x="1944"/>
        <item m="1" x="770"/>
        <item m="1" x="1025"/>
        <item m="1" x="2190"/>
        <item m="1" x="833"/>
        <item m="1" x="1657"/>
        <item m="1" x="132"/>
        <item m="1" x="1353"/>
        <item m="1" x="1135"/>
        <item m="1" x="2697"/>
        <item m="1" x="2657"/>
        <item m="1" x="1310"/>
        <item m="1" x="486"/>
        <item m="1" x="403"/>
        <item m="1" x="2154"/>
        <item m="1" x="2595"/>
        <item m="1" x="1100"/>
        <item m="1" x="2986"/>
        <item m="1" x="1522"/>
        <item m="1" x="2351"/>
        <item m="1" x="1777"/>
        <item m="1" x="2174"/>
        <item m="1" x="570"/>
        <item m="1" x="2550"/>
        <item m="1" x="2917"/>
        <item m="1" x="107"/>
        <item m="1" x="1028"/>
        <item m="1" x="364"/>
        <item m="1" x="552"/>
        <item m="1" x="1474"/>
        <item m="1" x="2121"/>
        <item m="1" x="93"/>
        <item m="1" x="1101"/>
        <item m="1" x="57"/>
        <item m="1" x="1910"/>
        <item m="1" x="949"/>
        <item m="1" x="290"/>
        <item m="1" x="2312"/>
        <item m="1" x="1139"/>
        <item m="1" x="1080"/>
        <item m="1" x="2784"/>
        <item m="1" x="1062"/>
        <item m="1" x="1506"/>
        <item m="1" x="1615"/>
        <item m="1" x="2739"/>
        <item m="1" x="1543"/>
        <item m="1" x="1996"/>
        <item m="1" x="9"/>
        <item m="1" x="1621"/>
        <item m="1" x="2726"/>
        <item m="1" x="855"/>
        <item m="1" x="1406"/>
        <item m="1" x="2641"/>
        <item m="1" x="794"/>
        <item m="1" x="1465"/>
        <item m="1" x="1174"/>
        <item m="1" x="1084"/>
        <item m="1" x="2462"/>
        <item m="1" x="283"/>
        <item m="1" x="314"/>
        <item m="1" x="1862"/>
        <item m="1" x="1003"/>
        <item m="1" x="2267"/>
        <item m="1" x="1736"/>
        <item m="1" x="1847"/>
        <item m="1" x="121"/>
        <item m="1" x="1017"/>
        <item m="1" x="344"/>
        <item m="1" x="511"/>
        <item m="1" x="2393"/>
        <item m="1" x="183"/>
        <item m="1" x="1215"/>
        <item m="1" x="1611"/>
        <item m="1" x="315"/>
        <item m="1" x="2720"/>
        <item m="1" x="347"/>
        <item m="1" x="2098"/>
        <item m="1" x="1805"/>
        <item m="1" x="652"/>
        <item m="1" x="2639"/>
        <item m="1" x="2640"/>
        <item m="1" x="1105"/>
        <item m="1" x="1897"/>
        <item m="1" x="905"/>
        <item m="1" x="190"/>
        <item m="1" x="1180"/>
        <item m="1" x="2532"/>
        <item m="1" x="261"/>
        <item m="1" x="1231"/>
        <item m="1" x="1909"/>
        <item m="1" x="934"/>
        <item m="1" x="2759"/>
        <item m="1" x="213"/>
        <item m="1" x="2209"/>
        <item m="1" x="1790"/>
        <item m="1" x="2971"/>
        <item m="1" x="323"/>
        <item m="1" x="2533"/>
        <item m="1" x="2457"/>
        <item m="1" x="1121"/>
        <item m="1" x="1648"/>
        <item m="1" x="340"/>
        <item m="1" x="123"/>
        <item m="1" x="1676"/>
        <item m="1" x="450"/>
        <item m="1" x="2711"/>
        <item m="1" x="1964"/>
        <item m="1" x="1368"/>
        <item m="1" x="1381"/>
        <item m="1" x="1413"/>
        <item m="1" x="2658"/>
        <item m="1" x="1269"/>
        <item m="1" x="271"/>
        <item m="1" x="760"/>
        <item m="1" x="2244"/>
        <item m="1" x="3003"/>
        <item m="1" x="1205"/>
        <item m="1" x="349"/>
        <item m="1" x="2440"/>
        <item m="1" x="704"/>
        <item m="1" x="327"/>
        <item m="1" x="2091"/>
        <item m="1" x="2317"/>
        <item m="1" x="2729"/>
        <item m="1" x="510"/>
        <item m="1" x="445"/>
        <item m="1" x="832"/>
        <item m="1" x="394"/>
        <item m="1" x="2877"/>
        <item m="1" x="330"/>
        <item m="1" x="2237"/>
        <item m="1" x="101"/>
        <item m="1" x="1667"/>
        <item m="1" x="376"/>
        <item m="1" x="818"/>
        <item m="1" x="2268"/>
        <item m="1" x="1002"/>
        <item m="1" x="1211"/>
        <item m="1" x="1952"/>
        <item m="1" x="462"/>
        <item m="1" x="151"/>
        <item m="1" x="335"/>
        <item m="1" x="2788"/>
        <item m="1" x="2050"/>
        <item m="1" x="1245"/>
        <item m="1" x="1147"/>
        <item m="1" x="1613"/>
        <item m="1" x="1915"/>
        <item m="1" x="1007"/>
        <item m="1" x="1331"/>
        <item m="1" x="1703"/>
        <item m="1" x="2284"/>
        <item m="1" x="2221"/>
        <item m="1" x="1830"/>
        <item m="1" x="2876"/>
        <item m="1" x="1953"/>
        <item m="1" x="1614"/>
        <item m="1" x="1487"/>
        <item m="1" x="1071"/>
        <item m="1" x="1440"/>
        <item m="1" x="1097"/>
        <item m="1" x="1219"/>
        <item m="1" x="1754"/>
        <item m="1" x="2957"/>
        <item m="1" x="2724"/>
        <item m="1" x="1816"/>
        <item m="1" x="2152"/>
        <item m="1" x="1669"/>
        <item m="1" x="1241"/>
        <item m="1" x="1392"/>
        <item m="1" x="352"/>
        <item m="1" x="2503"/>
        <item m="1" x="728"/>
        <item m="1" x="170"/>
        <item m="1" x="2235"/>
        <item m="1" x="2125"/>
        <item m="1" x="62"/>
        <item m="1" x="1469"/>
        <item m="1" x="2530"/>
        <item m="1" x="957"/>
        <item m="1" x="1724"/>
        <item m="1" x="964"/>
        <item m="1" x="1836"/>
        <item m="1" x="383"/>
        <item m="1" x="104"/>
        <item m="1" x="116"/>
        <item m="1" x="85"/>
        <item m="1" x="1759"/>
        <item m="1" x="2112"/>
        <item m="1" x="2789"/>
        <item m="1" x="485"/>
        <item m="1" x="1044"/>
        <item m="1" x="1171"/>
        <item m="1" x="884"/>
        <item sd="0" m="1" x="1042"/>
        <item sd="0" m="1" x="2818"/>
        <item sd="0" m="1" x="2246"/>
        <item m="1" x="1039"/>
        <item m="1" x="507"/>
        <item m="1" x="920"/>
        <item m="1" x="1435"/>
        <item m="1" x="2378"/>
        <item m="1" x="1123"/>
        <item m="1" x="2748"/>
        <item m="1" x="388"/>
        <item m="1" x="2949"/>
        <item m="1" x="83"/>
        <item m="1" x="1286"/>
        <item m="1" x="79"/>
        <item m="1" x="326"/>
        <item m="1" x="1924"/>
        <item m="1" x="2983"/>
        <item m="1" x="1463"/>
        <item m="1" x="1903"/>
        <item m="1" x="1203"/>
        <item m="1" x="768"/>
        <item m="1" x="469"/>
        <item m="1" x="499"/>
        <item m="1" x="921"/>
        <item m="1" x="2136"/>
        <item m="1" x="1641"/>
        <item m="1" x="138"/>
        <item m="1" x="1217"/>
        <item m="1" x="1818"/>
        <item m="1" x="632"/>
        <item m="1" x="2594"/>
        <item m="1" x="200"/>
        <item m="1" x="992"/>
        <item sd="0" m="1" x="518"/>
        <item m="1" x="2568"/>
        <item m="1" x="2597"/>
        <item m="1" x="527"/>
        <item m="1" x="686"/>
        <item m="1" x="2411"/>
        <item m="1" x="1348"/>
        <item m="1" x="1725"/>
        <item m="1" x="284"/>
        <item m="1" x="2637"/>
        <item m="1" x="1892"/>
        <item m="1" x="2397"/>
        <item m="1" x="1558"/>
        <item m="1" x="2110"/>
        <item m="1" x="2213"/>
        <item m="1" x="1339"/>
        <item m="1" x="972"/>
        <item m="1" x="1935"/>
        <item m="1" x="2707"/>
        <item m="1" x="1352"/>
        <item m="1" x="2507"/>
        <item m="1" x="1965"/>
        <item m="1" x="1970"/>
        <item m="1" x="1415"/>
        <item m="1" x="2109"/>
        <item m="1" x="312"/>
        <item m="1" x="587"/>
        <item m="1" x="1631"/>
        <item m="1" x="1679"/>
        <item m="1" x="2293"/>
        <item m="1" x="598"/>
        <item m="1" x="2310"/>
        <item m="1" x="1225"/>
        <item m="1" x="1363"/>
        <item m="1" x="1350"/>
        <item m="1" x="1539"/>
        <item m="1" x="1327"/>
        <item m="1" x="258"/>
        <item m="1" x="72"/>
        <item m="1" x="2309"/>
        <item m="1" x="487"/>
        <item m="1" x="1838"/>
        <item m="1" x="2728"/>
        <item m="1" x="1839"/>
        <item m="1" x="440"/>
        <item m="1" x="2629"/>
        <item m="1" x="2459"/>
        <item m="1" x="567"/>
        <item m="1" x="1264"/>
        <item m="1" x="674"/>
        <item m="1" x="2938"/>
        <item m="1" x="2080"/>
        <item m="1" x="2482"/>
        <item m="1" x="131"/>
        <item m="1" x="483"/>
        <item m="1" x="2406"/>
        <item m="1" x="2826"/>
        <item m="1" x="845"/>
        <item m="1" x="2431"/>
        <item m="1" x="32"/>
        <item m="1" x="1820"/>
        <item m="1" x="2705"/>
        <item m="1" x="658"/>
        <item m="1" x="250"/>
        <item m="1" x="46"/>
        <item m="1" x="2928"/>
        <item m="1" x="682"/>
        <item m="1" x="266"/>
        <item m="1" x="1806"/>
        <item m="1" x="1076"/>
        <item m="1" x="2601"/>
        <item m="1" x="513"/>
        <item m="1" x="2632"/>
        <item m="1" x="1112"/>
        <item m="1" x="1371"/>
        <item m="1" x="1172"/>
        <item m="1" x="329"/>
        <item m="1" x="2041"/>
        <item m="1" x="788"/>
        <item m="1" x="2196"/>
        <item m="1" x="1197"/>
        <item m="1" x="256"/>
        <item m="1" x="2721"/>
        <item m="1" x="1634"/>
        <item m="1" x="2583"/>
        <item m="1" x="164"/>
        <item m="1" x="1568"/>
        <item m="1" x="1182"/>
        <item m="1" x="60"/>
        <item m="1" x="2147"/>
        <item m="1" x="169"/>
        <item m="1" x="3018"/>
        <item m="1" x="2479"/>
        <item m="1" x="3017"/>
        <item m="1" x="2038"/>
        <item m="1" x="173"/>
        <item m="1" x="44"/>
        <item m="1" x="2606"/>
        <item m="1" x="1262"/>
        <item m="1" x="2553"/>
        <item m="1" x="2599"/>
        <item m="1" x="1091"/>
        <item m="1" x="2047"/>
        <item m="1" x="1618"/>
        <item m="1" x="286"/>
        <item m="1" x="977"/>
        <item m="1" x="320"/>
        <item m="1" x="219"/>
        <item m="1" x="68"/>
        <item m="1" x="1202"/>
        <item m="1" x="1297"/>
        <item m="1" x="260"/>
        <item m="1" x="1349"/>
        <item m="1" x="2626"/>
        <item m="1" x="562"/>
        <item m="1" x="2002"/>
        <item m="1" x="1010"/>
        <item m="1" x="1305"/>
        <item m="1" x="623"/>
        <item m="1" x="2321"/>
        <item m="1" x="1594"/>
        <item m="1" x="1388"/>
        <item m="1" x="380"/>
        <item m="1" x="488"/>
        <item m="1" x="2039"/>
        <item m="1" x="966"/>
        <item m="1" x="856"/>
        <item m="1" x="2182"/>
        <item m="1" x="577"/>
        <item m="1" x="1111"/>
        <item m="1" x="1958"/>
        <item m="1" x="1536"/>
        <item m="1" x="1490"/>
        <item m="1" x="805"/>
        <item m="1" x="739"/>
        <item m="1" x="2945"/>
        <item m="1" x="2979"/>
        <item m="1" x="1886"/>
        <item m="1" x="2517"/>
        <item m="1" x="627"/>
        <item m="1" x="1718"/>
        <item m="1" x="1732"/>
        <item m="1" x="531"/>
        <item m="1" x="2450"/>
        <item m="1" x="429"/>
        <item m="1" x="35"/>
        <item m="1" x="1546"/>
        <item m="1" x="1399"/>
        <item m="1" x="687"/>
        <item m="1" x="1209"/>
        <item m="1" x="2958"/>
        <item m="1" x="1447"/>
        <item m="1" x="2158"/>
        <item m="1" x="2020"/>
        <item m="1" x="1500"/>
        <item m="1" x="1434"/>
        <item m="1" x="1486"/>
        <item m="1" x="1243"/>
        <item m="1" x="1445"/>
        <item m="1" x="2259"/>
        <item m="1" x="66"/>
        <item m="1" x="196"/>
        <item m="1" x="639"/>
        <item m="1" x="1041"/>
        <item m="1" x="2893"/>
        <item m="1" x="1144"/>
        <item m="1" x="556"/>
        <item m="1" x="1304"/>
        <item m="1" x="1484"/>
        <item m="1" x="1192"/>
        <item m="1" x="2036"/>
        <item m="1" x="810"/>
        <item m="1" x="1934"/>
        <item m="1" x="7"/>
        <item m="1" x="747"/>
        <item m="1" x="1436"/>
        <item m="1" x="1496"/>
        <item m="1" x="2299"/>
        <item m="1" x="2297"/>
        <item m="1" x="2447"/>
        <item m="1" x="2353"/>
        <item m="1" x="846"/>
        <item m="1" x="1096"/>
        <item m="1" x="604"/>
        <item m="1" x="1752"/>
        <item m="1" x="1653"/>
        <item m="1" x="16"/>
        <item m="1" x="2586"/>
        <item m="1" x="1566"/>
        <item m="1" x="1013"/>
        <item m="1" x="1306"/>
        <item m="1" x="2865"/>
        <item m="1" x="2108"/>
        <item m="1" x="2961"/>
        <item m="1" x="2487"/>
        <item m="1" x="748"/>
        <item m="1" x="360"/>
        <item m="1" x="1300"/>
        <item m="1" x="2352"/>
        <item m="1" x="1535"/>
        <item m="1" x="1359"/>
        <item m="1" x="1554"/>
        <item m="1" x="1480"/>
        <item m="1" x="1895"/>
        <item m="1" x="1156"/>
        <item m="1" x="835"/>
        <item m="1" x="1870"/>
        <item m="1" x="272"/>
        <item m="1" x="1384"/>
        <item m="1" x="303"/>
        <item m="1" x="2048"/>
        <item m="1" x="2258"/>
        <item m="1" x="2513"/>
        <item m="1" x="1746"/>
        <item m="1" x="1335"/>
        <item m="1" x="181"/>
        <item m="1" x="2996"/>
        <item m="1" x="1249"/>
        <item m="1" x="1592"/>
        <item m="1" x="795"/>
        <item m="1" x="2927"/>
        <item m="1" x="2387"/>
        <item m="1" x="2504"/>
        <item m="1" x="1412"/>
        <item m="1" x="1332"/>
        <item m="1" x="1181"/>
        <item m="1" x="581"/>
        <item m="1" x="2445"/>
        <item m="1" x="657"/>
        <item m="1" x="198"/>
        <item m="1" x="422"/>
        <item m="1" x="2776"/>
        <item m="1" x="2262"/>
        <item m="1" x="1792"/>
        <item m="1" x="455"/>
        <item m="1" x="299"/>
        <item m="1" x="2094"/>
        <item m="1" x="1373"/>
        <item m="1" x="2153"/>
        <item m="1" x="2085"/>
        <item m="1" x="2478"/>
        <item m="1" x="649"/>
        <item m="1" x="1456"/>
        <item m="1" x="662"/>
        <item m="1" x="152"/>
        <item m="1" x="381"/>
        <item m="1" x="382"/>
        <item m="1" x="1955"/>
        <item m="1" x="673"/>
        <item m="1" x="2974"/>
        <item m="1" x="991"/>
        <item m="1" x="661"/>
        <item m="1" x="1160"/>
        <item m="1" x="404"/>
        <item m="1" x="2775"/>
        <item m="1" x="1079"/>
        <item m="1" x="1409"/>
        <item m="1" x="1745"/>
        <item m="1" x="2859"/>
        <item m="1" x="985"/>
        <item m="1" x="1061"/>
        <item m="1" x="2227"/>
        <item m="1" x="2552"/>
        <item m="1" x="23"/>
        <item m="1" x="1244"/>
        <item m="1" x="1527"/>
        <item m="1" x="220"/>
        <item m="1" x="1015"/>
        <item m="1" x="1840"/>
        <item m="1" x="96"/>
        <item m="1" x="2495"/>
        <item m="1" x="2349"/>
        <item m="1" x="1704"/>
        <item m="1" x="2713"/>
        <item m="1" x="2894"/>
        <item m="1" x="1930"/>
        <item m="1" x="574"/>
        <item m="1" x="1291"/>
        <item m="1" x="1129"/>
        <item m="1" x="2245"/>
        <item m="1" x="1889"/>
        <item m="1" x="758"/>
        <item m="1" x="1861"/>
        <item m="1" x="2952"/>
        <item m="1" x="963"/>
        <item m="1" x="2582"/>
        <item m="1" x="397"/>
        <item m="1" x="1190"/>
        <item m="1" x="1609"/>
        <item m="1" x="2443"/>
        <item m="1" x="564"/>
        <item m="1" x="1275"/>
        <item m="1" x="1252"/>
        <item m="1" x="1393"/>
        <item m="1" x="2520"/>
        <item m="1" x="2282"/>
        <item m="1" x="1201"/>
        <item m="1" x="2692"/>
        <item m="1" x="947"/>
        <item m="1" x="1711"/>
        <item m="1" x="811"/>
        <item m="1" x="2545"/>
        <item m="1" x="2380"/>
        <item m="1" x="763"/>
        <item m="1" x="1891"/>
        <item m="1" x="75"/>
        <item m="1" x="2022"/>
        <item m="1" x="546"/>
        <item m="1" x="61"/>
        <item m="1" x="703"/>
        <item m="1" x="2140"/>
        <item m="1" x="3011"/>
        <item m="1" x="77"/>
        <item m="1" x="2407"/>
        <item m="1" x="2475"/>
        <item m="1" x="2628"/>
        <item m="1" x="2630"/>
        <item m="1" x="1113"/>
        <item m="1" x="1776"/>
        <item m="1" x="2294"/>
        <item m="1" x="1345"/>
        <item m="1" x="2970"/>
        <item m="1" x="378"/>
        <item m="1" x="373"/>
        <item m="1" x="1672"/>
        <item m="1" x="1827"/>
        <item m="1" x="2668"/>
        <item m="1" x="1726"/>
        <item m="1" x="1378"/>
        <item m="1" x="1308"/>
        <item m="1" x="2817"/>
        <item m="1" x="573"/>
        <item m="1" x="1612"/>
        <item m="1" x="2082"/>
        <item m="1" x="1176"/>
        <item m="1" x="1163"/>
        <item m="1" x="2421"/>
        <item m="1" x="2806"/>
        <item m="1" x="280"/>
        <item m="1" x="2977"/>
        <item m="1" x="2137"/>
        <item m="1" x="827"/>
        <item m="1" x="2613"/>
        <item m="1" x="831"/>
        <item m="1" x="1179"/>
        <item m="1" x="493"/>
        <item m="1" x="599"/>
        <item m="1" x="1280"/>
        <item m="1" x="1902"/>
        <item m="1" x="2149"/>
        <item m="1" x="2270"/>
        <item m="1" x="1143"/>
        <item m="1" x="2946"/>
        <item m="1" x="710"/>
        <item m="1" x="978"/>
        <item m="1" x="1512"/>
        <item m="1" x="78"/>
        <item m="1" x="824"/>
        <item m="1" x="2980"/>
        <item m="1" x="2785"/>
        <item m="1" x="2529"/>
        <item m="1" x="1296"/>
        <item m="1" x="984"/>
        <item m="1" x="136"/>
        <item m="1" x="310"/>
        <item m="1" x="175"/>
        <item m="1" x="1220"/>
        <item m="1" x="146"/>
        <item m="1" x="1694"/>
        <item m="1" x="2731"/>
        <item m="1" x="2940"/>
        <item m="1" x="2107"/>
        <item m="1" x="2932"/>
        <item m="1" x="2843"/>
        <item m="1" x="2105"/>
        <item m="1" x="1247"/>
        <item m="1" x="304"/>
        <item m="1" x="1849"/>
        <item m="1" x="2921"/>
        <item m="1" x="1462"/>
        <item m="1" x="357"/>
        <item m="1" x="2960"/>
        <item m="1" x="2323"/>
        <item m="1" x="2565"/>
        <item m="1" x="705"/>
        <item m="1" x="128"/>
        <item m="1" x="681"/>
        <item m="1" x="2892"/>
        <item m="1" x="825"/>
        <item m="1" x="1685"/>
        <item m="1" x="2233"/>
        <item m="1" x="2342"/>
        <item m="1" x="1660"/>
        <item m="1" x="1834"/>
        <item m="1" x="1293"/>
        <item m="1" x="2542"/>
        <item m="1" x="2203"/>
        <item m="1" x="384"/>
        <item m="1" x="655"/>
        <item m="1" x="2822"/>
        <item m="1" x="1317"/>
        <item m="1" x="2030"/>
        <item m="1" x="2290"/>
        <item m="1" x="1254"/>
        <item m="1" x="1229"/>
        <item m="1" x="242"/>
        <item m="1" x="251"/>
        <item m="1" x="1253"/>
        <item m="1" x="1279"/>
        <item m="1" x="826"/>
        <item m="1" x="282"/>
        <item m="1" x="1273"/>
        <item m="1" x="2279"/>
        <item m="1" x="402"/>
        <item m="1" x="1385"/>
        <item m="1" x="2286"/>
        <item m="1" x="2272"/>
        <item m="1" x="1898"/>
        <item m="1" x="1036"/>
        <item m="1" x="52"/>
        <item m="1" x="317"/>
        <item m="1" x="952"/>
        <item m="1" x="812"/>
        <item m="1" x="228"/>
        <item m="1" x="279"/>
        <item sd="0" m="1" x="2546"/>
        <item m="1" x="2600"/>
        <item m="1" x="2448"/>
        <item m="1" x="444"/>
        <item m="1" x="1502"/>
        <item m="1" x="1639"/>
        <item m="1" x="1919"/>
        <item m="1" x="362"/>
        <item sd="0" m="1" x="2519"/>
        <item sd="0" m="1" x="241"/>
        <item sd="0" m="1" x="731"/>
        <item m="1" x="1346"/>
        <item sd="0" m="1" x="2547"/>
        <item sd="0" m="1" x="3001"/>
        <item m="1" x="2769"/>
        <item sd="0" m="1" x="2581"/>
        <item sd="0" m="1" x="191"/>
        <item m="1" x="1936"/>
        <item m="1" x="773"/>
        <item m="1" x="1318"/>
        <item sd="0" m="1" x="2689"/>
        <item m="1" x="1047"/>
        <item m="1" x="1004"/>
        <item m="1" x="1670"/>
        <item m="1" x="1455"/>
        <item m="1" x="2749"/>
        <item sd="0" m="1" x="1045"/>
        <item m="1" x="1701"/>
        <item m="1" x="392"/>
        <item sd="0" m="1" x="625"/>
        <item m="1" x="1727"/>
        <item m="1" x="783"/>
        <item m="1" x="2847"/>
        <item m="1" x="975"/>
        <item m="1" x="70"/>
        <item m="1" x="761"/>
        <item sd="0" m="1" x="1561"/>
        <item m="1" x="2003"/>
        <item sd="0" m="1" x="2939"/>
        <item m="1" x="877"/>
        <item m="1" x="1973"/>
        <item sd="0" m="1" x="1868"/>
        <item sd="0" m="1" x="2066"/>
        <item m="1" x="2574"/>
        <item sd="0" m="1" x="430"/>
        <item sd="0" m="1" x="1929"/>
        <item m="1" x="1894"/>
        <item m="1" x="345"/>
        <item m="1" x="2803"/>
        <item m="1" x="2356"/>
        <item m="1" x="2678"/>
        <item m="1" x="2465"/>
        <item m="1" x="2471"/>
        <item m="1" x="2812"/>
        <item m="1" x="1560"/>
        <item m="1" x="2880"/>
        <item m="1" x="2394"/>
        <item m="1" x="1602"/>
        <item m="1" x="1848"/>
        <item m="1" x="2188"/>
        <item m="1" x="2870"/>
        <item m="1" x="2781"/>
        <item m="1" x="2885"/>
        <item m="1" x="92"/>
        <item m="1" x="2878"/>
        <item m="1" x="1185"/>
        <item m="1" x="798"/>
        <item m="1" x="2095"/>
        <item m="1" x="1755"/>
        <item m="1" x="255"/>
        <item m="1" x="1984"/>
        <item m="1" x="847"/>
        <item m="1" x="896"/>
        <item m="1" x="111"/>
        <item m="1" x="1575"/>
        <item m="1" x="370"/>
        <item m="1" x="544"/>
        <item m="1" x="605"/>
        <item m="1" x="1814"/>
        <item m="1" x="2314"/>
        <item m="1" x="1276"/>
        <item m="1" x="1442"/>
        <item m="1" x="1177"/>
        <item m="1" x="2531"/>
        <item m="1" x="464"/>
        <item m="1" x="2693"/>
        <item m="1" x="2177"/>
        <item m="1" x="1021"/>
        <item m="1" x="532"/>
        <item m="1" x="2782"/>
        <item m="1" x="2063"/>
        <item m="1" x="2486"/>
        <item m="1" x="1626"/>
        <item m="1" x="475"/>
        <item m="1" x="363"/>
        <item m="1" x="1850"/>
        <item m="1" x="1366"/>
        <item m="1" x="1769"/>
        <item m="1" x="1977"/>
        <item m="1" x="87"/>
        <item m="1" x="2243"/>
        <item m="1" x="156"/>
        <item m="1" x="2129"/>
        <item m="1" x="1756"/>
        <item m="1" x="1008"/>
        <item m="1" x="2145"/>
        <item m="1" x="2117"/>
        <item m="1" x="1117"/>
        <item m="1" x="2081"/>
        <item m="1" x="3015"/>
        <item m="1" x="928"/>
        <item m="1" x="894"/>
        <item m="1" x="2736"/>
        <item m="1" x="1644"/>
        <item m="1" x="1785"/>
        <item m="1" x="1789"/>
        <item m="1" x="379"/>
        <item m="1" x="1709"/>
        <item m="1" x="180"/>
        <item m="1" x="1734"/>
        <item m="1" x="224"/>
        <item m="1" x="671"/>
        <item m="1" x="843"/>
        <item m="1" x="2836"/>
        <item m="1" x="2982"/>
        <item m="1" x="203"/>
        <item m="1" x="1780"/>
        <item m="1" x="640"/>
        <item m="1" x="2467"/>
        <item m="1" x="723"/>
        <item m="1" x="2424"/>
        <item m="1" x="980"/>
        <item m="1" x="2790"/>
        <item m="1" x="2886"/>
        <item m="1" x="1786"/>
        <item m="1" x="1933"/>
        <item m="1" x="641"/>
        <item m="1" x="2332"/>
        <item m="1" x="1066"/>
        <item m="1" x="2434"/>
        <item m="1" x="1928"/>
        <item m="1" x="449"/>
        <item m="1" x="2115"/>
        <item m="1" x="2771"/>
        <item m="1" x="892"/>
        <item m="1" x="2376"/>
        <item m="1" x="14"/>
        <item m="1" x="103"/>
        <item m="1" x="2432"/>
        <item m="1" x="2367"/>
        <item m="1" x="2296"/>
        <item m="1" x="1070"/>
        <item m="1" x="1630"/>
        <item m="1" x="341"/>
        <item m="1" x="554"/>
        <item m="1" x="1493"/>
        <item m="1" x="1650"/>
        <item m="1" x="1170"/>
        <item m="1" x="2210"/>
        <item m="1" x="1077"/>
        <item m="1" x="3006"/>
        <item m="1" x="2608"/>
        <item m="1" x="8"/>
        <item m="1" x="470"/>
        <item m="1" x="1822"/>
        <item m="1" x="436"/>
        <item m="1" x="1783"/>
        <item m="1" x="545"/>
        <item m="1" x="2622"/>
        <item m="1" x="1107"/>
        <item m="1" x="2990"/>
        <item m="1" x="2871"/>
        <item m="1" x="2872"/>
        <item m="1" x="1153"/>
        <item m="1" x="2291"/>
        <item m="1" x="1556"/>
        <item m="1" x="2750"/>
        <item m="1" x="1530"/>
        <item m="1" x="2950"/>
        <item m="1" x="1537"/>
        <item m="1" x="1764"/>
        <item m="1" x="1288"/>
        <item m="1" x="125"/>
        <item m="1" x="2116"/>
        <item m="1" x="29"/>
        <item m="1" x="579"/>
        <item m="1" x="1154"/>
        <item m="1" x="1207"/>
        <item m="1" x="110"/>
        <item m="1" x="1803"/>
        <item m="1" x="2725"/>
        <item m="1" x="1151"/>
        <item m="1" x="369"/>
        <item m="1" x="1688"/>
        <item m="1" x="772"/>
        <item m="1" x="918"/>
        <item m="1" x="2619"/>
        <item m="1" x="479"/>
        <item m="1" x="2371"/>
        <item m="1" x="741"/>
        <item m="1" x="2357"/>
        <item m="1" x="960"/>
        <item m="1" x="1809"/>
        <item m="1" x="974"/>
        <item m="1" x="1531"/>
        <item m="1" x="2768"/>
        <item m="1" x="699"/>
        <item m="1" x="2013"/>
        <item m="1" x="1622"/>
        <item m="1" x="1072"/>
        <item m="1" x="4"/>
        <item m="1" x="2134"/>
        <item m="1" x="1986"/>
        <item m="1" x="2580"/>
        <item m="1" x="367"/>
        <item m="1" x="2522"/>
        <item m="1" x="1748"/>
        <item m="1" x="2743"/>
        <item m="1" x="322"/>
        <item m="1" x="2298"/>
        <item m="1" x="1916"/>
        <item m="1" x="1860"/>
        <item m="1" x="1633"/>
        <item m="1" x="730"/>
        <item m="1" x="1956"/>
        <item m="1" x="2306"/>
        <item m="1" x="346"/>
        <item m="1" x="47"/>
        <item m="1" x="368"/>
        <item m="1" x="1987"/>
        <item m="1" x="414"/>
        <item m="1" x="301"/>
        <item m="1" x="971"/>
        <item m="1" x="3019"/>
        <item m="1" x="2548"/>
        <item m="1" x="2412"/>
        <item m="1" x="987"/>
        <item m="1" x="521"/>
        <item m="1" x="2155"/>
        <item m="1" x="998"/>
        <item m="1" x="1562"/>
        <item m="1" x="1841"/>
        <item m="1" x="1410"/>
        <item m="1" x="2168"/>
        <item m="1" x="2931"/>
        <item m="1" x="2318"/>
        <item m="1" x="2993"/>
        <item m="1" x="636"/>
        <item m="1" x="168"/>
        <item m="1" x="2690"/>
        <item m="1" x="1228"/>
        <item m="1" x="2474"/>
        <item m="1" x="1728"/>
        <item m="1" x="725"/>
        <item m="1" x="2585"/>
        <item m="1" x="2438"/>
        <item m="1" x="616"/>
        <item m="1" x="1998"/>
        <item m="1" x="1572"/>
        <item m="1" x="2787"/>
        <item m="1" x="1699"/>
        <item m="1" x="754"/>
        <item m="1" x="2539"/>
        <item m="1" x="1917"/>
        <item m="1" x="2896"/>
        <item m="1" x="1365"/>
        <item m="1" x="791"/>
        <item m="1" x="1146"/>
        <item m="1" x="551"/>
        <item m="1" x="195"/>
        <item m="1" x="1775"/>
        <item m="1" x="1823"/>
        <item m="1" x="1427"/>
        <item m="1" x="2261"/>
        <item m="1" x="42"/>
        <item m="1" x="1826"/>
        <item m="1" x="1233"/>
        <item m="1" x="637"/>
        <item m="1" x="638"/>
        <item m="1" x="2794"/>
        <item m="1" x="2953"/>
        <item m="1" x="38"/>
        <item m="1" x="1508"/>
        <item m="1" x="1636"/>
        <item m="1" x="63"/>
        <item m="1" x="997"/>
        <item m="1" x="2330"/>
        <item m="1" x="553"/>
        <item m="1" x="1303"/>
        <item m="1" x="1675"/>
        <item m="1" x="205"/>
        <item m="1" x="1997"/>
        <item m="1" x="1194"/>
        <item m="1" x="1802"/>
        <item m="1" x="863"/>
        <item m="1" x="608"/>
        <item m="1" x="2501"/>
        <item m="1" x="962"/>
        <item m="1" x="1214"/>
        <item m="1" x="2851"/>
        <item m="1" x="1941"/>
        <item m="1" x="1433"/>
        <item sd="0" m="1" x="820"/>
        <item sd="0" m="1" x="2418"/>
        <item m="1" x="2064"/>
        <item sd="0" m="1" x="2966"/>
        <item sd="0" m="1" x="1749"/>
        <item sd="0" m="1" x="2661"/>
        <item m="1" x="2941"/>
        <item m="1" x="622"/>
        <item m="1" x="1798"/>
        <item m="1" x="893"/>
        <item sd="0" m="1" x="3016"/>
        <item sd="0" m="1" x="1005"/>
        <item m="1" x="2452"/>
        <item sd="0" m="1" x="2610"/>
        <item sd="0" m="1" x="2223"/>
        <item sd="0" m="1" x="961"/>
        <item sd="0" m="1" x="446"/>
        <item m="1" x="2092"/>
        <item m="1" x="816"/>
        <item m="1" x="1708"/>
        <item sd="0" m="1" x="214"/>
        <item sd="0" m="1" x="2650"/>
        <item m="1" x="1937"/>
        <item sd="0" m="1" x="595"/>
        <item sd="0" m="1" x="951"/>
        <item sd="0" m="1" x="401"/>
        <item m="1" x="1779"/>
        <item m="1" x="993"/>
        <item sd="0" m="1" x="834"/>
        <item sd="0" m="1" x="2307"/>
        <item sd="0" m="1" x="1767"/>
        <item m="1" x="1095"/>
        <item sd="0" m="1" x="2362"/>
        <item m="1" x="876"/>
        <item sd="0" m="1" x="1690"/>
        <item m="1" x="2654"/>
        <item m="1" x="307"/>
        <item sd="0" m="1" x="105"/>
        <item sd="0" m="1" x="432"/>
        <item sd="0" m="1" x="236"/>
        <item m="1" x="2677"/>
        <item sd="0" m="1" x="2250"/>
        <item m="1" x="1597"/>
        <item sd="0" m="1" x="2647"/>
        <item m="1" x="1698"/>
        <item sd="0" m="1" x="1744"/>
        <item sd="0" m="1" x="2435"/>
        <item sd="0" m="1" x="2363"/>
        <item sd="0" m="1" x="2171"/>
        <item m="1" x="1853"/>
        <item sd="0" m="1" x="2669"/>
        <item sd="0" m="1" x="558"/>
        <item sd="0" m="1" x="1705"/>
        <item sd="0" m="1" x="609"/>
        <item sd="0" m="1" x="1504"/>
        <item m="1" x="1605"/>
        <item m="1" x="1844"/>
        <item sd="0" m="1" x="28"/>
        <item sd="0" m="1" x="2867"/>
        <item sd="0" m="1" x="2761"/>
        <item sd="0" m="1" x="2798"/>
        <item m="1" x="900"/>
        <item m="1" x="2733"/>
        <item sd="0" m="1" x="1938"/>
        <item sd="0" m="1" x="2489"/>
        <item sd="0" m="1" x="2148"/>
        <item m="1" x="2835"/>
        <item sd="0" m="1" x="2200"/>
        <item m="1" x="377"/>
        <item sd="0" m="1" x="2241"/>
        <item m="1" x="126"/>
        <item m="1" x="2745"/>
        <item sd="0" m="1" x="2051"/>
        <item sd="0" m="1" x="59"/>
        <item m="1" x="2514"/>
        <item m="1" x="967"/>
        <item sd="0" m="1" x="2911"/>
        <item sd="0" m="1" x="2025"/>
        <item sd="0" m="1" x="935"/>
        <item sd="0" m="1" x="1963"/>
        <item sd="0" m="1" x="99"/>
        <item sd="0" m="1" x="1697"/>
        <item sd="0" m="1" x="356"/>
        <item sd="0" m="1" x="1620"/>
        <item sd="0" m="1" x="1098"/>
        <item sd="0" m="1" x="1271"/>
        <item sd="0" m="1" x="1058"/>
        <item sd="0" m="1" x="2057"/>
        <item sd="0" m="1" x="722"/>
        <item sd="0" m="1" x="559"/>
        <item sd="0" m="1" x="732"/>
        <item sd="0" m="1" x="1635"/>
        <item sd="0" m="1" x="2609"/>
        <item m="1" x="1571"/>
        <item sd="0" m="1" x="306"/>
        <item sd="0" m="1" x="1256"/>
        <item sd="0" m="1" x="2778"/>
        <item m="1" x="406"/>
        <item sd="0" m="1" x="2491"/>
        <item m="1" x="1962"/>
        <item sd="0" m="1" x="1796"/>
        <item sd="0" m="1" x="2837"/>
        <item sd="0" m="1" x="442"/>
        <item sd="0" m="1" x="695"/>
        <item m="1" x="2538"/>
        <item m="1" x="2723"/>
        <item sd="0" m="1" x="2061"/>
        <item sd="0" m="1" x="252"/>
        <item m="1" x="959"/>
        <item m="1" x="2124"/>
        <item m="1" x="2395"/>
        <item sd="0" m="1" x="165"/>
        <item sd="0" m="1" x="817"/>
        <item sd="0" m="1" x="2904"/>
        <item sd="0" m="1" x="1165"/>
        <item sd="0" m="1" x="565"/>
        <item sd="0" m="1" x="2751"/>
        <item sd="0" m="1" x="1784"/>
        <item sd="0" m="1" x="872"/>
        <item m="1" x="1323"/>
        <item m="1" x="1464"/>
        <item m="1" x="1655"/>
        <item sd="0" m="1" x="1528"/>
        <item sd="0" m="1" x="1133"/>
        <item sd="0" m="1" x="890"/>
        <item sd="0" m="1" x="2844"/>
        <item sd="0" m="1" x="2868"/>
        <item sd="0" m="1" x="922"/>
        <item sd="0" m="1" x="478"/>
        <item sd="0" m="1" x="94"/>
        <item sd="0" m="1" x="2370"/>
        <item sd="0" m="1" x="437"/>
        <item sd="0" m="1" x="808"/>
        <item m="1" x="1088"/>
        <item sd="0" m="1" x="1733"/>
        <item sd="0" m="1" x="1668"/>
        <item m="1" x="740"/>
        <item sd="0" m="1" x="2185"/>
        <item sd="0" m="1" x="1624"/>
        <item sd="0" m="1" x="1481"/>
        <item sd="0" m="1" x="1158"/>
        <item sd="0" m="1" x="12"/>
        <item sd="0" m="1" x="2869"/>
        <item m="1" x="1382"/>
        <item sd="0" m="1" x="789"/>
        <item sd="0" m="1" x="1825"/>
        <item sd="0" m="1" x="22"/>
        <item sd="0" m="1" x="647"/>
        <item sd="0" m="1" x="2167"/>
        <item sd="0" m="1" x="1619"/>
        <item sd="0" m="1" x="803"/>
        <item m="1" x="2590"/>
        <item sd="0" m="1" x="1102"/>
        <item sd="0" m="1" x="2742"/>
        <item sd="0" m="1" x="1432"/>
        <item sd="0" m="1" x="2642"/>
        <item sd="0" m="1" x="2959"/>
        <item m="1" x="451"/>
        <item sd="0" m="1" x="2231"/>
        <item sd="0" m="1" x="2060"/>
        <item sd="0" m="1" x="1152"/>
        <item sd="0" m="1" x="2287"/>
        <item sd="0" m="1" x="2717"/>
        <item sd="0" m="1" x="842"/>
        <item sd="0" m="1" x="2824"/>
        <item m="1" x="2852"/>
        <item sd="0" m="1" x="717"/>
        <item m="1" x="2239"/>
        <item sd="0" m="1" x="1218"/>
        <item sd="0" m="1" x="633"/>
        <item sd="0" m="1" x="2141"/>
        <item sd="0" m="1" x="1369"/>
        <item sd="0" m="1" x="1606"/>
        <item m="1" x="1768"/>
        <item sd="0" m="1" x="2173"/>
        <item sd="0" m="1" x="749"/>
        <item sd="0" m="1" x="2453"/>
        <item sd="0" m="1" x="2381"/>
        <item sd="0" m="1" x="1396"/>
        <item sd="0" m="1" x="2089"/>
        <item sd="0" m="1" x="698"/>
        <item sd="0" m="1" x="542"/>
        <item sd="0" m="1" x="2419"/>
        <item sd="0" m="1" x="2249"/>
        <item sd="0" m="1" x="1564"/>
        <item sd="0" m="1" x="1198"/>
        <item sd="0" m="1" x="1945"/>
        <item sd="0" m="1" x="2366"/>
        <item sd="0" m="1" x="2408"/>
        <item sd="0" m="1" x="858"/>
        <item sd="0" m="1" x="2198"/>
        <item sd="0" m="1" x="413"/>
        <item sd="0" m="1" x="882"/>
        <item sd="0" m="1" x="1787"/>
        <item m="1" x="1223"/>
        <item m="1" x="685"/>
        <item m="1" x="2664"/>
        <item m="1" x="1811"/>
        <item m="1" x="2655"/>
        <item m="1" x="1521"/>
        <item sd="0" m="1" x="2746"/>
        <item sd="0" m="1" x="473"/>
        <item m="1" x="438"/>
        <item sd="0" m="1" x="1573"/>
        <item sd="0" m="1" x="1625"/>
        <item sd="0" m="1" x="535"/>
        <item m="1" x="1552"/>
        <item sd="0" m="1" x="999"/>
        <item sd="0" m="1" x="2593"/>
        <item sd="0" m="1" x="2007"/>
        <item sd="0" m="1" x="2128"/>
        <item sd="0" m="1" x="1854"/>
        <item sd="0" m="1" x="538"/>
        <item sd="0" m="1" x="243"/>
        <item sd="0" m="1" x="778"/>
        <item sd="0" m="1" x="2460"/>
        <item sd="0" m="1" x="1287"/>
        <item sd="0" m="1" x="489"/>
        <item m="1" x="1674"/>
        <item sd="0" m="1" x="621"/>
        <item sd="0" m="1" x="2277"/>
        <item m="1" x="144"/>
        <item sd="0" m="1" x="2008"/>
        <item sd="0" m="1" x="529"/>
        <item m="1" x="398"/>
        <item m="1" x="2596"/>
        <item m="1" x="2935"/>
        <item m="1" x="2564"/>
        <item m="1" x="697"/>
        <item m="1" x="1274"/>
        <item m="1" x="424"/>
        <item m="1" x="2402"/>
        <item m="1" x="1645"/>
        <item m="1" x="1122"/>
        <item m="1" x="1046"/>
        <item m="1" x="1582"/>
        <item m="1" x="1081"/>
        <item m="1" x="2942"/>
        <item m="1" x="702"/>
        <item m="1" x="1832"/>
        <item m="1" x="2675"/>
        <item m="1" x="399"/>
        <item m="1" x="885"/>
        <item m="1" x="1813"/>
        <item m="1" x="874"/>
        <item m="1" x="550"/>
        <item m="1" x="2454"/>
        <item m="1" x="1993"/>
        <item m="1" x="2598"/>
        <item m="1" x="1227"/>
        <item m="1" x="2184"/>
        <item m="1" x="2222"/>
        <item m="1" x="189"/>
        <item m="1" x="2379"/>
        <item m="1" x="2273"/>
        <item m="1" x="2288"/>
        <item m="1" x="64"/>
        <item m="1" x="1336"/>
        <item m="1" x="787"/>
        <item m="1" x="1495"/>
        <item m="1" x="1422"/>
        <item m="1" x="1985"/>
        <item m="1" x="1652"/>
        <item m="1" x="1518"/>
        <item m="1" x="2500"/>
        <item m="1" x="1751"/>
        <item m="1" x="2901"/>
        <item m="1" x="2832"/>
        <item m="1" x="2864"/>
        <item m="1" x="1321"/>
        <item m="1" x="267"/>
        <item m="1" x="2676"/>
        <item m="1" x="2346"/>
        <item m="1" x="2704"/>
        <item m="1" x="2455"/>
        <item m="1" x="881"/>
        <item m="1" x="680"/>
        <item m="1" x="2150"/>
        <item m="1" x="2139"/>
        <item m="1" x="642"/>
        <item m="1" x="2627"/>
        <item m="1" x="342"/>
        <item m="1" x="1740"/>
        <item m="1" x="793"/>
        <item m="1" x="1540"/>
        <item m="1" x="585"/>
        <item m="1" x="2607"/>
        <item m="1" x="460"/>
        <item m="1" x="668"/>
        <item m="1" x="1874"/>
        <item m="1" x="1875"/>
        <item m="1" x="1617"/>
        <item m="1" x="2304"/>
        <item m="1" x="95"/>
        <item m="1" x="407"/>
        <item m="1" x="2829"/>
        <item m="1" x="2672"/>
        <item m="1" x="2122"/>
        <item m="1" x="1292"/>
        <item m="1" x="415"/>
        <item m="1" x="1951"/>
        <item m="1" x="5"/>
        <item m="1" x="2466"/>
        <item sd="0" m="1" x="746"/>
        <item m="1" x="859"/>
        <item sd="0" m="1" x="192"/>
        <item sd="0" m="1" x="206"/>
        <item m="1" x="1037"/>
        <item sd="0" m="1" x="2815"/>
        <item m="1" x="1162"/>
        <item m="1" x="664"/>
        <item sd="0" m="1" x="1441"/>
        <item sd="0" m="1" x="1472"/>
        <item m="1" x="618"/>
        <item sd="0" m="1" x="2059"/>
        <item sd="0" m="1" x="888"/>
        <item m="1" x="1184"/>
        <item m="1" x="580"/>
        <item m="1" x="2384"/>
        <item sd="0" m="1" x="1852"/>
        <item m="1" x="1110"/>
        <item m="1" x="262"/>
        <item sd="0" m="1" x="2"/>
        <item m="1" x="2706"/>
        <item m="1" x="2873"/>
        <item sd="0" m="1" x="2791"/>
        <item m="1" x="2536"/>
        <item m="1" x="1052"/>
        <item m="1" x="2088"/>
        <item sd="0" m="1" x="2991"/>
        <item m="1" x="69"/>
        <item m="1" x="792"/>
        <item sd="0" m="1" x="441"/>
        <item m="1" x="408"/>
        <item sd="0" m="1" x="780"/>
        <item m="1" x="1379"/>
        <item sd="0" m="1" x="1494"/>
        <item sd="0" m="1" x="646"/>
        <item m="1" x="1148"/>
        <item sd="0" m="1" x="2055"/>
        <item m="1" x="929"/>
        <item m="1" x="1700"/>
        <item m="1" x="393"/>
        <item m="1" x="1394"/>
        <item m="1" x="2204"/>
        <item sd="0" m="1" x="1863"/>
        <item m="1" x="2521"/>
        <item m="1" x="216"/>
        <item m="1" x="1961"/>
        <item sd="0" m="1" x="2802"/>
        <item m="1" x="2679"/>
        <item sd="0" m="1" x="353"/>
        <item sd="0" m="1" x="753"/>
        <item m="1" x="2189"/>
        <item m="1" x="667"/>
        <item m="1" x="229"/>
        <item m="1" x="2071"/>
        <item m="1" x="2114"/>
        <item m="1" x="1927"/>
        <item m="1" x="2144"/>
        <item m="1" x="2234"/>
        <item m="1" x="2197"/>
        <item m="1" x="1367"/>
        <item m="1" x="2143"/>
        <item sd="0" m="1" x="2172"/>
        <item sd="0" m="1" x="1901"/>
        <item sd="0" m="1" x="3008"/>
        <item m="1" x="2576"/>
        <item m="1" x="1799"/>
        <item sd="0" m="1" x="218"/>
        <item sd="0" m="1" x="2943"/>
        <item sd="0" m="1" x="903"/>
        <item sd="0" m="1" x="1794"/>
        <item sd="0" m="1" x="1706"/>
        <item sd="0" m="1" x="819"/>
        <item sd="0" m="1" x="610"/>
        <item sd="0" m="1" x="526"/>
        <item m="1" x="2797"/>
        <item m="1" x="1918"/>
        <item m="1" x="1282"/>
        <item m="1" x="24"/>
        <item sd="0" m="1" x="908"/>
        <item m="1" x="245"/>
        <item sd="0" m="1" x="1505"/>
        <item sd="0" m="1" x="1090"/>
        <item sd="0" m="1" x="6"/>
        <item m="1" x="2838"/>
        <item m="1" x="2228"/>
        <item m="1" x="124"/>
        <item m="1" x="372"/>
        <item m="1" x="709"/>
        <item sd="0" m="1" x="30"/>
        <item sd="0" m="1" x="2090"/>
        <item m="1" x="1425"/>
        <item m="1" x="2130"/>
        <item sd="0" m="1" x="2762"/>
        <item sd="0" m="1" x="2348"/>
        <item m="1" x="2211"/>
        <item m="1" x="1673"/>
        <item m="1" x="1642"/>
        <item m="1" x="902"/>
        <item m="1" x="2253"/>
        <item m="1" x="2331"/>
        <item m="1" x="2709"/>
        <item m="1" x="157"/>
        <item m="1" x="924"/>
        <item m="1" x="1272"/>
        <item m="1" x="1086"/>
        <item m="1" x="2004"/>
        <item sd="0" m="1" x="2052"/>
        <item sd="0" m="1" x="2319"/>
        <item sd="0" m="1" x="1638"/>
        <item m="1" x="2758"/>
        <item m="1" x="2683"/>
        <item m="1" x="2509"/>
        <item sd="0" m="1" x="2912"/>
        <item sd="0" m="1" x="1067"/>
        <item sd="0" m="1" x="1738"/>
        <item sd="0" m="1" x="851"/>
        <item sd="0" m="1" x="2903"/>
        <item m="1" x="938"/>
        <item m="1" x="82"/>
        <item m="1" x="2493"/>
        <item m="1" x="1260"/>
        <item m="1" x="295"/>
        <item m="1" x="292"/>
        <item m="1" x="2065"/>
        <item m="1" x="2326"/>
        <item sd="0" m="1" x="1059"/>
        <item sd="0" m="1" x="130"/>
        <item sd="0" m="1" x="2554"/>
        <item m="1" x="2343"/>
        <item m="1" x="65"/>
        <item m="1" x="1458"/>
        <item m="1" x="3013"/>
        <item sd="0" m="1" x="137"/>
        <item sd="0" m="1" x="1719"/>
        <item m="1" x="2897"/>
        <item sd="0" m="1" x="724"/>
        <item sd="0" m="1" x="612"/>
        <item sd="0" m="1" x="769"/>
        <item sd="0" m="1" x="560"/>
        <item sd="0" m="1" x="765"/>
        <item sd="0" m="1" x="1795"/>
        <item m="1" x="643"/>
        <item sd="0" m="1" x="917"/>
        <item m="1" x="1431"/>
        <item sd="0" m="1" x="1222"/>
        <item m="1" x="100"/>
        <item m="1" x="1730"/>
        <item m="1" x="371"/>
        <item sd="0" m="1" x="492"/>
        <item sd="0" m="1" x="2563"/>
        <item m="1" x="1357"/>
        <item m="1" x="231"/>
        <item sd="0" m="1" x="1797"/>
        <item sd="0" m="1" x="2671"/>
        <item sd="0" m="1" x="1867"/>
        <item sd="0" m="1" x="2113"/>
        <item sd="0" m="1" x="443"/>
        <item sd="0" m="1" x="1829"/>
        <item m="1" x="1646"/>
        <item sd="0" m="1" x="708"/>
        <item sd="0" m="1" x="696"/>
        <item sd="0" m="1" x="1692"/>
        <item m="1" x="1250"/>
        <item m="1" x="2403"/>
        <item sd="0" m="1" x="2062"/>
        <item sd="0" m="1" x="1450"/>
        <item sd="0" m="1" x="253"/>
        <item sd="0" m="1" x="334"/>
        <item m="1" x="2238"/>
        <item m="1" x="1115"/>
        <item m="1" x="797"/>
        <item m="1" x="1553"/>
        <item sd="0" m="1" x="2195"/>
        <item m="1" x="866"/>
        <item sd="0" m="1" x="1774"/>
        <item sd="0" m="1" x="374"/>
        <item m="1" x="454"/>
        <item m="1" x="18"/>
        <item m="1" x="2814"/>
        <item sd="0" m="1" x="1662"/>
        <item m="1" x="828"/>
        <item m="1" x="1173"/>
        <item sd="0" m="1" x="1529"/>
        <item sd="0" m="1" x="913"/>
        <item sd="0" m="1" x="1134"/>
        <item sd="0" m="1" x="2146"/>
        <item sd="0" m="1" x="891"/>
        <item sd="0" m="1" x="1551"/>
        <item sd="0" m="1" x="1680"/>
        <item sd="0" m="1" x="2205"/>
        <item sd="0" m="1" x="2954"/>
        <item sd="0" m="1" x="2131"/>
        <item m="1" x="1971"/>
        <item m="1" x="774"/>
        <item sd="0" m="1" x="480"/>
        <item sd="0" m="1" x="592"/>
        <item sd="0" m="1" x="56"/>
        <item sd="0" m="1" x="1131"/>
        <item sd="0" m="1" x="1020"/>
        <item sd="0" m="1" x="439"/>
        <item m="1" x="234"/>
        <item sd="0" m="1" x="1781"/>
        <item sd="0" m="1" x="982"/>
        <item sd="0" m="1" x="1157"/>
        <item m="1" x="1224"/>
        <item sd="0" m="1" x="1922"/>
        <item sd="0" m="1" x="1343"/>
        <item m="1" x="71"/>
        <item m="1" x="2111"/>
        <item sd="0" m="1" x="1089"/>
        <item sd="0" m="1" x="174"/>
        <item m="1" x="854"/>
        <item sd="0" m="1" x="2603"/>
        <item sd="0" m="1" x="1284"/>
        <item sd="0" m="1" x="2780"/>
        <item m="1" x="166"/>
        <item m="1" x="1390"/>
        <item sd="0" m="1" x="2186"/>
        <item sd="0" m="1" x="1882"/>
        <item sd="0" m="1" x="1627"/>
        <item sd="0" m="1" x="1515"/>
        <item sd="0" m="1" x="1482"/>
        <item sd="0" m="1" x="2841"/>
        <item sd="0" m="1" x="1159"/>
        <item sd="0" m="1" x="313"/>
        <item m="1" x="324"/>
        <item sd="0" m="1" x="2386"/>
        <item sd="0" m="1" x="2955"/>
        <item sd="0" m="1" x="2132"/>
        <item m="1" x="796"/>
        <item m="1" x="2819"/>
        <item m="1" x="2525"/>
        <item sd="0" m="1" x="2828"/>
        <item sd="0" m="1" x="2484"/>
        <item m="1" x="1402"/>
        <item sd="0" m="1" x="351"/>
        <item m="1" x="683"/>
        <item m="1" x="2691"/>
        <item sd="0" m="1" x="2578"/>
        <item sd="0" m="1" x="2427"/>
        <item m="1" x="1210"/>
        <item sd="0" m="1" x="712"/>
        <item sd="0" m="1" x="648"/>
        <item sd="0" m="1" x="2097"/>
        <item sd="0" m="1" x="804"/>
        <item sd="0" m="1" x="2170"/>
        <item sd="0" m="1" x="433"/>
        <item sd="0" m="1" x="628"/>
        <item m="1" x="1195"/>
        <item sd="0" m="1" x="1103"/>
        <item sd="0" m="1" x="2159"/>
        <item m="1" x="823"/>
        <item m="1" x="665"/>
        <item m="1" x="2377"/>
        <item m="1" x="1695"/>
        <item sd="0" m="1" x="2485"/>
        <item m="1" x="88"/>
        <item m="1" x="2965"/>
        <item m="1" x="1879"/>
        <item m="1" x="2656"/>
        <item m="1" x="2764"/>
        <item m="1" x="2665"/>
        <item m="1" x="2079"/>
        <item sd="0" m="1" x="1804"/>
        <item sd="0" m="1" x="1186"/>
        <item m="1" x="2951"/>
        <item sd="0" m="1" x="1782"/>
        <item m="1" x="476"/>
        <item m="1" x="2857"/>
        <item m="1" x="3012"/>
        <item sd="0" m="1" x="1876"/>
        <item sd="0" m="1" x="588"/>
        <item m="1" x="1125"/>
        <item sd="0" m="1" x="142"/>
        <item sd="0" m="1" x="2648"/>
        <item sd="0" m="1" x="1758"/>
        <item sd="0" m="1" x="2524"/>
        <item sd="0" m="1" x="10"/>
        <item sd="0" m="1" x="919"/>
        <item sd="0" m="1" x="2034"/>
        <item sd="0" m="1" x="508"/>
        <item sd="0" m="1" x="1370"/>
        <item sd="0" m="1" x="2916"/>
        <item m="1" x="2839"/>
        <item sd="0" m="1" x="909"/>
        <item sd="0" m="1" x="2840"/>
        <item m="1" x="883"/>
        <item sd="0" m="1" x="767"/>
        <item sd="0" m="1" x="300"/>
        <item sd="0" m="1" x="822"/>
        <item sd="0" m="1" x="910"/>
        <item sd="0" m="1" x="263"/>
        <item sd="0" m="1" x="2382"/>
        <item sd="0" m="1" x="1485"/>
        <item sd="0" m="1" x="2767"/>
        <item sd="0" m="1" x="2997"/>
        <item m="1" x="457"/>
        <item sd="0" m="1" x="650"/>
        <item sd="0" m="1" x="860"/>
        <item sd="0" m="1" x="2674"/>
        <item sd="0" m="1" x="1946"/>
        <item sd="0" m="1" x="700"/>
        <item sd="0" m="1" x="1199"/>
        <item sd="0" m="1" x="2100"/>
        <item sd="0" m="1" x="543"/>
        <item sd="0" m="1" x="37"/>
        <item sd="0" m="1" x="1581"/>
        <item sd="0" m="1" x="2420"/>
        <item sd="0" m="1" x="2773"/>
        <item sd="0" m="1" x="1815"/>
        <item sd="0" m="1" x="1565"/>
        <item sd="0" m="1" x="2086"/>
        <item sd="0" m="1" x="1200"/>
        <item sd="0" m="1" x="1289"/>
        <item sd="0" m="1" x="1947"/>
        <item sd="0" m="1" x="525"/>
        <item sd="0" m="1" x="1166"/>
        <item sd="0" m="1" x="1926"/>
        <item sd="0" m="1" x="1257"/>
        <item m="1" x="2760"/>
        <item sd="0" m="1" x="34"/>
        <item sd="0" m="1" x="1087"/>
        <item sd="0" m="1" x="3010"/>
        <item sd="0" m="1" x="2737"/>
        <item sd="0" m="1" x="1167"/>
        <item m="1" x="1510"/>
        <item m="1" x="735"/>
        <item m="1" x="714"/>
        <item m="1" x="2285"/>
        <item m="1" x="2862"/>
        <item m="1" x="2361"/>
        <item sd="0" m="1" x="2747"/>
        <item sd="0" m="1" x="474"/>
        <item sd="0" m="1" x="514"/>
        <item sd="0" m="1" x="1574"/>
        <item m="1" x="1735"/>
        <item sd="0" m="1" x="536"/>
        <item sd="0" m="1" x="481"/>
        <item sd="0" m="1" x="1628"/>
        <item sd="0" m="1" x="1302"/>
        <item sd="0" m="1" x="1516"/>
        <item sd="0" m="1" x="537"/>
        <item sd="0" m="1" x="294"/>
        <item sd="0" m="1" x="2328"/>
        <item m="1" x="11"/>
        <item sd="0" m="1" x="2849"/>
        <item m="1" x="1687"/>
        <item sd="0" m="1" x="2009"/>
        <item sd="0" m="1" x="2792"/>
        <item m="1" x="1607"/>
        <item sd="0" m="1" x="1855"/>
        <item sd="0" m="1" x="2388"/>
        <item m="1" x="1831"/>
        <item sd="0" m="1" x="244"/>
        <item sd="0" m="1" x="291"/>
        <item sd="0" m="1" x="779"/>
        <item sd="0" m="1" x="1301"/>
        <item sd="0" m="1" x="2232"/>
        <item sd="0" m="1" x="1290"/>
        <item sd="0" m="1" x="2962"/>
        <item m="1" x="359"/>
        <item m="1" x="405"/>
        <item m="1" x="118"/>
        <item m="1" x="2426"/>
        <item m="1" x="2401"/>
        <item m="1" x="1819"/>
        <item m="1" x="809"/>
        <item m="1" x="1717"/>
        <item m="1" x="2972"/>
        <item m="1" x="857"/>
        <item m="1" x="19"/>
        <item m="1" x="563"/>
        <item m="1" x="1423"/>
        <item m="1" x="1913"/>
        <item m="1" x="2908"/>
        <item m="1" x="447"/>
        <item m="1" x="2156"/>
        <item m="1" x="147"/>
        <item m="1" x="2076"/>
        <item m="1" x="2242"/>
        <item m="1" x="912"/>
        <item m="1" x="983"/>
        <item m="1" x="2031"/>
        <item m="1" x="2830"/>
        <item m="1" x="1140"/>
        <item m="1" x="2973"/>
        <item m="1" x="2699"/>
        <item m="1" x="391"/>
        <item m="1" x="1649"/>
        <item m="1" x="1053"/>
        <item m="1" x="1270"/>
        <item m="1" x="2398"/>
        <item m="1" x="1845"/>
        <item m="1" x="1907"/>
        <item m="1" x="425"/>
        <item m="1" x="2799"/>
        <item m="1" x="2058"/>
        <item m="1" x="484"/>
        <item m="1" x="2416"/>
        <item m="1" x="2043"/>
        <item m="1" x="1145"/>
        <item m="1" x="1337"/>
        <item m="1" x="601"/>
        <item m="1" x="2320"/>
        <item m="1" x="923"/>
        <item m="1" x="2451"/>
        <item m="1" x="2054"/>
        <item m="1" x="2948"/>
        <item m="1" x="1940"/>
        <item m="1" x="2375"/>
        <item m="1" x="2856"/>
        <item m="1" x="939"/>
        <item m="1" x="2049"/>
        <item m="1" x="2010"/>
        <item m="1" x="2512"/>
        <item m="1" x="459"/>
        <item m="1" x="2446"/>
        <item m="1" x="540"/>
        <item m="1" x="2875"/>
        <item m="1" x="1281"/>
        <item m="1" x="452"/>
        <item m="1" x="1188"/>
        <item m="1" x="1908"/>
        <item m="1" x="2985"/>
        <item m="1" x="435"/>
        <item m="1" x="645"/>
        <item m="1" x="2774"/>
        <item m="1" x="2001"/>
        <item m="1" x="1557"/>
        <item m="1" x="582"/>
        <item m="1" x="39"/>
        <item m="1" x="1051"/>
        <item m="1" x="956"/>
        <item m="1" x="801"/>
        <item m="1" x="1478"/>
        <item m="1" x="1479"/>
        <item m="1" x="31"/>
        <item m="1" x="1457"/>
        <item m="1" x="1009"/>
        <item m="1" x="208"/>
        <item m="1" x="943"/>
        <item m="1" x="2461"/>
        <item m="1" x="557"/>
        <item m="1" x="1654"/>
        <item m="1" x="2763"/>
        <item m="1" x="1237"/>
        <item m="1" x="67"/>
        <item m="1" x="509"/>
        <item m="1" x="1073"/>
        <item m="1" x="2557"/>
        <item m="1" x="155"/>
        <item m="1" x="2858"/>
        <item m="1" x="2634"/>
        <item m="1" x="2469"/>
        <item m="1" x="1671"/>
        <item m="1" x="1890"/>
        <item m="1" x="1896"/>
        <item m="1" x="716"/>
        <item m="1" x="2987"/>
        <item m="1" x="684"/>
        <item m="1" x="593"/>
        <item m="1" x="520"/>
        <item m="1" x="994"/>
        <item m="1" x="235"/>
        <item m="1" x="2256"/>
        <item m="1" x="619"/>
        <item m="1" x="2194"/>
        <item m="1" x="494"/>
        <item m="1" x="1975"/>
        <item m="1" x="1974"/>
        <item m="1" x="1265"/>
        <item m="1" x="2230"/>
        <item m="1" x="113"/>
        <item m="1" x="161"/>
        <item m="1" x="1550"/>
        <item m="1" x="2428"/>
        <item m="1" x="2163"/>
        <item m="1" x="2494"/>
        <item m="1" x="2169"/>
        <item m="1" x="1765"/>
        <item m="1" x="1872"/>
        <item m="1" x="365"/>
        <item sd="0" m="1" x="2561"/>
        <item m="1" x="2614"/>
        <item m="1" x="1520"/>
        <item m="1" x="448"/>
        <item m="1" x="55"/>
        <item m="1" x="1949"/>
        <item m="1" x="2133"/>
        <item m="1" x="2311"/>
        <item m="1" x="298"/>
        <item m="1" x="1294"/>
        <item sd="0" m="1" x="733"/>
        <item m="1" x="1978"/>
        <item m="1" x="2558"/>
        <item m="1" x="2994"/>
        <item m="1" x="1130"/>
        <item m="1" x="1729"/>
        <item m="1" x="2925"/>
        <item m="1" x="1261"/>
        <item m="1" x="2920"/>
        <item m="1" x="1925"/>
        <item m="1" x="672"/>
        <item m="1" x="2906"/>
        <item m="1" x="611"/>
        <item m="1" x="2975"/>
        <item m="1" x="1579"/>
        <item m="1" x="2302"/>
        <item m="1" x="2884"/>
        <item m="1" x="781"/>
        <item m="1" x="2364"/>
        <item m="1" x="630"/>
        <item m="1" x="2102"/>
        <item m="1" x="1904"/>
        <item m="1" x="970"/>
        <item m="1" x="1311"/>
        <item m="1" x="223"/>
        <item m="1" x="1623"/>
        <item m="1" x="2325"/>
        <item m="1" x="1099"/>
        <item m="1" x="434"/>
        <item m="1" x="568"/>
        <item m="1" x="766"/>
        <item m="1" x="297"/>
        <item m="1" x="2422"/>
        <item m="1" x="2541"/>
        <item m="1" x="2978"/>
        <item m="1" x="2264"/>
        <item m="1" x="868"/>
        <item m="1" x="98"/>
        <item m="1" x="467"/>
        <item m="1" x="2757"/>
        <item m="1" x="2741"/>
        <item m="1" x="1492"/>
        <item m="1" x="1049"/>
        <item m="1" x="1821"/>
        <item m="1" x="1377"/>
        <item m="1" x="2984"/>
        <item m="1" x="1912"/>
        <item m="1" x="2219"/>
        <item m="1" x="2956"/>
        <item m="1" x="2882"/>
        <item m="1" x="2740"/>
        <item m="1" x="1989"/>
        <item m="1" x="1689"/>
        <item m="1" x="21"/>
        <item m="1" x="782"/>
        <item m="1" x="2879"/>
        <item m="1" x="36"/>
        <item m="1" x="490"/>
        <item m="1" x="81"/>
        <item m="1" x="1295"/>
        <item m="1" x="385"/>
        <item m="1" x="2341"/>
        <item m="1" x="547"/>
        <item m="1" x="1420"/>
        <item m="1" x="2685"/>
        <item m="1" x="870"/>
        <item m="1" x="3002"/>
        <item m="1" x="336"/>
        <item m="1" x="1124"/>
        <item m="1" x="1559"/>
        <item m="1" x="2236"/>
        <item m="1" x="2338"/>
        <item m="1" x="1808"/>
        <item m="1" x="1460"/>
        <item m="1" x="1900"/>
        <item m="1" x="1417"/>
        <item m="1" x="1923"/>
        <item m="1" x="2807"/>
        <item m="1" x="1475"/>
        <item m="1" x="1212"/>
        <item m="1" x="945"/>
        <item m="1" x="1658"/>
        <item m="1" x="238"/>
        <item m="1" x="2752"/>
        <item m="1" x="33"/>
        <item m="1" x="1421"/>
        <item m="1" x="848"/>
        <item m="1" x="1206"/>
        <item m="1" x="285"/>
        <item m="1" x="2365"/>
        <item m="1" x="1906"/>
        <item m="1" x="2681"/>
        <item m="1" x="941"/>
        <item m="1" x="2891"/>
        <item m="1" x="2571"/>
        <item m="1" x="159"/>
        <item m="1" x="2516"/>
        <item m="1" x="1548"/>
        <item m="1" x="2820"/>
        <item m="1" x="1006"/>
        <item m="1" x="217"/>
        <item m="1" x="666"/>
        <item m="1" x="2518"/>
        <item m="1" x="2202"/>
        <item m="1" x="1032"/>
        <item m="1" x="1967"/>
        <item m="1" x="1411"/>
        <item m="1" x="1196"/>
        <item m="1" x="1791"/>
        <item m="1" x="904"/>
        <item m="1" x="2898"/>
        <item m="1" x="1466"/>
        <item m="1" x="1587"/>
        <item m="1" x="2015"/>
        <item m="1" x="2936"/>
        <item m="1" x="936"/>
        <item m="1" x="1545"/>
        <item m="1" x="2404"/>
        <item m="1" x="2429"/>
        <item m="1" x="289"/>
        <item m="1" x="2779"/>
        <item m="1" x="2905"/>
        <item m="1" x="2770"/>
        <item m="1" x="227"/>
        <item m="1" x="2120"/>
        <item m="1" x="233"/>
        <item m="1" x="2914"/>
        <item m="1" x="1883"/>
        <item m="1" x="2225"/>
        <item m="1" x="1992"/>
        <item m="1" x="503"/>
        <item m="1" x="1319"/>
        <item m="1" x="2703"/>
        <item m="1" x="2649"/>
        <item m="1" x="431"/>
        <item m="1" x="1983"/>
        <item m="1" x="895"/>
        <item m="1" x="2392"/>
        <item m="1" x="2255"/>
        <item m="1" x="1329"/>
        <item m="1" x="2506"/>
        <item m="1" x="937"/>
        <item m="1" x="1969"/>
        <item m="1" x="221"/>
        <item m="1" x="2572"/>
        <item m="1" x="1437"/>
        <item m="1" x="2389"/>
        <item m="1" x="926"/>
        <item m="1" x="2887"/>
        <item m="1" x="2033"/>
        <item m="1" x="1060"/>
        <item m="1" x="1314"/>
        <item m="1" x="1344"/>
        <item m="1" x="880"/>
        <item m="1" x="1342"/>
        <item m="1" x="2895"/>
        <item m="1" x="2161"/>
        <item m="1" x="886"/>
        <item m="1" x="2075"/>
        <item m="1" x="3009"/>
        <item m="1" x="1509"/>
        <item m="1" x="1278"/>
        <item m="1" x="1187"/>
        <item m="1" x="651"/>
        <item m="1" x="2024"/>
        <item m="1" x="569"/>
        <item m="1" x="2573"/>
        <item m="1" x="502"/>
        <item m="1" x="838"/>
        <item m="1" x="1881"/>
        <item m="1" x="2866"/>
        <item m="1" x="2037"/>
        <item m="1" x="1448"/>
        <item m="1" x="2567"/>
        <item m="1" x="575"/>
        <item m="1" x="2226"/>
        <item m="1" x="1022"/>
        <item m="1" x="2017"/>
        <item m="1" x="2934"/>
        <item m="1" x="2673"/>
        <item m="1" x="1016"/>
        <item m="1" x="2373"/>
        <item m="1" x="296"/>
        <item m="1" x="2890"/>
        <item m="1" x="2019"/>
        <item m="1" x="2023"/>
        <item m="1" x="2863"/>
        <item m="1" x="2577"/>
        <item m="1" x="1092"/>
        <item m="1" x="2337"/>
        <item m="1" x="1683"/>
        <item m="1" x="240"/>
        <item m="1" x="2883"/>
        <item m="1" x="2611"/>
        <item m="1" x="2470"/>
        <item m="1" x="2175"/>
        <item sd="0" m="1" x="1414"/>
        <item m="1" x="1511"/>
        <item m="1" x="337"/>
        <item m="1" x="1374"/>
        <item sd="0" m="1" x="1328"/>
        <item sd="0" m="1" x="2275"/>
        <item sd="0" m="1" x="143"/>
        <item sd="0" m="1" x="2738"/>
        <item sd="0" m="1" x="944"/>
        <item sd="0" m="1" x="2442"/>
        <item m="1" x="2635"/>
        <item sd="0" m="1" x="498"/>
        <item sd="0" m="1" x="212"/>
        <item m="1" x="2929"/>
        <item sd="0" m="1" x="930"/>
        <item m="1" x="841"/>
        <item sd="0" m="1" x="2334"/>
        <item sd="0" m="1" x="1555"/>
        <item sd="0" m="1" x="254"/>
        <item sd="0" m="1" x="689"/>
        <item sd="0" m="1" x="2430"/>
        <item m="1" x="1035"/>
        <item sd="0" m="1" x="2260"/>
        <item sd="0" m="1" x="210"/>
        <item sd="0" m="1" x="2587"/>
        <item sd="0" m="1" x="1995"/>
        <item sd="0" m="1" x="17"/>
        <item sd="0" m="1" x="1491"/>
        <item sd="0" m="1" x="1878"/>
        <item sd="0" m="1" x="1570"/>
        <item m="1" x="412"/>
        <item sd="0" m="1" x="750"/>
        <item sd="0" m="1" x="2853"/>
        <item m="1" x="2477"/>
        <item sd="0" m="1" x="1149"/>
        <item m="1" x="2350"/>
        <item m="1" x="53"/>
        <item sd="0" m="1" x="2734"/>
        <item sd="0" m="1" x="2278"/>
        <item m="1" x="1333"/>
        <item m="1" x="2490"/>
        <item sd="0" m="1" x="1416"/>
        <item sd="0" m="1" x="1208"/>
        <item m="1" x="2396"/>
        <item sd="0" m="1" x="129"/>
        <item sd="0" m="1" x="182"/>
        <item sd="0" m="1" x="421"/>
        <item sd="0" m="1" x="1943"/>
        <item sd="0" m="1" x="54"/>
        <item sd="0" m="1" x="840"/>
        <item sd="0" m="1" x="215"/>
        <item sd="0" m="1" x="706"/>
        <item sd="0" m="1" x="2093"/>
        <item sd="0" m="1" x="84"/>
        <item m="1" x="1259"/>
        <item sd="0" m="1" x="2099"/>
        <item sd="0" m="1" x="1578"/>
        <item sd="0" m="1" x="2390"/>
        <item m="1" x="2777"/>
        <item sd="0" m="1" x="1391"/>
        <item m="1" x="2687"/>
        <item sd="0" m="1" x="1397"/>
        <item sd="0" m="1" x="386"/>
        <item m="1" x="1778"/>
        <item sd="0" m="1" x="1258"/>
        <item sd="0" m="1" x="1444"/>
        <item m="1" x="2579"/>
        <item sd="0" m="1" x="1023"/>
        <item sd="0" m="1" x="48"/>
        <item m="1" x="2682"/>
        <item m="1" x="2833"/>
        <item m="1" x="1499"/>
        <item m="1" x="2468"/>
        <item m="1" x="1519"/>
        <item sd="0" m="1" x="1651"/>
        <item m="1" x="1788"/>
        <item m="1" x="141"/>
        <item m="1" x="965"/>
        <item m="1" x="2021"/>
        <item m="1" x="1313"/>
        <item m="1" x="2405"/>
        <item sd="0" m="1" x="40"/>
        <item m="1" x="1608"/>
        <item m="1" x="2560"/>
        <item m="1" x="2667"/>
        <item m="1" x="1880"/>
        <item sd="0" m="1" x="2684"/>
        <item m="1" x="466"/>
        <item m="1" x="2915"/>
        <item m="1" x="2645"/>
        <item m="1" x="1982"/>
        <item sd="0" m="1" x="2192"/>
        <item sd="0" m="1" x="2662"/>
        <item sd="0" m="1" x="1074"/>
        <item m="1" x="624"/>
        <item m="1" x="1312"/>
        <item m="1" x="2123"/>
        <item m="1" x="2191"/>
        <item m="1" x="395"/>
        <item m="1" x="830"/>
        <item m="1" x="676"/>
        <item m="1" x="305"/>
        <item m="1" x="742"/>
        <item m="1" x="1467"/>
        <item m="1" x="1439"/>
        <item m="1" x="517"/>
        <item m="1" x="571"/>
        <item m="1" x="2414"/>
        <item m="1" x="390"/>
        <item m="1" x="2823"/>
        <item m="1" x="2666"/>
        <item m="1" x="1031"/>
        <item m="1" x="2566"/>
        <item m="1" x="1710"/>
        <item m="1" x="2715"/>
        <item m="1" x="2252"/>
        <item m="1" x="268"/>
        <item m="1" x="958"/>
        <item m="1" x="2215"/>
        <item m="1" x="897"/>
        <item m="1" x="656"/>
        <item m="1" x="775"/>
        <item m="1" x="2400"/>
        <item m="1" x="1489"/>
        <item m="1" x="2335"/>
        <item sd="0" m="1" x="591"/>
        <item m="1" x="1443"/>
        <item m="1" x="1426"/>
        <item m="1" x="2118"/>
        <item m="1" x="162"/>
        <item m="1" x="2458"/>
        <item m="1" x="2201"/>
        <item m="1" x="2372"/>
        <item m="1" x="396"/>
        <item m="1" x="1541"/>
        <item m="1" x="411"/>
        <item m="1" x="148"/>
        <item m="1" x="878"/>
        <item m="1" x="26"/>
        <item m="1" x="2701"/>
        <item m="1" x="1678"/>
        <item m="1" x="2621"/>
        <item m="1" x="995"/>
        <item m="1" x="1078"/>
        <item m="1" x="2744"/>
        <item m="1" x="2910"/>
        <item m="1" x="2753"/>
        <item m="1" x="1877"/>
        <item m="1" x="2570"/>
        <item m="1" x="134"/>
        <item m="1" x="1354"/>
        <item m="1" x="361"/>
        <item m="1" x="1026"/>
        <item m="1" x="524"/>
        <item m="1" x="1419"/>
        <item m="1" x="2187"/>
        <item m="1" x="1120"/>
        <item m="1" x="178"/>
        <item m="1" x="1584"/>
        <item m="1" x="677"/>
        <item m="1" x="2165"/>
        <item m="1" x="1567"/>
        <item m="1" x="293"/>
        <item m="1" x="1325"/>
        <item m="1" x="1267"/>
        <item m="1" x="153"/>
        <item m="1" x="898"/>
        <item m="1" x="1865"/>
        <item m="1" x="1193"/>
        <item m="1" x="1507"/>
        <item m="1" x="1999"/>
        <item m="1" x="27"/>
        <item m="1" x="555"/>
        <item m="1" x="2653"/>
        <item m="1" x="1899"/>
        <item m="1" x="1914"/>
        <item m="1" x="2694"/>
        <item m="1" x="2615"/>
        <item m="1" x="269"/>
        <item m="1" x="2854"/>
        <item m="1" x="736"/>
        <item m="1" x="2248"/>
        <item m="1" x="2263"/>
        <item m="1" x="428"/>
        <item m="1" x="80"/>
        <item m="1" x="2766"/>
        <item m="1" x="2006"/>
        <item m="1" x="1632"/>
        <item m="1" x="634"/>
        <item m="1" x="2483"/>
        <item m="1" x="504"/>
        <item m="1" x="2562"/>
        <item m="1" x="2786"/>
        <item sd="0" m="1" x="2251"/>
        <item m="1" x="861"/>
        <item sd="0" m="1" x="2727"/>
        <item sd="0" m="1" x="74"/>
        <item sd="0" m="1" x="2899"/>
        <item sd="0" m="1" x="2355"/>
        <item sd="0" m="1" x="1942"/>
        <item sd="0" m="1" x="1236"/>
        <item sd="0" m="1" x="715"/>
        <item m="1" x="2591"/>
        <item sd="0" m="1" x="759"/>
        <item sd="0" m="1" x="1178"/>
        <item m="1" x="862"/>
        <item sd="0" m="1" x="1598"/>
        <item m="1" x="2176"/>
        <item sd="0" m="1" x="1213"/>
        <item m="1" x="1238"/>
        <item sd="0" m="1" x="199"/>
        <item sd="0" m="1" x="2651"/>
        <item sd="0" m="1" x="1408"/>
        <item sd="0" m="1" x="534"/>
        <item sd="0" m="1" x="519"/>
        <item sd="0" m="1" x="1383"/>
        <item sd="0" m="1" x="690"/>
        <item sd="0" m="1" x="387"/>
        <item m="1" x="2821"/>
        <item sd="0" m="1" x="1731"/>
        <item m="1" x="2809"/>
        <item sd="0" m="1" x="850"/>
        <item sd="0" m="1" x="2340"/>
        <item sd="0" m="1" x="461"/>
        <item m="1" x="2659"/>
        <item sd="0" m="1" x="1656"/>
        <item sd="0" m="1" x="264"/>
        <item sd="0" m="1" x="713"/>
        <item sd="0" m="1" x="1580"/>
        <item sd="0" m="1" x="785"/>
        <item sd="0" m="1" x="2995"/>
        <item sd="0" m="1" x="453"/>
        <item sd="0" m="1" x="600"/>
        <item sd="0" m="1" x="1959"/>
        <item sd="0" m="1" x="2000"/>
        <item m="1" x="1547"/>
        <item sd="0" m="1" x="2508"/>
        <item sd="0" m="1" x="2718"/>
        <item m="1" x="1341"/>
        <item sd="0" m="1" x="2301"/>
        <item m="1" x="184"/>
        <item sd="0" m="1" x="456"/>
        <item m="1" x="756"/>
        <item sd="0" m="1" x="1380"/>
        <item sd="0" m="1" x="2505"/>
        <item sd="0" m="1" x="2040"/>
        <item sd="0" m="1" x="1038"/>
        <item m="1" x="790"/>
        <item m="1" x="889"/>
        <item sd="0" m="1" x="1126"/>
        <item m="1" x="2569"/>
        <item m="1" x="1446"/>
        <item sd="0" m="1" x="2644"/>
        <item sd="0" m="1" x="522"/>
        <item sd="0" m="1" x="1817"/>
        <item sd="0" m="1" x="194"/>
        <item sd="0" m="1" x="1532"/>
        <item sd="0" m="1" x="2913"/>
        <item sd="0" m="1" x="501"/>
        <item sd="0" m="1" x="516"/>
        <item sd="0" m="1" x="1050"/>
        <item sd="0" m="1" x="1155"/>
        <item sd="0" m="1" x="2354"/>
        <item sd="0" m="1" x="1239"/>
        <item sd="0" m="1" x="2889"/>
        <item sd="0" m="1" x="1014"/>
        <item sd="0" m="1" x="1230"/>
        <item sd="0" m="1" x="2151"/>
        <item m="1" x="1665"/>
        <item sd="0" m="1" x="1477"/>
        <item sd="0" m="1" x="1277"/>
        <item sd="0" m="1" x="497"/>
        <item sd="0" m="1" x="202"/>
        <item sd="0" m="1" x="1603"/>
        <item sd="0" m="1" x="2449"/>
        <item sd="0" m="1" x="1640"/>
        <item m="1" x="1488"/>
        <item sd="0" m="1" x="2534"/>
        <item m="1" x="2374"/>
        <item sd="0" m="1" x="1104"/>
        <item sd="0" m="1" x="2845"/>
        <item m="1" x="1307"/>
        <item sd="0" m="1" x="2888"/>
        <item m="1" x="1931"/>
        <item m="1" x="669"/>
        <item sd="0" m="1" x="2588"/>
        <item sd="0" m="1" x="122"/>
        <item m="1" x="259"/>
        <item m="1" x="1968"/>
        <item m="1" x="906"/>
        <item m="1" x="1549"/>
        <item m="1" x="1362"/>
        <item sd="0" m="1" x="844"/>
        <item m="1" x="2142"/>
        <item sd="0" m="1" x="1682"/>
        <item m="1" x="2070"/>
        <item sd="0" m="1" x="49"/>
        <item sd="0" m="1" x="281"/>
        <item m="1" x="586"/>
        <item m="1" x="15"/>
        <item m="1" x="990"/>
        <item m="1" x="911"/>
        <item m="1" x="426"/>
        <item m="1" x="2212"/>
        <item m="1" x="1428"/>
        <item m="1" x="2119"/>
        <item m="1" x="1018"/>
        <item m="1" x="1161"/>
        <item m="1" x="2754"/>
        <item m="1" x="2437"/>
        <item sd="0" m="1" x="41"/>
        <item sd="0" m="1" x="2289"/>
        <item m="1" x="2347"/>
        <item m="1" x="187"/>
        <item m="1" x="1828"/>
        <item m="1" x="1030"/>
        <item sd="0" m="1" x="2686"/>
        <item sd="0" m="1" x="2265"/>
        <item m="1" x="1216"/>
        <item m="1" x="1221"/>
        <item m="1" x="106"/>
        <item m="1" x="1452"/>
        <item m="1" x="1857"/>
        <item sd="0" m="1" x="2825"/>
        <item sd="0" m="1" x="2193"/>
        <item sd="0" m="1" x="2544"/>
        <item sd="0" m="1" x="745"/>
        <item sd="0" m="1" x="1741"/>
        <item sd="0" m="1" x="2808"/>
        <item sd="0" m="1" x="2269"/>
        <item sd="0" m="1" x="635"/>
        <item sd="0" m="1" x="2848"/>
        <item sd="0" m="1" x="1742"/>
        <item sd="0" m="1" x="2515"/>
        <item m="1" x="1864"/>
        <item sd="0" m="1" x="1075"/>
        <item sd="0" m="1" x="86"/>
        <item m="1" x="2101"/>
        <item m="1" x="158"/>
        <item m="1" x="2907"/>
        <item m="1" x="500"/>
        <item m="1" x="505"/>
        <item m="1" x="1322"/>
        <item m="1" x="726"/>
        <item m="1" x="1523"/>
        <item m="1" x="887"/>
        <item m="1" x="1019"/>
        <item m="1" x="2722"/>
        <item m="1" x="1266"/>
        <item m="1" x="2305"/>
        <item m="1" x="1859"/>
        <item m="1" x="2663"/>
        <item m="1" x="2827"/>
        <item m="1" x="1514"/>
        <item m="1" x="578"/>
        <item m="1" x="2409"/>
        <item m="1" x="2358"/>
        <item m="1" x="2014"/>
        <item m="1" x="354"/>
        <item m="1" x="277"/>
        <item m="1" x="953"/>
        <item m="1" x="51"/>
        <item m="1" x="721"/>
        <item m="1" x="1403"/>
        <item m="1" x="2199"/>
        <item m="1" x="246"/>
        <item m="1" x="2333"/>
        <item m="1" x="1773"/>
        <item m="1" x="2162"/>
        <item m="1" x="711"/>
        <item m="1" x="764"/>
        <item m="1" x="2989"/>
        <item m="1" x="109"/>
        <item m="1" x="167"/>
        <item m="1" x="350"/>
        <item m="1" x="2963"/>
        <item m="1" x="249"/>
        <item m="1" x="2439"/>
        <item m="1" x="73"/>
        <item m="1" x="3007"/>
        <item m="1" x="2964"/>
        <item m="1" x="1069"/>
        <item m="1" x="1298"/>
        <item m="1" x="2138"/>
        <item m="1" x="2861"/>
        <item m="1" x="193"/>
        <item m="1" x="1387"/>
        <item m="1" x="2772"/>
        <item m="1" x="1743"/>
        <item m="1" x="1866"/>
        <item m="1" x="1994"/>
        <item m="1" x="2218"/>
        <item m="1" x="2549"/>
        <item m="1" x="871"/>
        <item m="1" x="602"/>
        <item m="1" x="1885"/>
        <item m="1" x="1604"/>
        <item m="1" x="1563"/>
        <item m="1" x="590"/>
        <item m="1" x="691"/>
        <item m="1" x="1591"/>
        <item m="1" x="1324"/>
        <item m="1" x="1663"/>
        <item m="1" x="915"/>
        <item m="1" x="1753"/>
        <item m="1" x="1661"/>
        <item m="1" x="2874"/>
        <item m="1" x="1858"/>
        <item m="1" x="2510"/>
        <item m="1" x="332"/>
        <item m="1" x="2369"/>
        <item m="1" x="2559"/>
        <item m="1" x="1920"/>
        <item m="1" x="2324"/>
        <item m="1" x="1807"/>
        <item m="1" x="1430"/>
        <item m="1" x="533"/>
        <item m="1" x="1068"/>
        <item m="1" x="338"/>
        <item m="1" x="316"/>
        <item m="1" x="1812"/>
        <item m="1" x="1884"/>
        <item m="1" x="678"/>
        <item m="1" x="2336"/>
        <item m="1" x="2126"/>
        <item m="1" x="744"/>
        <item m="1" x="2617"/>
        <item m="1" x="776"/>
        <item m="1" x="117"/>
        <item m="1" x="2069"/>
        <item m="1" x="1761"/>
        <item m="1" x="837"/>
        <item m="1" x="89"/>
        <item m="1" x="1063"/>
        <item m="1" x="865"/>
        <item m="1" x="1334"/>
        <item m="1" x="2902"/>
        <item m="1" x="589"/>
        <item m="1" x="1451"/>
        <item m="1" x="1386"/>
        <item m="1" x="1057"/>
        <item m="1" x="418"/>
        <item m="1" x="603"/>
        <item m="1" x="1461"/>
        <item m="1" x="620"/>
        <item m="1" x="427"/>
        <item m="1" x="849"/>
        <item m="1" x="743"/>
        <item m="1" x="2385"/>
        <item m="1" x="1583"/>
        <item m="1" x="946"/>
        <item m="1" x="644"/>
        <item m="1" x="679"/>
        <item m="1" x="940"/>
        <item m="1" x="1137"/>
        <item m="1" x="139"/>
        <item m="1" x="1476"/>
        <item m="1" x="2217"/>
        <item m="1" x="2042"/>
        <item m="1" x="1093"/>
        <item m="1" x="2127"/>
        <item m="1" x="2855"/>
        <item sd="0" x="0"/>
        <item t="default" sd="0"/>
      </items>
    </pivotField>
    <pivotField axis="axisPage" multipleItemSelectionAllowed="1" showAll="0">
      <items count="33">
        <item m="1" x="21"/>
        <item m="1" x="4"/>
        <item m="1" x="31"/>
        <item m="1" x="26"/>
        <item m="1" x="6"/>
        <item m="1" x="24"/>
        <item m="1" x="18"/>
        <item m="1" x="7"/>
        <item m="1" x="27"/>
        <item x="0"/>
        <item m="1" x="22"/>
        <item m="1" x="2"/>
        <item m="1" x="13"/>
        <item m="1" x="19"/>
        <item m="1" x="1"/>
        <item m="1" x="5"/>
        <item m="1" x="11"/>
        <item m="1" x="8"/>
        <item m="1" x="25"/>
        <item m="1" x="29"/>
        <item m="1" x="20"/>
        <item m="1" x="10"/>
        <item m="1" x="30"/>
        <item m="1" x="17"/>
        <item m="1" x="28"/>
        <item m="1" x="3"/>
        <item m="1" x="9"/>
        <item m="1" x="15"/>
        <item m="1" x="14"/>
        <item m="1" x="12"/>
        <item m="1" x="23"/>
        <item m="1" x="16"/>
        <item t="default"/>
      </items>
    </pivotField>
    <pivotField axis="axisPage" multipleItemSelectionAllowed="1" showAll="0">
      <items count="28">
        <item m="1" x="10"/>
        <item m="1" x="11"/>
        <item m="1" x="13"/>
        <item m="1" x="23"/>
        <item m="1" x="4"/>
        <item x="0"/>
        <item m="1" x="21"/>
        <item m="1" x="25"/>
        <item m="1" x="2"/>
        <item m="1" x="8"/>
        <item m="1" x="9"/>
        <item m="1" x="17"/>
        <item m="1" x="3"/>
        <item m="1" x="7"/>
        <item m="1" x="18"/>
        <item m="1" x="26"/>
        <item m="1" x="22"/>
        <item m="1" x="5"/>
        <item m="1" x="19"/>
        <item m="1" x="24"/>
        <item m="1" x="1"/>
        <item m="1" x="6"/>
        <item m="1" x="12"/>
        <item m="1" x="14"/>
        <item m="1" x="20"/>
        <item m="1" x="15"/>
        <item m="1" x="16"/>
        <item t="default"/>
      </items>
    </pivotField>
    <pivotField axis="axisPage" showAll="0">
      <items count="2381">
        <item m="1" x="282"/>
        <item m="1" x="2353"/>
        <item m="1" x="264"/>
        <item m="1" x="1719"/>
        <item m="1" x="2013"/>
        <item m="1" x="228"/>
        <item m="1" x="518"/>
        <item m="1" x="721"/>
        <item m="1" x="1016"/>
        <item m="1" x="1170"/>
        <item m="1" x="112"/>
        <item m="1" x="978"/>
        <item m="1" x="1280"/>
        <item m="1" x="1420"/>
        <item m="1" x="1573"/>
        <item m="1" x="1710"/>
        <item m="1" x="1861"/>
        <item m="1" x="2005"/>
        <item m="1" x="1671"/>
        <item m="1" x="1824"/>
        <item m="1" x="1000"/>
        <item m="1" x="2099"/>
        <item m="1" x="2177"/>
        <item m="1" x="96"/>
        <item m="1" x="240"/>
        <item m="1" x="458"/>
        <item m="1" x="1183"/>
        <item m="1" x="2203"/>
        <item m="1" x="2279"/>
        <item m="1" x="52"/>
        <item m="1" x="122"/>
        <item m="1" x="197"/>
        <item m="1" x="266"/>
        <item m="1" x="337"/>
        <item m="1" x="408"/>
        <item m="1" x="484"/>
        <item m="1" x="557"/>
        <item m="1" x="1360"/>
        <item m="1" x="1433"/>
        <item m="1" x="1507"/>
        <item m="1" x="1582"/>
        <item m="1" x="2015"/>
        <item m="1" x="2086"/>
        <item m="1" x="2163"/>
        <item m="1" x="2241"/>
        <item m="1" x="2316"/>
        <item m="1" x="11"/>
        <item m="1" x="83"/>
        <item m="1" x="158"/>
        <item m="1" x="659"/>
        <item m="1" x="728"/>
        <item m="1" x="809"/>
        <item m="1" x="875"/>
        <item m="1" x="949"/>
        <item m="1" x="1022"/>
        <item m="1" x="1101"/>
        <item m="1" x="1175"/>
        <item m="1" x="1251"/>
        <item m="1" x="1323"/>
        <item m="1" x="1394"/>
        <item m="1" x="1466"/>
        <item m="1" x="1544"/>
        <item m="1" x="1614"/>
        <item m="1" x="1683"/>
        <item m="1" x="1758"/>
        <item m="1" x="1834"/>
        <item m="1" x="2349"/>
        <item m="1" x="118"/>
        <item m="1" x="193"/>
        <item m="1" x="261"/>
        <item m="1" x="332"/>
        <item m="1" x="404"/>
        <item m="1" x="480"/>
        <item m="1" x="551"/>
        <item m="1" x="624"/>
        <item m="1" x="688"/>
        <item m="1" x="764"/>
        <item m="1" x="842"/>
        <item m="1" x="913"/>
        <item m="1" x="983"/>
        <item m="1" x="1058"/>
        <item m="1" x="1210"/>
        <item m="1" x="1284"/>
        <item m="1" x="1356"/>
        <item m="1" x="1427"/>
        <item m="1" x="1505"/>
        <item m="1" x="1579"/>
        <item m="1" x="1646"/>
        <item m="1" x="1716"/>
        <item m="1" x="1867"/>
        <item m="1" x="1936"/>
        <item m="1" x="2010"/>
        <item m="1" x="6"/>
        <item m="1" x="78"/>
        <item m="1" x="154"/>
        <item m="1" x="226"/>
        <item m="1" x="296"/>
        <item m="1" x="1095"/>
        <item m="1" x="1171"/>
        <item m="1" x="1246"/>
        <item m="1" x="1318"/>
        <item m="1" x="1678"/>
        <item m="1" x="1463"/>
        <item m="1" x="1830"/>
        <item m="1" x="1897"/>
        <item m="1" x="2345"/>
        <item m="1" x="1"/>
        <item m="1" x="328"/>
        <item m="1" x="189"/>
        <item m="1" x="399"/>
        <item m="1" x="366"/>
        <item m="1" x="256"/>
        <item m="1" x="44"/>
        <item m="1" x="1511"/>
        <item m="1" x="293"/>
        <item m="1" x="1607"/>
        <item m="1" x="129"/>
        <item m="1" x="788"/>
        <item m="1" x="1919"/>
        <item m="1" x="1882"/>
        <item m="1" x="93"/>
        <item m="1" x="2303"/>
        <item m="1" x="2092"/>
        <item m="1" x="2159"/>
        <item m="1" x="1755"/>
        <item m="1" x="4"/>
        <item m="1" x="439"/>
        <item m="1" x="477"/>
        <item m="1" x="1451"/>
        <item m="1" x="956"/>
        <item m="1" x="879"/>
        <item m="1" x="547"/>
        <item m="1" x="56"/>
        <item m="1" x="723"/>
        <item m="1" x="587"/>
        <item m="1" x="441"/>
        <item m="1" x="515"/>
        <item m="1" x="620"/>
        <item m="1" x="1180"/>
        <item m="1" x="1469"/>
        <item m="1" x="1761"/>
        <item m="1" x="586"/>
        <item m="1" x="805"/>
        <item m="1" x="870"/>
        <item m="1" x="1675"/>
        <item m="1" x="1281"/>
        <item m="1" x="1971"/>
        <item m="1" x="941"/>
        <item m="1" x="186"/>
        <item m="1" x="1450"/>
        <item m="1" x="2154"/>
        <item m="1" x="1243"/>
        <item m="1" x="1422"/>
        <item m="1" x="222"/>
        <item m="1" x="1314"/>
        <item m="1" x="1093"/>
        <item m="1" x="908"/>
        <item m="1" x="1958"/>
        <item m="1" x="1612"/>
        <item m="1" x="1712"/>
        <item m="1" x="41"/>
        <item m="1" x="980"/>
        <item m="1" x="2305"/>
        <item m="1" x="1052"/>
        <item m="1" x="1966"/>
        <item m="1" x="1575"/>
        <item m="1" x="502"/>
        <item m="1" x="1168"/>
        <item m="1" x="1206"/>
        <item m="1" x="147"/>
        <item m="1" x="1129"/>
        <item m="1" x="363"/>
        <item m="1" x="617"/>
        <item m="1" x="650"/>
        <item m="1" x="680"/>
        <item m="1" x="581"/>
        <item m="1" x="396"/>
        <item m="1" x="435"/>
        <item m="1" x="474"/>
        <item m="1" x="509"/>
        <item m="1" x="545"/>
        <item m="1" x="718"/>
        <item m="1" x="756"/>
        <item m="1" x="800"/>
        <item m="1" x="836"/>
        <item m="1" x="866"/>
        <item m="1" x="938"/>
        <item m="1" x="976"/>
        <item m="1" x="905"/>
        <item m="1" x="1011"/>
        <item m="1" x="1049"/>
        <item m="1" x="1090"/>
        <item m="1" x="1165"/>
        <item m="1" x="1127"/>
        <item m="1" x="1278"/>
        <item m="1" x="1203"/>
        <item m="1" x="1240"/>
        <item m="1" x="1526"/>
        <item m="1" x="1878"/>
        <item m="1" x="1347"/>
        <item m="1" x="1311"/>
        <item m="1" x="368"/>
        <item m="1" x="1384"/>
        <item m="1" x="1458"/>
        <item m="1" x="1497"/>
        <item m="1" x="1418"/>
        <item m="1" x="1536"/>
        <item m="1" x="1571"/>
        <item m="1" x="1709"/>
        <item m="1" x="1748"/>
        <item m="1" x="1788"/>
        <item m="1" x="1637"/>
        <item m="1" x="1673"/>
        <item m="1" x="1605"/>
        <item m="1" x="1929"/>
        <item m="1" x="1968"/>
        <item m="1" x="2004"/>
        <item m="1" x="2041"/>
        <item m="1" x="2113"/>
        <item m="1" x="2076"/>
        <item m="1" x="2150"/>
        <item m="1" x="2267"/>
        <item m="1" x="2190"/>
        <item m="1" x="2227"/>
        <item m="1" x="2339"/>
        <item m="1" x="38"/>
        <item m="1" x="2377"/>
        <item m="1" x="218"/>
        <item m="1" x="251"/>
        <item m="1" x="70"/>
        <item m="1" x="108"/>
        <item m="1" x="144"/>
        <item m="1" x="359"/>
        <item m="1" x="324"/>
        <item m="1" x="288"/>
        <item m="1" x="393"/>
        <item m="1" x="753"/>
        <item m="1" x="432"/>
        <item m="1" x="471"/>
        <item m="1" x="796"/>
        <item m="1" x="833"/>
        <item m="1" x="863"/>
        <item m="1" x="936"/>
        <item m="1" x="1237"/>
        <item m="1" x="1046"/>
        <item m="1" x="1124"/>
        <item m="1" x="1275"/>
        <item m="1" x="973"/>
        <item m="1" x="1200"/>
        <item m="1" x="1308"/>
        <item m="1" x="1162"/>
        <item m="1" x="1086"/>
        <item m="1" x="1344"/>
        <item m="1" x="1534"/>
        <item m="1" x="1857"/>
        <item m="1" x="1892"/>
        <item m="1" x="1634"/>
        <item m="1" x="1785"/>
        <item m="1" x="1217"/>
        <item m="1" x="1566"/>
        <item m="1" x="1382"/>
        <item m="1" x="1745"/>
        <item m="1" x="595"/>
        <item m="1" x="1670"/>
        <item m="1" x="1706"/>
        <item m="1" x="1822"/>
        <item m="1" x="1964"/>
        <item m="1" x="246"/>
        <item m="1" x="2001"/>
        <item m="1" x="2038"/>
        <item m="1" x="1926"/>
        <item m="1" x="2073"/>
        <item m="1" x="216"/>
        <item m="1" x="286"/>
        <item m="1" x="322"/>
        <item m="1" x="429"/>
        <item m="1" x="468"/>
        <item m="1" x="505"/>
        <item m="1" x="900"/>
        <item m="1" x="933"/>
        <item m="1" x="105"/>
        <item m="1" x="2299"/>
        <item m="1" x="751"/>
        <item m="1" x="2336"/>
        <item m="1" x="793"/>
        <item m="1" x="576"/>
        <item m="1" x="831"/>
        <item m="1" x="2109"/>
        <item m="1" x="1234"/>
        <item m="1" x="1272"/>
        <item m="1" x="2374"/>
        <item m="1" x="970"/>
        <item m="1" x="1197"/>
        <item m="1" x="1042"/>
        <item m="1" x="1083"/>
        <item m="1" x="1007"/>
        <item m="1" x="1305"/>
        <item m="1" x="1341"/>
        <item m="1" x="1121"/>
        <item m="1" x="1160"/>
        <item m="1" x="2187"/>
        <item m="1" x="613"/>
        <item m="1" x="2224"/>
        <item m="1" x="646"/>
        <item m="1" x="2263"/>
        <item m="1" x="677"/>
        <item m="1" x="34"/>
        <item m="1" x="392"/>
        <item m="1" x="2146"/>
        <item m="1" x="713"/>
        <item m="1" x="1781"/>
        <item m="1" x="1379"/>
        <item m="1" x="1819"/>
        <item m="1" x="1667"/>
        <item m="1" x="1856"/>
        <item m="1" x="1454"/>
        <item m="1" x="1703"/>
        <item m="1" x="1529"/>
        <item m="1" x="1564"/>
        <item m="1" x="103"/>
        <item m="1" x="139"/>
        <item m="1" x="32"/>
        <item m="1" x="66"/>
        <item m="1" x="2333"/>
        <item m="1" x="2370"/>
        <item m="1" x="2220"/>
        <item m="1" x="1890"/>
        <item m="1" x="2070"/>
        <item m="1" x="2105"/>
        <item m="1" x="2142"/>
        <item m="1" x="2184"/>
        <item m="1" x="2296"/>
        <item m="1" x="2262"/>
        <item m="1" x="1961"/>
        <item m="1" x="1999"/>
        <item m="1" x="181"/>
        <item m="1" x="2037"/>
        <item m="1" x="214"/>
        <item m="1" x="283"/>
        <item m="1" x="354"/>
        <item m="1" x="319"/>
        <item m="1" x="542"/>
        <item m="1" x="466"/>
        <item m="1" x="427"/>
        <item m="1" x="503"/>
        <item m="1" x="574"/>
        <item m="1" x="644"/>
        <item m="1" x="676"/>
        <item m="1" x="711"/>
        <item m="1" x="750"/>
        <item m="1" x="791"/>
        <item m="1" x="932"/>
        <item m="1" x="1082"/>
        <item m="1" x="1452"/>
        <item m="1" x="1414"/>
        <item m="1" x="1157"/>
        <item m="1" x="1196"/>
        <item m="1" x="1233"/>
        <item m="1" x="1378"/>
        <item m="1" x="1303"/>
        <item m="1" x="1271"/>
        <item m="1" x="1340"/>
        <item m="1" x="1490"/>
        <item m="1" x="1528"/>
        <item m="1" x="2104"/>
        <item m="1" x="2369"/>
        <item m="1" x="180"/>
        <item m="1" x="1998"/>
        <item m="1" x="1855"/>
        <item m="1" x="31"/>
        <item m="1" x="1818"/>
        <item m="1" x="65"/>
        <item m="1" x="2261"/>
        <item m="1" x="138"/>
        <item m="1" x="2035"/>
        <item m="1" x="2068"/>
        <item m="1" x="1780"/>
        <item m="1" x="102"/>
        <item m="1" x="2219"/>
        <item m="1" x="1960"/>
        <item m="1" x="2182"/>
        <item m="1" x="2331"/>
        <item m="1" x="2295"/>
        <item m="1" x="213"/>
        <item m="1" x="247"/>
        <item m="1" x="281"/>
        <item m="1" x="353"/>
        <item m="1" x="318"/>
        <item m="1" x="611"/>
        <item m="1" x="389"/>
        <item m="1" x="541"/>
        <item m="1" x="675"/>
        <item m="1" x="710"/>
        <item m="1" x="931"/>
        <item m="1" x="897"/>
        <item m="1" x="858"/>
        <item m="1" x="828"/>
        <item m="1" x="749"/>
        <item m="1" x="790"/>
        <item m="1" x="967"/>
        <item m="1" x="1041"/>
        <item m="1" x="1232"/>
        <item m="1" x="1156"/>
        <item m="1" x="1004"/>
        <item m="1" x="1081"/>
        <item m="1" x="1195"/>
        <item m="1" x="1118"/>
        <item m="1" x="1600"/>
        <item m="1" x="1702"/>
        <item m="1" x="1632"/>
        <item m="1" x="2140"/>
        <item m="1" x="1666"/>
        <item m="1" x="1489"/>
        <item m="1" x="1527"/>
        <item m="1" x="1302"/>
        <item m="1" x="1562"/>
        <item m="1" x="1449"/>
        <item m="1" x="1740"/>
        <item m="1" x="30"/>
        <item m="1" x="1269"/>
        <item m="1" x="1412"/>
        <item m="1" x="1923"/>
        <item m="1" x="1959"/>
        <item m="1" x="1997"/>
        <item m="1" x="2033"/>
        <item m="1" x="2067"/>
        <item m="1" x="2103"/>
        <item m="1" x="1377"/>
        <item m="1" x="1779"/>
        <item m="1" x="1853"/>
        <item m="1" x="1888"/>
        <item m="1" x="1339"/>
        <item m="1" x="426"/>
        <item m="1" x="352"/>
        <item m="1" x="388"/>
        <item m="1" x="465"/>
        <item m="1" x="211"/>
        <item m="1" x="317"/>
        <item m="1" x="179"/>
        <item m="1" x="63"/>
        <item m="1" x="101"/>
        <item m="1" x="137"/>
        <item m="1" x="245"/>
        <item m="1" x="501"/>
        <item m="1" x="789"/>
        <item m="1" x="643"/>
        <item m="1" x="857"/>
        <item m="1" x="929"/>
        <item m="1" x="1155"/>
        <item m="1" x="896"/>
        <item m="1" x="1338"/>
        <item m="1" x="1117"/>
        <item m="1" x="748"/>
        <item m="1" x="540"/>
        <item m="1" x="709"/>
        <item m="1" x="1194"/>
        <item m="1" x="1230"/>
        <item m="1" x="1376"/>
        <item m="1" x="1409"/>
        <item m="1" x="1080"/>
        <item m="1" x="827"/>
        <item m="1" x="1268"/>
        <item m="1" x="1301"/>
        <item m="1" x="573"/>
        <item m="1" x="1040"/>
        <item m="1" x="674"/>
        <item m="1" x="966"/>
        <item m="1" x="610"/>
        <item m="1" x="1003"/>
        <item m="1" x="1994"/>
        <item m="1" x="1914"/>
        <item m="1" x="1679"/>
        <item m="1" x="1642"/>
        <item m="1" x="1014"/>
        <item m="1" x="1609"/>
        <item m="1" x="2193"/>
        <item m="1" x="975"/>
        <item m="1" x="1570"/>
        <item m="1" x="2149"/>
        <item m="1" x="358"/>
        <item m="1" x="1533"/>
        <item m="1" x="2108"/>
        <item m="1" x="321"/>
        <item m="1" x="899"/>
        <item m="1" x="1996"/>
        <item m="1" x="210"/>
        <item m="1" x="1375"/>
        <item m="1" x="1956"/>
        <item m="1" x="428"/>
        <item m="1" x="422"/>
        <item m="1" x="555"/>
        <item m="1" x="846"/>
        <item m="1" x="1137"/>
        <item m="1" x="868"/>
        <item m="1" x="763"/>
        <item m="1" x="1056"/>
        <item m="1" x="1645"/>
        <item m="1" x="2234"/>
        <item m="1" x="837"/>
        <item m="1" x="2327"/>
        <item m="1" x="23"/>
        <item m="1" x="2111"/>
        <item m="1" x="2265"/>
        <item m="1" x="36"/>
        <item m="1" x="901"/>
        <item m="1" x="1044"/>
        <item m="1" x="1198"/>
        <item m="1" x="1342"/>
        <item m="1" x="2022"/>
        <item m="1" x="2255"/>
        <item m="1" x="1771"/>
        <item m="1" x="2168"/>
        <item m="1" x="2248"/>
        <item m="1" x="279"/>
        <item m="1" x="1846"/>
        <item m="1" x="2321"/>
        <item m="1" x="18"/>
        <item m="1" x="2222"/>
        <item m="1" x="1158"/>
        <item m="1" x="1304"/>
        <item m="1" x="1453"/>
        <item m="1" x="712"/>
        <item m="1" x="1601"/>
        <item m="1" x="1742"/>
        <item m="1" x="1889"/>
        <item m="1" x="1005"/>
        <item m="1" x="1987"/>
        <item m="1" x="1292"/>
        <item m="1" x="1366"/>
        <item m="1" x="425"/>
        <item m="1" x="463"/>
        <item m="1" x="500"/>
        <item m="1" x="1854"/>
        <item m="1" x="2141"/>
        <item m="1" x="212"/>
        <item m="1" x="609"/>
        <item m="1" x="747"/>
        <item m="1" x="895"/>
        <item m="1" x="641"/>
        <item m="1" x="1110"/>
        <item m="1" x="1187"/>
        <item m="1" x="1261"/>
        <item m="1" x="2294"/>
        <item m="1" x="1931"/>
        <item m="1" x="424"/>
        <item m="1" x="889"/>
        <item m="1" x="1144"/>
        <item m="1" x="1222"/>
        <item m="1" x="1331"/>
        <item m="1" x="2209"/>
        <item m="1" x="1479"/>
        <item m="1" x="992"/>
        <item m="1" x="2126"/>
        <item m="1" x="693"/>
        <item m="1" x="769"/>
        <item m="1" x="944"/>
        <item m="1" x="1017"/>
        <item m="1" x="656"/>
        <item m="1" x="2233"/>
        <item m="1" x="326"/>
        <item m="1" x="1751"/>
        <item m="1" x="1790"/>
        <item m="1" x="1827"/>
        <item m="1" x="2007"/>
        <item m="1" x="2044"/>
        <item m="1" x="2078"/>
        <item m="1" x="2194"/>
        <item m="1" x="2270"/>
        <item m="1" x="2342"/>
        <item m="1" x="1495"/>
        <item m="1" x="2213"/>
        <item m="1" x="1371"/>
        <item m="1" x="923"/>
        <item m="1" x="2135"/>
        <item m="1" x="249"/>
        <item m="1" x="356"/>
        <item m="1" x="543"/>
        <item m="1" x="1079"/>
        <item m="1" x="1734"/>
        <item m="1" x="2175"/>
        <item m="1" x="996"/>
        <item m="1" x="1434"/>
        <item m="1" x="539"/>
        <item m="1" x="1774"/>
        <item m="1" x="1480"/>
        <item m="1" x="1988"/>
        <item m="1" x="1741"/>
        <item m="1" x="2259"/>
        <item m="1" x="351"/>
        <item m="1" x="786"/>
        <item m="1" x="538"/>
        <item m="1" x="382"/>
        <item m="1" x="635"/>
        <item m="1" x="1945"/>
        <item m="1" x="1149"/>
        <item m="1" x="2363"/>
        <item m="1" x="1189"/>
        <item m="1" x="527"/>
        <item m="1" x="1726"/>
        <item m="1" x="1922"/>
        <item m="1" x="1957"/>
        <item m="1" x="1995"/>
        <item m="1" x="2181"/>
        <item m="1" x="99"/>
        <item m="1" x="136"/>
        <item m="1" x="177"/>
        <item m="1" x="1524"/>
        <item m="1" x="1560"/>
        <item m="1" x="1739"/>
        <item m="1" x="1776"/>
        <item m="1" x="856"/>
        <item m="1" x="964"/>
        <item m="1" x="1407"/>
        <item m="1" x="1558"/>
        <item m="1" x="1484"/>
        <item m="1" x="423"/>
        <item m="1" x="1917"/>
        <item m="1" x="742"/>
        <item m="1" x="1953"/>
        <item m="1" x="784"/>
        <item m="1" x="1992"/>
        <item m="1" x="823"/>
        <item m="1" x="2029"/>
        <item m="1" x="853"/>
        <item m="1" x="2063"/>
        <item m="1" x="892"/>
        <item m="1" x="2137"/>
        <item m="1" x="962"/>
        <item m="1" x="998"/>
        <item m="1" x="1385"/>
        <item m="1" x="1989"/>
        <item m="1" x="221"/>
        <item m="1" x="456"/>
        <item m="1" x="1398"/>
        <item m="1" x="689"/>
        <item m="1" x="1899"/>
        <item m="1" x="2133"/>
        <item m="1" x="699"/>
        <item m="1" x="2207"/>
        <item m="1" x="1031"/>
        <item m="1" x="1860"/>
        <item m="1" x="2252"/>
        <item m="1" x="864"/>
        <item m="1" x="1477"/>
        <item m="1" x="1772"/>
        <item m="1" x="637"/>
        <item m="1" x="1731"/>
        <item m="1" x="565"/>
        <item m="1" x="307"/>
        <item m="1" x="1515"/>
        <item m="1" x="344"/>
        <item m="1" x="338"/>
        <item m="1" x="1981"/>
        <item m="1" x="1616"/>
        <item m="1" x="2275"/>
        <item m="1" x="192"/>
        <item m="1" x="1657"/>
        <item m="1" x="1693"/>
        <item m="1" x="1844"/>
        <item m="1" x="340"/>
        <item m="1" x="2117"/>
        <item m="1" x="20"/>
        <item m="1" x="884"/>
        <item m="1" x="1494"/>
        <item m="1" x="1603"/>
        <item m="1" x="778"/>
        <item m="1" x="1508"/>
        <item m="1" x="448"/>
        <item m="1" x="1649"/>
        <item m="1" x="301"/>
        <item m="1" x="2049"/>
        <item m="1" x="877"/>
        <item m="1" x="2087"/>
        <item m="1" x="374"/>
        <item m="1" x="524"/>
        <item m="1" x="1983"/>
        <item m="1" x="812"/>
        <item m="1" x="663"/>
        <item m="1" x="732"/>
        <item m="1" x="880"/>
        <item m="1" x="629"/>
        <item m="1" x="1837"/>
        <item m="1" x="2054"/>
        <item m="1" x="411"/>
        <item m="1" x="916"/>
        <item m="1" x="2280"/>
        <item m="1" x="1103"/>
        <item m="1" x="1435"/>
        <item m="1" x="768"/>
        <item m="1" x="156"/>
        <item m="1" x="418"/>
        <item m="1" x="1880"/>
        <item m="1" x="2131"/>
        <item m="1" x="236"/>
        <item m="1" x="1438"/>
        <item m="1" x="1724"/>
        <item m="1" x="1432"/>
        <item m="1" x="263"/>
        <item m="1" x="1947"/>
        <item m="1" x="2251"/>
        <item m="1" x="2283"/>
        <item m="1" x="1107"/>
        <item m="1" x="2017"/>
        <item m="1" x="1257"/>
        <item m="1" x="409"/>
        <item m="1" x="736"/>
        <item m="1" x="883"/>
        <item m="1" x="2244"/>
        <item m="1" x="1065"/>
        <item m="1" x="816"/>
        <item m="1" x="165"/>
        <item m="1" x="1364"/>
        <item m="1" x="1985"/>
        <item m="1" x="200"/>
        <item m="1" x="1402"/>
        <item m="1" x="2317"/>
        <item m="1" x="1138"/>
        <item m="1" x="2352"/>
        <item m="1" x="2056"/>
        <item m="1" x="1220"/>
        <item m="1" x="54"/>
        <item m="1" x="775"/>
        <item m="1" x="2249"/>
        <item m="1" x="1069"/>
        <item m="1" x="2093"/>
        <item m="1" x="2359"/>
        <item m="1" x="413"/>
        <item m="1" x="1619"/>
        <item m="1" x="1441"/>
        <item m="1" x="1729"/>
        <item m="1" x="1474"/>
        <item m="1" x="305"/>
        <item m="1" x="272"/>
        <item m="1" x="563"/>
        <item m="1" x="270"/>
        <item m="1" x="1025"/>
        <item m="1" x="488"/>
        <item m="1" x="1767"/>
        <item m="1" x="1908"/>
        <item m="1" x="2206"/>
        <item m="1" x="1029"/>
        <item m="1" x="1326"/>
        <item m="1" x="1799"/>
        <item m="1" x="560"/>
        <item m="1" x="1062"/>
        <item m="1" x="2277"/>
        <item m="1" x="773"/>
        <item m="1" x="2166"/>
        <item m="1" x="989"/>
        <item m="1" x="562"/>
        <item m="1" x="1765"/>
        <item m="1" x="598"/>
        <item m="1" x="1179"/>
        <item m="1" x="336"/>
        <item m="1" x="1836"/>
        <item m="1" x="303"/>
        <item m="1" x="1651"/>
        <item m="1" x="662"/>
        <item m="1" x="1874"/>
        <item m="1" x="1253"/>
        <item m="1" x="2201"/>
        <item m="1" x="1024"/>
        <item m="1" x="2242"/>
        <item m="1" x="848"/>
        <item m="1" x="2051"/>
        <item m="1" x="627"/>
        <item m="1" x="1177"/>
        <item m="1" x="449"/>
        <item m="1" x="694"/>
        <item m="1" x="1903"/>
        <item m="1" x="1548"/>
        <item m="1" x="1586"/>
        <item m="1" x="558"/>
        <item m="1" x="1762"/>
        <item m="1" x="2020"/>
        <item m="1" x="1473"/>
        <item m="1" x="2319"/>
        <item m="1" x="1140"/>
        <item m="1" x="1982"/>
        <item m="1" x="2088"/>
        <item m="1" x="2318"/>
        <item m="1" x="300"/>
        <item m="1" x="1797"/>
        <item m="1" x="1256"/>
        <item m="1" x="487"/>
        <item m="1" x="485"/>
        <item m="1" x="593"/>
        <item m="1" x="2155"/>
        <item m="1" x="1188"/>
        <item m="1" x="1789"/>
        <item m="1" x="22"/>
        <item m="1" x="1613"/>
        <item m="1" x="1757"/>
        <item m="1" x="2121"/>
        <item m="1" x="947"/>
        <item m="1" x="878"/>
        <item m="1" x="730"/>
        <item m="1" x="1214"/>
        <item m="1" x="5"/>
        <item m="1" x="1208"/>
        <item m="1" x="1362"/>
        <item m="1" x="198"/>
        <item m="1" x="267"/>
        <item m="1" x="811"/>
        <item m="1" x="2016"/>
        <item m="1" x="847"/>
        <item m="1" x="1584"/>
        <item m="1" x="483"/>
        <item m="1" x="1721"/>
        <item m="1" x="231"/>
        <item m="1" x="229"/>
        <item m="1" x="658"/>
        <item m="1" x="1468"/>
        <item m="1" x="1951"/>
        <item m="1" x="187"/>
        <item m="1" x="783"/>
        <item m="1" x="952"/>
        <item m="1" x="1938"/>
        <item m="1" x="517"/>
        <item m="1" x="765"/>
        <item m="1" x="2354"/>
        <item m="1" x="86"/>
        <item m="1" x="1722"/>
        <item m="1" x="1546"/>
        <item m="1" x="2311"/>
        <item m="1" x="1133"/>
        <item m="1" x="731"/>
        <item m="1" x="661"/>
        <item m="1" x="1873"/>
        <item m="1" x="692"/>
        <item m="1" x="770"/>
        <item m="1" x="1760"/>
        <item m="1" x="2164"/>
        <item m="1" x="1467"/>
        <item m="1" x="690"/>
        <item m="1" x="2202"/>
        <item m="1" x="1583"/>
        <item m="1" x="407"/>
        <item m="1" x="447"/>
        <item m="1" x="2243"/>
        <item m="1" x="2125"/>
        <item m="1" x="951"/>
        <item m="1" x="335"/>
        <item m="1" x="1211"/>
        <item m="1" x="48"/>
        <item m="1" x="84"/>
        <item m="1" x="1288"/>
        <item m="1" x="406"/>
        <item m="1" x="1545"/>
        <item m="1" x="590"/>
        <item m="1" x="626"/>
        <item m="1" x="334"/>
        <item m="1" x="1835"/>
        <item m="1" x="2012"/>
        <item m="1" x="844"/>
        <item m="1" x="2124"/>
        <item m="1" x="950"/>
        <item m="1" x="1252"/>
        <item m="1" x="1287"/>
        <item m="1" x="1249"/>
        <item m="1" x="443"/>
        <item m="1" x="47"/>
        <item m="1" x="1248"/>
        <item m="1" x="1759"/>
        <item m="1" x="1900"/>
        <item m="1" x="727"/>
        <item m="1" x="948"/>
        <item m="1" x="7"/>
        <item m="1" x="1209"/>
        <item m="1" x="874"/>
        <item m="1" x="2200"/>
        <item m="1" x="552"/>
        <item m="1" x="807"/>
        <item m="1" x="2313"/>
        <item m="1" x="1134"/>
        <item m="1" x="1322"/>
        <item m="1" x="625"/>
        <item m="1" x="843"/>
        <item m="1" x="50"/>
        <item m="1" x="1250"/>
        <item m="1" x="369"/>
        <item m="1" x="1937"/>
        <item m="1" x="2047"/>
        <item m="1" x="873"/>
        <item m="1" x="81"/>
        <item m="1" x="1286"/>
        <item m="1" x="262"/>
        <item m="1" x="2084"/>
        <item m="1" x="1285"/>
        <item m="1" x="117"/>
        <item m="1" x="1357"/>
        <item m="1" x="726"/>
        <item m="1" x="1429"/>
        <item m="1" x="481"/>
        <item m="1" x="155"/>
        <item m="1" x="1355"/>
        <item m="1" x="444"/>
        <item m="1" x="1647"/>
        <item m="1" x="1717"/>
        <item m="1" x="1392"/>
        <item m="1" x="1164"/>
        <item m="1" x="1770"/>
        <item m="1" x="1869"/>
        <item m="1" x="2238"/>
        <item m="1" x="623"/>
        <item m="1" x="2197"/>
        <item m="1" x="2347"/>
        <item m="1" x="1173"/>
        <item m="1" x="79"/>
        <item m="1" x="116"/>
        <item m="1" x="1320"/>
        <item m="1" x="582"/>
        <item m="1" x="1428"/>
        <item m="1" x="260"/>
        <item m="1" x="872"/>
        <item m="1" x="2120"/>
        <item m="1" x="946"/>
        <item m="1" x="298"/>
        <item m="1" x="854"/>
        <item m="1" x="1153"/>
        <item m="1" x="2083"/>
        <item m="1" x="982"/>
        <item m="1" x="401"/>
        <item m="1" x="1296"/>
        <item m="1" x="1895"/>
        <item m="1" x="128"/>
        <item m="1" x="457"/>
        <item m="1" x="1050"/>
        <item m="1" x="2134"/>
        <item m="1" x="455"/>
        <item m="1" x="1048"/>
        <item m="1" x="1456"/>
        <item m="1" x="577"/>
        <item m="1" x="1184"/>
        <item m="1" x="153"/>
        <item m="1" x="655"/>
        <item m="1" x="113"/>
        <item m="1" x="705"/>
        <item m="1" x="758"/>
        <item m="1" x="1972"/>
        <item m="1" x="206"/>
        <item m="1" x="1019"/>
        <item m="1" x="2237"/>
        <item m="1" x="227"/>
        <item m="1" x="2160"/>
        <item m="1" x="1391"/>
        <item m="1" x="1319"/>
        <item m="1" x="1352"/>
        <item m="1" x="278"/>
        <item m="1" x="2272"/>
        <item m="1" x="1244"/>
        <item m="1" x="725"/>
        <item m="1" x="1097"/>
        <item m="1" x="2310"/>
        <item m="1" x="1131"/>
        <item m="1" x="1975"/>
        <item m="1" x="258"/>
        <item m="1" x="1540"/>
        <item m="1" x="1094"/>
        <item m="1" x="1851"/>
        <item m="1" x="1831"/>
        <item m="1" x="191"/>
        <item m="1" x="1933"/>
        <item m="1" x="2157"/>
        <item m="1" x="1502"/>
        <item m="1" x="2366"/>
        <item m="1" x="476"/>
        <item m="1" x="1793"/>
        <item m="1" x="1353"/>
        <item m="1" x="257"/>
        <item m="1" x="1754"/>
        <item m="1" x="514"/>
        <item m="1" x="1865"/>
        <item m="1" x="685"/>
        <item m="1" x="76"/>
        <item m="1" x="1317"/>
        <item m="1" x="585"/>
        <item m="1" x="871"/>
        <item m="1" x="330"/>
        <item m="1" x="910"/>
        <item m="1" x="1714"/>
        <item m="1" x="77"/>
        <item m="1" x="367"/>
        <item m="1" x="1885"/>
        <item m="1" x="1315"/>
        <item m="1" x="806"/>
        <item m="1" x="1464"/>
        <item m="1" x="943"/>
        <item m="1" x="2329"/>
        <item m="1" x="2009"/>
        <item m="1" x="295"/>
        <item m="1" x="2080"/>
        <item m="1" x="1115"/>
        <item m="1" x="1190"/>
        <item m="1" x="2079"/>
        <item m="1" x="2195"/>
        <item m="1" x="1503"/>
        <item m="1" x="294"/>
        <item m="1" x="400"/>
        <item m="1" x="684"/>
        <item m="1" x="1425"/>
        <item m="1" x="549"/>
        <item m="1" x="1424"/>
        <item m="1" x="548"/>
        <item m="1" x="190"/>
        <item m="1" x="314"/>
        <item m="1" x="224"/>
        <item m="1" x="824"/>
        <item m="1" x="1863"/>
        <item m="1" x="98"/>
        <item m="1" x="1299"/>
        <item m="1" x="255"/>
        <item m="1" x="253"/>
        <item m="1" x="394"/>
        <item m="1" x="1389"/>
        <item m="1" x="621"/>
        <item m="1" x="1228"/>
        <item m="1" x="804"/>
        <item m="1" x="867"/>
        <item m="1" x="1053"/>
        <item m="1" x="1918"/>
        <item m="1" x="907"/>
        <item m="1" x="496"/>
        <item m="1" x="1708"/>
        <item m="1" x="903"/>
        <item m="1" x="69"/>
        <item m="1" x="1711"/>
        <item m="1" x="2326"/>
        <item m="1" x="546"/>
        <item m="1" x="840"/>
        <item m="1" x="2216"/>
        <item m="1" x="654"/>
        <item m="1" x="1267"/>
        <item m="1" x="869"/>
        <item m="1" x="1643"/>
        <item m="1" x="1829"/>
        <item m="1" x="61"/>
        <item m="1" x="433"/>
        <item m="1" x="2118"/>
        <item m="1" x="1932"/>
        <item m="1" x="2307"/>
        <item m="1" x="670"/>
        <item m="1" x="1279"/>
        <item m="1" x="722"/>
        <item m="1" x="365"/>
        <item m="1" x="963"/>
        <item m="1" x="1576"/>
        <item m="1" x="1370"/>
        <item m="1" x="1970"/>
        <item m="1" x="205"/>
        <item m="1" x="1946"/>
        <item m="1" x="184"/>
        <item m="1" x="776"/>
        <item m="1" x="440"/>
        <item m="1" x="1792"/>
        <item m="1" x="27"/>
        <item m="1" x="45"/>
        <item m="1" x="134"/>
        <item m="1" x="2156"/>
        <item m="1" x="1815"/>
        <item m="1" x="1245"/>
        <item m="1" x="720"/>
        <item m="1" x="1665"/>
        <item m="1" x="640"/>
        <item m="1" x="1283"/>
        <item m="1" x="760"/>
        <item m="1" x="462"/>
        <item m="1" x="149"/>
        <item m="1" x="1092"/>
        <item m="1" x="475"/>
        <item m="1" x="1074"/>
        <item m="1" x="1572"/>
        <item m="1" x="1752"/>
        <item m="1" x="2364"/>
        <item m="1" x="583"/>
        <item m="1" x="225"/>
        <item m="1" x="1864"/>
        <item m="1" x="1423"/>
        <item m="1" x="2030"/>
        <item m="1" x="151"/>
        <item m="1" x="1128"/>
        <item m="1" x="436"/>
        <item m="1" x="1034"/>
        <item m="1" x="115"/>
        <item m="1" x="1446"/>
        <item m="1" x="1738"/>
        <item m="1" x="43"/>
        <item m="1" x="1036"/>
        <item m="1" x="223"/>
        <item m="1" x="822"/>
        <item m="1" x="1421"/>
        <item m="1" x="1677"/>
        <item m="1" x="2292"/>
        <item m="1" x="909"/>
        <item m="1" x="498"/>
        <item m="1" x="673"/>
        <item m="1" x="1485"/>
        <item m="1" x="743"/>
        <item m="1" x="1351"/>
        <item m="1" x="42"/>
        <item m="1" x="1674"/>
        <item m="1" x="2288"/>
        <item m="1" x="478"/>
        <item m="1" x="1523"/>
        <item m="1" x="1701"/>
        <item m="1" x="1282"/>
        <item m="1" x="1335"/>
        <item m="1" x="243"/>
        <item m="1" x="785"/>
        <item m="1" x="1388"/>
        <item m="1" x="1993"/>
        <item m="1" x="2057"/>
        <item m="1" x="1749"/>
        <item m="1" x="170"/>
        <item m="1" x="974"/>
        <item m="1" x="1697"/>
        <item m="1" x="995"/>
        <item m="1" x="1606"/>
        <item m="1" x="679"/>
        <item m="1" x="2378"/>
        <item m="1" x="602"/>
        <item m="1" x="1202"/>
        <item m="1" x="1610"/>
        <item m="1" x="111"/>
        <item m="1" x="2269"/>
        <item m="1" x="2211"/>
        <item m="1" x="434"/>
        <item m="1" x="2045"/>
        <item m="1" x="1735"/>
        <item m="1" x="327"/>
        <item m="1" x="924"/>
        <item m="1" x="2214"/>
        <item m="1" x="652"/>
        <item m="1" x="1265"/>
        <item m="1" x="2271"/>
        <item m="1" x="437"/>
        <item m="1" x="2253"/>
        <item m="1" x="1146"/>
        <item m="1" x="1592"/>
        <item m="1" x="2191"/>
        <item m="1" x="1091"/>
        <item m="1" x="1913"/>
        <item m="1" x="146"/>
        <item m="1" x="1293"/>
        <item m="1" x="2376"/>
        <item m="1" x="600"/>
        <item m="1" x="1169"/>
        <item m="1" x="3"/>
        <item m="1" x="1954"/>
        <item m="1" x="188"/>
        <item m="1" x="2042"/>
        <item m="1" x="1330"/>
        <item m="1" x="1928"/>
        <item m="1" x="578"/>
        <item m="1" x="2344"/>
        <item m="1" x="1539"/>
        <item m="1" x="1713"/>
        <item m="1" x="421"/>
        <item m="1" x="1459"/>
        <item m="1" x="510"/>
        <item m="1" x="1111"/>
        <item m="1" x="1826"/>
        <item m="1" x="1930"/>
        <item m="1" x="2285"/>
        <item m="1" x="2075"/>
        <item m="1" x="1627"/>
        <item m="1" x="2231"/>
        <item m="1" x="682"/>
        <item m="1" x="1294"/>
        <item m="1" x="1894"/>
        <item m="1" x="127"/>
        <item m="1" x="60"/>
        <item m="1" x="1242"/>
        <item m="1" x="397"/>
        <item m="1" x="997"/>
        <item m="1" x="802"/>
        <item m="1" x="979"/>
        <item m="1" x="1595"/>
        <item m="1" x="1775"/>
        <item m="1" x="398"/>
        <item m="1" x="1113"/>
        <item m="1" x="1499"/>
        <item m="1" x="292"/>
        <item m="1" x="1501"/>
        <item m="1" x="1828"/>
        <item m="1" x="2062"/>
        <item m="1" x="291"/>
        <item m="1" x="891"/>
        <item m="1" x="1641"/>
        <item m="1" x="1013"/>
        <item m="1" x="1625"/>
        <item m="1" x="2230"/>
        <item m="1" x="2290"/>
        <item m="1" x="460"/>
        <item m="1" x="1051"/>
        <item m="1" x="1662"/>
        <item m="1" x="1676"/>
        <item m="1" x="569"/>
        <item m="1" x="1639"/>
        <item m="1" x="2254"/>
        <item m="1" x="1773"/>
        <item m="1" x="2027"/>
        <item m="1" x="254"/>
        <item m="1" x="852"/>
        <item m="1" x="1148"/>
        <item m="1" x="1750"/>
        <item m="1" x="2362"/>
        <item m="1" x="2060"/>
        <item m="1" x="290"/>
        <item m="1" x="888"/>
        <item m="1" x="2304"/>
        <item m="1" x="819"/>
        <item m="1" x="1419"/>
        <item m="1" x="2025"/>
        <item m="1" x="131"/>
        <item m="1" x="639"/>
        <item m="1" x="1608"/>
        <item m="1" x="2212"/>
        <item m="1" x="1483"/>
        <item m="1" x="1699"/>
        <item m="1" x="1537"/>
        <item m="1" x="2136"/>
        <item m="1" x="1167"/>
        <item m="1" x="2"/>
        <item m="1" x="1812"/>
        <item m="1" x="2098"/>
        <item m="1" x="1862"/>
        <item m="1" x="1383"/>
        <item m="1" x="2003"/>
        <item m="1" x="238"/>
        <item m="1" x="678"/>
        <item m="1" x="1163"/>
        <item m="1" x="1768"/>
        <item m="1" x="2008"/>
        <item m="1" x="605"/>
        <item m="1" x="1205"/>
        <item m="1" x="1884"/>
        <item m="1" x="838"/>
        <item m="1" x="310"/>
        <item m="1" x="906"/>
        <item m="1" x="1519"/>
        <item m="1" x="801"/>
        <item m="1" x="90"/>
        <item m="1" x="530"/>
        <item m="1" x="1806"/>
        <item m="1" x="1310"/>
        <item m="1" x="779"/>
        <item m="1" x="1747"/>
        <item m="1" x="2360"/>
        <item m="1" x="313"/>
        <item m="1" x="2343"/>
        <item m="1" x="1386"/>
        <item m="1" x="1991"/>
        <item m="1" x="2116"/>
        <item m="1" x="2306"/>
        <item m="1" x="364"/>
        <item m="1" x="961"/>
        <item m="1" x="940"/>
        <item m="1" x="537"/>
        <item m="1" x="1574"/>
        <item m="1" x="2176"/>
        <item m="1" x="74"/>
        <item m="1" x="757"/>
        <item m="1" x="2341"/>
        <item m="1" x="40"/>
        <item m="1" x="2153"/>
        <item m="1" x="1260"/>
        <item m="1" x="419"/>
        <item m="1" x="2228"/>
        <item m="1" x="2257"/>
        <item m="1" x="651"/>
        <item m="1" x="1263"/>
        <item m="1" x="95"/>
        <item m="1" x="2115"/>
        <item m="1" x="700"/>
        <item m="1" x="1842"/>
        <item m="1" x="1258"/>
        <item m="1" x="1858"/>
        <item m="1" x="1405"/>
        <item m="1" x="2006"/>
        <item m="1" x="239"/>
        <item m="1" x="2225"/>
        <item m="1" x="453"/>
        <item m="1" x="1045"/>
        <item m="1" x="716"/>
        <item m="1" x="37"/>
        <item m="1" x="634"/>
        <item m="1" x="1238"/>
        <item m="1" x="2043"/>
        <item m="1" x="1481"/>
        <item m="1" x="1848"/>
        <item m="1" x="73"/>
        <item m="1" x="92"/>
        <item m="1" x="1125"/>
        <item m="1" x="1730"/>
        <item m="1" x="2338"/>
        <item m="1" x="1732"/>
        <item m="1" x="1277"/>
        <item m="1" x="579"/>
        <item m="1" x="1201"/>
        <item m="1" x="939"/>
        <item m="1" x="1556"/>
        <item m="1" x="638"/>
        <item m="1" x="1241"/>
        <item m="1" x="977"/>
        <item m="1" x="958"/>
        <item m="1" x="492"/>
        <item m="1" x="1089"/>
        <item m="1" x="2192"/>
        <item m="1" x="494"/>
        <item m="1" x="534"/>
        <item m="1" x="1733"/>
        <item m="1" x="717"/>
        <item m="1" x="2151"/>
        <item m="1" x="380"/>
        <item m="1" x="1012"/>
        <item m="1" x="1660"/>
        <item m="1" x="1204"/>
        <item m="1" x="1810"/>
        <item m="1" x="2229"/>
        <item m="1" x="603"/>
        <item m="1" x="702"/>
        <item m="1" x="1312"/>
        <item m="1" x="567"/>
        <item m="1" x="1166"/>
        <item m="1" x="1348"/>
        <item m="1" x="1949"/>
        <item m="1" x="2379"/>
        <item m="1" x="740"/>
        <item m="1" x="1010"/>
        <item m="1" x="1622"/>
        <item m="1" x="110"/>
        <item m="1" x="1369"/>
        <item m="1" x="1478"/>
        <item m="1" x="2077"/>
        <item m="1" x="362"/>
        <item m="1" x="544"/>
        <item m="1" x="347"/>
        <item m="1" x="1658"/>
        <item m="1" x="1072"/>
        <item m="1" x="2189"/>
        <item m="1" x="416"/>
        <item m="1" x="2266"/>
        <item m="1" x="667"/>
        <item m="1" x="799"/>
        <item m="1" x="1694"/>
        <item m="1" x="1569"/>
        <item m="1" x="2171"/>
        <item m="1" x="58"/>
        <item m="1" x="835"/>
        <item m="1" x="2340"/>
        <item m="1" x="994"/>
        <item m="1" x="1604"/>
        <item m="1" x="1638"/>
        <item m="1" x="2361"/>
        <item m="1" x="755"/>
        <item m="1" x="1517"/>
        <item m="1" x="2114"/>
        <item m="1" x="2286"/>
        <item m="1" x="508"/>
        <item m="1" x="309"/>
        <item m="1" x="904"/>
        <item m="1" x="39"/>
        <item m="1" x="2188"/>
        <item m="1" x="1727"/>
        <item m="1" x="2337"/>
        <item m="1" x="2055"/>
        <item m="1" x="2091"/>
        <item m="1" x="1969"/>
        <item m="1" x="1126"/>
        <item m="1" x="1535"/>
        <item m="1" x="2132"/>
        <item m="1" x="580"/>
        <item m="1" x="204"/>
        <item m="1" x="937"/>
        <item m="1" x="2268"/>
        <item m="1" x="21"/>
        <item m="1" x="203"/>
        <item m="1" x="797"/>
        <item m="1" x="1404"/>
        <item m="1" x="1223"/>
        <item m="1" x="1845"/>
        <item m="1" x="2095"/>
        <item m="1" x="325"/>
        <item m="1" x="1825"/>
        <item m="1" x="1656"/>
        <item m="1" x="1087"/>
        <item m="1" x="566"/>
        <item m="1" x="1808"/>
        <item m="1" x="109"/>
        <item m="1" x="489"/>
        <item m="1" x="2208"/>
        <item m="1" x="1071"/>
        <item m="1" x="1672"/>
        <item m="1" x="739"/>
        <item m="1" x="1346"/>
        <item m="1" x="1948"/>
        <item m="1" x="2302"/>
        <item m="1" x="252"/>
        <item m="1" x="1636"/>
        <item m="1" x="507"/>
        <item m="1" x="1345"/>
        <item m="1" x="865"/>
        <item m="1" x="1554"/>
        <item m="1" x="532"/>
        <item m="1" x="55"/>
        <item m="1" x="648"/>
        <item m="1" x="145"/>
        <item m="1" x="1109"/>
        <item m="1" x="834"/>
        <item m="1" x="1442"/>
        <item m="1" x="1986"/>
        <item m="1" x="1457"/>
        <item m="1" x="168"/>
        <item m="1" x="754"/>
        <item m="1" x="1368"/>
        <item m="1" x="219"/>
        <item m="1" x="817"/>
        <item m="1" x="2324"/>
        <item m="1" x="1145"/>
        <item m="1" x="2040"/>
        <item m="1" x="737"/>
        <item m="1" x="506"/>
        <item m="1" x="1786"/>
        <item m="1" x="2023"/>
        <item m="1" x="1032"/>
        <item m="1" x="472"/>
        <item m="1" x="273"/>
        <item m="1" x="698"/>
        <item m="1" x="1108"/>
        <item m="1" x="414"/>
        <item m="1" x="1009"/>
        <item m="1" x="1620"/>
        <item m="1" x="649"/>
        <item m="1" x="2264"/>
        <item m="1" x="774"/>
        <item m="1" x="1984"/>
        <item m="1" x="217"/>
        <item m="1" x="1417"/>
        <item m="1" x="1307"/>
        <item m="1" x="183"/>
        <item m="1" x="2021"/>
        <item m="1" x="250"/>
        <item m="1" x="2300"/>
        <item m="1" x="106"/>
        <item m="1" x="1106"/>
        <item m="1" x="163"/>
        <item m="1" x="1787"/>
        <item m="1" x="1309"/>
        <item m="1" x="1909"/>
        <item m="1" x="143"/>
        <item m="1" x="616"/>
        <item m="1" x="57"/>
        <item m="1" x="308"/>
        <item m="1" x="107"/>
        <item m="1" x="1859"/>
        <item m="1" x="1516"/>
        <item m="1" x="2112"/>
        <item m="1" x="345"/>
        <item m="1" x="1552"/>
        <item m="1" x="2148"/>
        <item m="1" x="1692"/>
        <item m="1" x="2301"/>
        <item m="1" x="2226"/>
        <item m="1" x="454"/>
        <item m="1" x="1047"/>
        <item m="1" x="166"/>
        <item m="1" x="752"/>
        <item m="1" x="35"/>
        <item m="1" x="68"/>
        <item m="1" x="1621"/>
        <item m="1" x="1567"/>
        <item m="1" x="1221"/>
        <item m="1" x="1823"/>
        <item m="1" x="1068"/>
        <item m="1" x="647"/>
        <item m="1" x="1963"/>
        <item m="1" x="920"/>
        <item m="1" x="1654"/>
        <item m="1" x="1841"/>
        <item m="1" x="696"/>
        <item m="1" x="815"/>
        <item m="1" x="1532"/>
        <item m="1" x="1496"/>
        <item m="1" x="2094"/>
        <item m="1" x="715"/>
        <item m="1" x="631"/>
        <item m="1" x="1274"/>
        <item m="1" x="1690"/>
        <item m="1" x="1907"/>
        <item m="1" x="2282"/>
        <item m="1" x="614"/>
        <item m="1" x="714"/>
        <item m="1" x="2129"/>
        <item m="1" x="1635"/>
        <item m="1" x="343"/>
        <item m="1" x="1199"/>
        <item m="1" x="1877"/>
        <item m="1" x="1746"/>
        <item m="1" x="832"/>
        <item m="1" x="1439"/>
        <item m="1" x="2039"/>
        <item m="1" x="991"/>
        <item m="1" x="2002"/>
        <item m="1" x="862"/>
        <item m="1" x="1803"/>
        <item m="1" x="2128"/>
        <item m="1" x="431"/>
        <item m="1" x="1030"/>
        <item m="1" x="2250"/>
        <item m="1" x="2323"/>
        <item m="1" x="615"/>
        <item m="1" x="528"/>
        <item m="1" x="1123"/>
        <item m="1" x="357"/>
        <item m="1" x="1821"/>
        <item m="1" x="1549"/>
        <item m="1" x="2144"/>
        <item m="1" x="375"/>
        <item m="1" x="934"/>
        <item m="1" x="378"/>
        <item m="1" x="972"/>
        <item m="1" x="1589"/>
        <item m="1" x="1550"/>
        <item m="1" x="2147"/>
        <item m="1" x="1766"/>
        <item m="1" x="1381"/>
        <item m="1" x="850"/>
        <item m="1" x="1143"/>
        <item m="1" x="323"/>
        <item m="1" x="1669"/>
        <item m="1" x="1218"/>
        <item m="1" x="1925"/>
        <item m="1" x="1365"/>
        <item m="1" x="1965"/>
        <item m="1" x="201"/>
        <item m="1" x="902"/>
        <item m="1" x="1513"/>
        <item m="1" x="2110"/>
        <item m="1" x="1927"/>
        <item m="1" x="1403"/>
        <item m="1" x="795"/>
        <item m="1" x="2375"/>
        <item m="1" x="599"/>
        <item m="1" x="237"/>
        <item m="1" x="271"/>
        <item m="1" x="1236"/>
        <item m="1" x="666"/>
        <item m="1" x="1475"/>
        <item m="1" x="2074"/>
        <item m="1" x="306"/>
        <item m="1" x="142"/>
        <item m="1" x="1943"/>
        <item m="1" x="2247"/>
        <item m="1" x="1744"/>
        <item m="1" x="199"/>
        <item m="1" x="430"/>
        <item m="1" x="1028"/>
        <item m="1" x="469"/>
        <item m="1" x="1705"/>
        <item m="1" x="1329"/>
        <item m="1" x="990"/>
        <item m="1" x="1141"/>
        <item m="1" x="2358"/>
        <item m="1" x="1784"/>
        <item m="1" x="2072"/>
        <item m="1" x="88"/>
        <item m="1" x="1291"/>
        <item m="1" x="341"/>
        <item m="1" x="971"/>
        <item m="1" x="1587"/>
        <item m="1" x="124"/>
        <item m="1" x="1510"/>
        <item m="1" x="2107"/>
        <item m="1" x="450"/>
        <item m="1" x="2298"/>
        <item m="1" x="525"/>
        <item m="1" x="2186"/>
        <item m="1" x="2223"/>
        <item m="1" x="1652"/>
        <item m="1" x="2335"/>
        <item m="1" x="412"/>
        <item m="1" x="1725"/>
        <item m="1" x="1043"/>
        <item m="1" x="1122"/>
        <item m="1" x="1084"/>
        <item m="1" x="681"/>
        <item m="1" x="1119"/>
        <item m="1" x="1270"/>
        <item m="1" x="930"/>
        <item m="1" x="350"/>
        <item m="1" x="1728"/>
        <item m="1" x="1804"/>
        <item m="1" x="1088"/>
        <item m="1" x="1783"/>
        <item m="1" x="829"/>
        <item m="1" x="968"/>
        <item m="1" x="2036"/>
        <item m="1" x="2183"/>
        <item m="1" x="2332"/>
        <item m="1" x="390"/>
        <item m="1" x="2260"/>
        <item m="1" x="29"/>
        <item m="1" x="178"/>
        <item m="1" x="535"/>
        <item m="1" x="671"/>
        <item m="1" x="665"/>
        <item m="1" x="734"/>
        <item m="1" x="1904"/>
        <item m="1" x="893"/>
        <item m="1" x="1266"/>
        <item m="1" x="1950"/>
        <item m="1" x="782"/>
        <item m="1" x="1990"/>
        <item m="1" x="133"/>
        <item m="1" x="1334"/>
        <item m="1" x="174"/>
        <item m="1" x="1373"/>
        <item m="1" x="207"/>
        <item m="1" x="242"/>
        <item m="1" x="148"/>
        <item m="1" x="741"/>
        <item m="1" x="1349"/>
        <item m="1" x="2180"/>
        <item m="1" x="24"/>
        <item m="1" x="1332"/>
        <item m="1" x="173"/>
        <item m="1" x="2026"/>
        <item m="1" x="1073"/>
        <item m="1" x="2198"/>
        <item m="1" x="928"/>
        <item m="1" x="1698"/>
        <item m="1" x="2066"/>
        <item m="1" x="894"/>
        <item m="1" x="2293"/>
        <item m="1" x="604"/>
        <item m="1" x="1618"/>
        <item m="1" x="771"/>
        <item m="1" x="556"/>
        <item m="1" x="657"/>
        <item m="1" x="2328"/>
        <item m="1" x="945"/>
        <item m="1" x="2158"/>
        <item m="1" x="703"/>
        <item m="1" x="1476"/>
        <item m="1" x="269"/>
        <item m="1" x="2356"/>
        <item m="1" x="1181"/>
        <item m="1" x="1522"/>
        <item m="1" x="2284"/>
        <item m="1" x="607"/>
        <item m="1" x="1207"/>
        <item m="1" x="1659"/>
        <item m="1" x="1696"/>
        <item m="1" x="668"/>
        <item m="1" x="493"/>
        <item m="1" x="533"/>
        <item m="1" x="922"/>
        <item m="1" x="957"/>
        <item m="1" x="420"/>
        <item m="1" x="2210"/>
        <item m="1" x="601"/>
        <item m="1" x="1807"/>
        <item m="1" x="1470"/>
        <item m="1" x="2162"/>
        <item m="1" x="1191"/>
        <item m="1" x="633"/>
        <item m="1" x="1059"/>
        <item m="1" x="1099"/>
        <item m="1" x="2196"/>
        <item m="1" x="1626"/>
        <item m="1" x="981"/>
        <item m="1" x="1599"/>
        <item m="1" x="386"/>
        <item m="1" x="312"/>
        <item m="1" x="1374"/>
        <item m="1" x="97"/>
        <item m="1" x="918"/>
        <item m="1" x="1980"/>
        <item m="1" x="1430"/>
        <item m="1" x="1262"/>
        <item m="1" x="94"/>
        <item m="1" x="1486"/>
        <item m="1" x="707"/>
        <item m="1" x="1215"/>
        <item m="1" x="28"/>
        <item m="1" x="2368"/>
        <item m="1" x="280"/>
        <item m="1" x="787"/>
        <item m="1" x="965"/>
        <item m="1" x="1700"/>
        <item m="1" x="1176"/>
        <item m="1" x="315"/>
        <item m="1" x="708"/>
        <item m="1" x="746"/>
        <item m="1" x="1002"/>
        <item m="1" x="1664"/>
        <item m="1" x="2139"/>
        <item m="1" x="1488"/>
        <item m="1" x="1116"/>
        <item m="1" x="1154"/>
        <item m="1" x="497"/>
        <item m="1" x="818"/>
        <item m="1" x="1561"/>
        <item m="1" x="1520"/>
        <item m="1" x="825"/>
        <item m="1" x="1737"/>
        <item m="1" x="384"/>
        <item m="1" x="1809"/>
        <item m="1" x="1691"/>
        <item m="1" x="1512"/>
        <item m="1" x="342"/>
        <item m="1" x="100"/>
        <item m="1" x="925"/>
        <item m="1" x="927"/>
        <item m="1" x="2138"/>
        <item m="1" x="2365"/>
        <item m="1" x="1814"/>
        <item m="1" x="536"/>
        <item m="1" x="568"/>
        <item m="1" x="1718"/>
        <item m="1" x="1870"/>
        <item m="1" x="1393"/>
        <item m="1" x="841"/>
        <item m="1" x="2046"/>
        <item m="1" x="2031"/>
        <item m="1" x="1037"/>
        <item m="1" x="622"/>
        <item m="1" x="1624"/>
        <item m="1" x="851"/>
        <item m="1" x="1518"/>
        <item m="1" x="1816"/>
        <item m="1" x="1114"/>
        <item m="1" x="2256"/>
        <item m="1" x="1112"/>
        <item m="1" x="1297"/>
        <item m="1" x="459"/>
        <item m="1" x="821"/>
        <item m="1" x="2287"/>
        <item m="1" x="2325"/>
        <item m="1" x="1147"/>
        <item m="1" x="1555"/>
        <item m="1" x="704"/>
        <item m="1" x="1313"/>
        <item m="1" x="1916"/>
        <item m="1" x="244"/>
        <item m="1" x="572"/>
        <item m="1" x="62"/>
        <item m="1" x="130"/>
        <item m="1" x="522"/>
        <item m="1" x="8"/>
        <item m="1" x="2218"/>
        <item m="1" x="672"/>
        <item m="1" x="377"/>
        <item m="1" x="1588"/>
        <item m="1" x="1075"/>
        <item m="1" x="2289"/>
        <item m="1" x="1557"/>
        <item m="1" x="491"/>
        <item m="1" x="1551"/>
        <item m="1" x="379"/>
        <item m="1" x="1591"/>
        <item m="1" x="701"/>
        <item m="1" x="2059"/>
        <item m="1" x="887"/>
        <item m="1" x="2096"/>
        <item m="1" x="1912"/>
        <item m="1" x="1688"/>
        <item m="1" x="561"/>
        <item m="1" x="1408"/>
        <item m="1" x="1852"/>
        <item m="1" x="1887"/>
        <item m="1" x="2330"/>
        <item m="1" x="1448"/>
        <item m="1" x="1598"/>
        <item m="1" x="276"/>
        <item m="1" x="1229"/>
        <item m="1" x="1597"/>
        <item m="1" x="349"/>
        <item m="1" x="1225"/>
        <item m="1" x="241"/>
        <item m="1" x="275"/>
        <item m="1" x="2024"/>
        <item m="1" x="1778"/>
        <item m="1" x="2032"/>
        <item m="1" x="608"/>
        <item m="1" x="642"/>
        <item m="1" x="1955"/>
        <item m="1" x="2064"/>
        <item m="1" x="1300"/>
        <item m="1" x="1336"/>
        <item m="1" x="1443"/>
        <item m="1" x="1615"/>
        <item m="1" x="445"/>
        <item m="1" x="1648"/>
        <item m="1" x="1881"/>
        <item m="1" x="2169"/>
        <item m="1" x="2322"/>
        <item m="1" x="1142"/>
        <item m="1" x="1910"/>
        <item m="1" x="954"/>
        <item m="1" x="2170"/>
        <item m="1" x="738"/>
        <item m="1" x="993"/>
        <item m="1" x="1689"/>
        <item m="1" x="277"/>
        <item m="1" x="461"/>
        <item m="1" x="59"/>
        <item m="1" x="1447"/>
        <item m="1" x="1631"/>
        <item m="1" x="51"/>
        <item m="1" x="2350"/>
        <item m="1" x="1461"/>
        <item m="1" x="287"/>
        <item m="1" x="1525"/>
        <item m="1" x="1482"/>
        <item m="1" x="1886"/>
        <item m="1" x="1152"/>
        <item m="1" x="452"/>
        <item m="1" x="1653"/>
        <item m="1" x="1883"/>
        <item m="1" x="2061"/>
        <item m="1" x="890"/>
        <item m="1" x="2097"/>
        <item m="1" x="1629"/>
        <item m="1" x="297"/>
        <item m="1" x="1504"/>
        <item m="1" x="2102"/>
        <item m="1" x="209"/>
        <item m="1" x="26"/>
        <item m="1" x="1227"/>
        <item m="1" x="570"/>
        <item m="1" x="1035"/>
        <item m="1" x="1594"/>
        <item m="1" x="2258"/>
        <item m="1" x="1850"/>
        <item m="1" x="1264"/>
        <item m="1" x="1661"/>
        <item m="1" x="810"/>
        <item m="1" x="1833"/>
        <item m="1" x="387"/>
        <item m="1" x="1406"/>
        <item m="1" x="1444"/>
        <item m="1" x="495"/>
        <item m="1" x="1800"/>
        <item m="1" x="1902"/>
        <item m="1" x="1941"/>
        <item m="1" x="1060"/>
        <item m="1" x="1811"/>
        <item m="1" x="1915"/>
        <item m="1" x="2172"/>
        <item m="1" x="1687"/>
        <item m="1" x="592"/>
        <item m="1" x="482"/>
        <item m="1" x="845"/>
        <item m="1" x="2315"/>
        <item m="1" x="1136"/>
        <item m="1" x="912"/>
        <item m="1" x="2167"/>
        <item m="1" x="794"/>
        <item m="1" x="697"/>
        <item m="1" x="123"/>
        <item m="1" x="1327"/>
        <item m="1" x="161"/>
        <item m="1" x="1401"/>
        <item m="1" x="1942"/>
        <item m="1" x="1685"/>
        <item m="1" x="2348"/>
        <item m="1" x="1038"/>
        <item m="1" x="2178"/>
        <item m="1" x="1866"/>
        <item m="1" x="1817"/>
        <item m="1" x="1849"/>
        <item m="1" x="171"/>
        <item m="1" x="169"/>
        <item m="1" x="531"/>
        <item m="1" x="1769"/>
        <item m="1" x="780"/>
        <item m="1" x="167"/>
        <item m="1" x="1367"/>
        <item m="1" x="202"/>
        <item m="1" x="1838"/>
        <item m="1" x="1875"/>
        <item m="1" x="2018"/>
        <item m="1" x="1977"/>
        <item m="1" x="915"/>
        <item m="1" x="2123"/>
        <item m="1" x="1021"/>
        <item m="1" x="1796"/>
        <item m="1" x="2011"/>
        <item m="1" x="1568"/>
        <item m="1" x="1491"/>
        <item m="1" x="2165"/>
        <item m="1" x="988"/>
        <item m="1" x="15"/>
        <item m="1" x="12"/>
        <item m="1" x="85"/>
        <item m="1" x="121"/>
        <item m="1" x="329"/>
        <item m="1" x="636"/>
        <item m="1" x="1239"/>
        <item m="1" x="1580"/>
        <item m="1" x="403"/>
        <item m="1" x="1018"/>
        <item m="1" x="2235"/>
        <item m="1" x="1055"/>
        <item m="1" x="1150"/>
        <item m="1" x="2173"/>
        <item m="1" x="71"/>
        <item m="1" x="289"/>
        <item m="1" x="886"/>
        <item m="1" x="660"/>
        <item m="1" x="1871"/>
        <item m="1" x="1213"/>
        <item m="1" x="1426"/>
        <item m="1" x="259"/>
        <item m="1" x="1465"/>
        <item m="1" x="2246"/>
        <item m="1" x="1067"/>
        <item m="1" x="1057"/>
        <item m="1" x="1542"/>
        <item m="1" x="1064"/>
        <item m="1" x="1506"/>
        <item m="1" x="479"/>
        <item m="1" x="1680"/>
        <item m="1" x="516"/>
        <item m="1" x="876"/>
        <item m="1" x="405"/>
        <item m="1" x="1130"/>
        <item m="1" x="2346"/>
        <item m="1" x="1172"/>
        <item m="1" x="2278"/>
        <item m="1" x="691"/>
        <item m="1" x="1901"/>
        <item m="1" x="729"/>
        <item m="1" x="1939"/>
        <item m="1" x="331"/>
        <item m="1" x="1935"/>
        <item m="1" x="762"/>
        <item m="1" x="1325"/>
        <item m="1" x="159"/>
        <item m="1" x="1359"/>
        <item m="1" x="195"/>
        <item m="1" x="1396"/>
        <item m="1" x="1321"/>
        <item m="1" x="1578"/>
        <item m="1" x="402"/>
        <item m="1" x="442"/>
        <item m="1" x="1324"/>
        <item m="1" x="157"/>
        <item m="1" x="119"/>
        <item m="1" x="46"/>
        <item m="1" x="2179"/>
        <item m="1" x="618"/>
        <item m="1" x="1224"/>
        <item m="1" x="1577"/>
        <item m="1" x="1974"/>
        <item m="1" x="1078"/>
        <item m="1" x="1192"/>
        <item m="1" x="719"/>
        <item m="1" x="360"/>
        <item m="1" x="955"/>
        <item m="1" x="826"/>
        <item m="1" x="960"/>
        <item m="1" x="1358"/>
        <item m="1" x="194"/>
        <item m="1" x="1395"/>
        <item m="1" x="2239"/>
        <item m="1" x="999"/>
        <item m="1" x="385"/>
        <item m="1" x="521"/>
        <item m="1" x="1720"/>
        <item m="1" x="554"/>
        <item m="1" x="686"/>
        <item m="1" x="1898"/>
        <item m="1" x="724"/>
        <item m="1" x="1023"/>
        <item m="1" x="2240"/>
        <item m="1" x="1061"/>
        <item m="1" x="82"/>
        <item m="1" x="1581"/>
        <item m="1" x="1212"/>
        <item m="1" x="766"/>
        <item m="1" x="1979"/>
        <item m="1" x="985"/>
        <item m="1" x="914"/>
        <item m="1" x="984"/>
        <item m="1" x="1174"/>
        <item m="1" x="2081"/>
        <item m="1" x="2273"/>
        <item m="1" x="1096"/>
        <item m="1" x="2308"/>
        <item m="1" x="333"/>
        <item m="1" x="1543"/>
        <item m="1" x="80"/>
        <item m="1" x="1893"/>
        <item m="1" x="125"/>
        <item m="1" x="1967"/>
        <item m="1" x="1276"/>
        <item m="1" x="1879"/>
        <item m="1" x="885"/>
        <item m="1" x="1185"/>
        <item m="1" x="19"/>
        <item m="1" x="1684"/>
        <item m="1" x="2085"/>
        <item m="1" x="370"/>
        <item m="1" x="9"/>
        <item m="1" x="1020"/>
        <item m="1" x="1290"/>
        <item m="1" x="1361"/>
        <item m="1" x="196"/>
        <item m="1" x="1397"/>
        <item m="1" x="232"/>
        <item m="1" x="519"/>
        <item m="1" x="553"/>
        <item m="1" x="589"/>
        <item m="1" x="2161"/>
        <item m="1" x="911"/>
        <item m="1" x="2119"/>
        <item m="1" x="767"/>
        <item m="1" x="986"/>
        <item m="1" x="10"/>
        <item m="1" x="120"/>
        <item m="1" x="1791"/>
        <item m="1" x="25"/>
        <item m="1" x="619"/>
        <item m="1" x="1715"/>
        <item m="1" x="761"/>
        <item m="1" x="185"/>
        <item m="1" x="781"/>
        <item m="1" x="942"/>
        <item m="1" x="735"/>
        <item m="1" x="1343"/>
        <item m="1" x="1008"/>
        <item m="1" x="1682"/>
        <item m="1" x="1832"/>
        <item m="1" x="550"/>
        <item m="1" x="1756"/>
        <item m="1" x="588"/>
        <item m="1" x="1178"/>
        <item m="1" x="438"/>
        <item m="1" x="1843"/>
        <item m="1" x="2130"/>
        <item m="1" x="395"/>
        <item m="1" x="1628"/>
        <item m="1" x="632"/>
        <item m="1" x="919"/>
        <item m="1" x="1802"/>
        <item m="1" x="2090"/>
        <item m="1" x="17"/>
        <item m="1" x="381"/>
        <item m="1" x="1219"/>
        <item m="1" x="126"/>
        <item m="1" x="417"/>
        <item m="1" x="490"/>
        <item m="1" x="2372"/>
        <item m="1" x="140"/>
        <item m="1" x="284"/>
        <item m="1" x="798"/>
        <item m="1" x="1413"/>
        <item m="1" x="1563"/>
        <item m="1" x="1487"/>
        <item m="1" x="311"/>
        <item m="1" x="1944"/>
        <item m="1" x="1602"/>
        <item m="1" x="1920"/>
        <item m="1" x="744"/>
        <item m="1" x="348"/>
        <item m="1" x="1847"/>
        <item m="1" x="13"/>
        <item m="1" x="511"/>
        <item m="1" x="470"/>
        <item m="1" x="855"/>
        <item m="1" x="861"/>
        <item m="1" x="2100"/>
        <item m="1" x="529"/>
        <item m="1" x="1135"/>
        <item m="1" x="2069"/>
        <item m="1" x="2314"/>
        <item m="1" x="859"/>
        <item m="1" x="808"/>
        <item m="1" x="1100"/>
        <item m="1" x="1039"/>
        <item m="1" x="1521"/>
        <item m="1" x="1596"/>
        <item m="1" x="1663"/>
        <item m="1" x="1193"/>
        <item m="1" x="706"/>
        <item m="1" x="1372"/>
        <item m="1" x="1445"/>
        <item m="1" x="2367"/>
        <item m="1" x="1911"/>
        <item m="1" x="89"/>
        <item m="1" x="164"/>
        <item m="1" x="1337"/>
        <item m="1" x="499"/>
        <item m="1" x="1226"/>
        <item m="1" x="1298"/>
        <item m="1" x="1686"/>
        <item m="1" x="1763"/>
        <item m="1" x="2355"/>
        <item m="1" x="1333"/>
        <item m="1" x="1295"/>
        <item m="1" x="2274"/>
        <item m="1" x="1054"/>
        <item m="1" x="1644"/>
        <item m="1" x="2232"/>
        <item m="1" x="2145"/>
        <item m="1" x="1840"/>
        <item m="1" x="1531"/>
        <item m="1" x="1437"/>
        <item m="1" x="1231"/>
        <item m="1" x="571"/>
        <item m="1" x="1077"/>
        <item m="1" x="1151"/>
        <item m="1" x="135"/>
        <item m="1" x="1736"/>
        <item m="1" x="1328"/>
        <item m="1" x="1400"/>
        <item m="1" x="208"/>
        <item m="1" x="235"/>
        <item m="1" x="304"/>
        <item m="1" x="628"/>
        <item m="1" x="959"/>
        <item m="1" x="1033"/>
        <item m="1" x="274"/>
        <item m="1" x="346"/>
        <item m="1" x="2052"/>
        <item m="1" x="2236"/>
        <item m="1" x="2351"/>
        <item m="1" x="1492"/>
        <item m="1" x="2152"/>
        <item m="1" x="745"/>
        <item m="1" x="2174"/>
        <item m="1" x="2050"/>
        <item m="1" x="1593"/>
        <item m="1" x="669"/>
        <item m="1" x="1431"/>
        <item m="1" x="1681"/>
        <item m="1" x="1934"/>
        <item m="1" x="152"/>
        <item m="1" x="1630"/>
        <item m="1" x="1777"/>
        <item m="1" x="1976"/>
        <item m="1" x="1316"/>
        <item m="1" x="172"/>
        <item m="1" x="1921"/>
        <item m="1" x="1695"/>
        <item m="1" x="1105"/>
        <item m="1" x="1753"/>
        <item m="1" x="383"/>
        <item m="1" x="820"/>
        <item m="1" x="1514"/>
        <item m="1" x="1255"/>
        <item m="1" x="2065"/>
        <item m="1" x="2058"/>
        <item m="1" x="1590"/>
        <item m="1" x="1655"/>
        <item m="1" x="1798"/>
        <item m="1" x="1872"/>
        <item m="1" x="1940"/>
        <item m="1" x="2217"/>
        <item m="1" x="926"/>
        <item m="1" x="1813"/>
        <item m="1" x="376"/>
        <item m="1" x="451"/>
        <item m="1" x="777"/>
        <item m="1" x="1440"/>
        <item m="1" x="953"/>
        <item m="1" x="1027"/>
        <item m="1" x="1547"/>
        <item m="1" x="1617"/>
        <item m="1" x="921"/>
        <item m="1" x="1472"/>
        <item m="1" x="1924"/>
        <item m="1" x="64"/>
        <item m="1" x="316"/>
        <item m="1" x="464"/>
        <item m="1" x="91"/>
        <item m="1" x="2291"/>
        <item m="1" x="1805"/>
        <item m="1" x="1102"/>
        <item m="1" x="1795"/>
        <item m="1" x="513"/>
        <item m="1" x="1896"/>
        <item m="1" x="1707"/>
        <item m="1" x="2215"/>
        <item m="1" x="2101"/>
        <item m="1" x="1001"/>
        <item m="1" x="160"/>
        <item m="1" x="1868"/>
        <item m="1" x="687"/>
        <item m="1" x="1415"/>
        <item m="1" x="415"/>
        <item m="1" x="2014"/>
        <item m="1" x="1559"/>
        <item m="1" x="606"/>
        <item m="1" x="1905"/>
        <item m="1" x="265"/>
        <item m="1" x="372"/>
        <item m="1" x="1247"/>
        <item m="1" x="1076"/>
        <item m="1" x="1498"/>
        <item m="1" x="473"/>
        <item m="1" x="1070"/>
        <item m="1" x="1186"/>
        <item m="1" x="1085"/>
        <item m="1" x="2205"/>
        <item m="1" x="53"/>
        <item m="1" x="234"/>
        <item m="1" x="14"/>
        <item m="1" x="1259"/>
        <item m="1" x="1553"/>
        <item m="1" x="935"/>
        <item m="1" x="2309"/>
        <item m="1" x="1354"/>
        <item m="1" x="1462"/>
        <item m="1" x="132"/>
        <item m="1" x="72"/>
        <item m="1" x="220"/>
        <item m="1" x="361"/>
        <item m="1" x="1952"/>
        <item m="1" x="2028"/>
        <item m="1" x="526"/>
        <item m="1" x="597"/>
        <item m="1" x="1623"/>
        <item m="1" x="564"/>
        <item m="1" x="814"/>
        <item m="1" x="882"/>
        <item m="1" x="1500"/>
        <item m="1" x="1538"/>
        <item m="1" x="1063"/>
        <item m="1" x="1139"/>
        <item m="1" x="987"/>
        <item m="1" x="49"/>
        <item m="1" x="1289"/>
        <item m="1" x="1978"/>
        <item m="1" x="2199"/>
        <item m="1" x="2276"/>
        <item m="1" x="2048"/>
        <item m="1" x="2122"/>
        <item m="1" x="1390"/>
        <item m="1" x="1541"/>
        <item m="1" x="230"/>
        <item m="1" x="299"/>
        <item m="1" x="371"/>
        <item m="1" x="446"/>
        <item m="1" x="520"/>
        <item m="1" x="591"/>
        <item m="1" x="1132"/>
        <item m="1" x="1794"/>
        <item m="1" x="2082"/>
        <item m="1" x="1973"/>
        <item m="1" x="75"/>
        <item m="1" x="114"/>
        <item m="1" x="150"/>
        <item m="1" x="512"/>
        <item m="1" x="584"/>
        <item m="1" x="653"/>
        <item m="1" x="683"/>
        <item m="1" x="759"/>
        <item m="1" x="803"/>
        <item m="1" x="839"/>
        <item m="1" x="1015"/>
        <item m="1" x="1350"/>
        <item m="1" x="1387"/>
        <item m="1" x="1460"/>
        <item m="1" x="1640"/>
        <item m="1" x="1410"/>
        <item m="1" x="2312"/>
        <item m="1" x="175"/>
        <item m="1" x="1161"/>
        <item m="1" x="1906"/>
        <item m="1" x="2019"/>
        <item m="1" x="248"/>
        <item m="1" x="2127"/>
        <item m="1" x="1764"/>
        <item m="1" x="1416"/>
        <item m="1" x="391"/>
        <item m="1" x="1820"/>
        <item m="1" x="849"/>
        <item m="1" x="1455"/>
        <item m="1" x="2089"/>
        <item m="1" x="596"/>
        <item m="1" x="1235"/>
        <item m="1" x="67"/>
        <item m="1" x="2373"/>
        <item m="1" x="733"/>
        <item m="1" x="1839"/>
        <item m="1" x="664"/>
        <item m="1" x="1801"/>
        <item m="1" x="33"/>
        <item m="1" x="630"/>
        <item m="1" x="695"/>
        <item m="1" x="320"/>
        <item m="1" x="917"/>
        <item m="1" x="104"/>
        <item m="1" x="141"/>
        <item m="1" x="182"/>
        <item m="1" x="772"/>
        <item m="1" x="1565"/>
        <item m="1" x="467"/>
        <item m="1" x="575"/>
        <item m="1" x="1216"/>
        <item m="1" x="813"/>
        <item m="1" x="355"/>
        <item m="1" x="504"/>
        <item m="1" x="1743"/>
        <item m="1" x="215"/>
        <item m="1" x="1530"/>
        <item m="1" x="2245"/>
        <item m="1" x="1066"/>
        <item m="1" x="2281"/>
        <item m="1" x="2204"/>
        <item m="1" x="1633"/>
        <item m="1" x="1104"/>
        <item m="1" x="2357"/>
        <item m="1" x="1026"/>
        <item m="1" x="1668"/>
        <item m="1" x="1182"/>
        <item m="1" x="612"/>
        <item m="1" x="1273"/>
        <item m="1" x="1782"/>
        <item m="1" x="16"/>
        <item m="1" x="1876"/>
        <item m="1" x="1380"/>
        <item m="1" x="1493"/>
        <item m="1" x="1098"/>
        <item m="1" x="1306"/>
        <item m="1" x="1704"/>
        <item m="1" x="2320"/>
        <item m="1" x="2053"/>
        <item m="1" x="285"/>
        <item m="1" x="881"/>
        <item m="1" x="162"/>
        <item m="1" x="1363"/>
        <item m="1" x="1962"/>
        <item m="1" x="1891"/>
        <item m="1" x="645"/>
        <item m="1" x="1254"/>
        <item m="1" x="87"/>
        <item m="1" x="1611"/>
        <item m="1" x="486"/>
        <item m="1" x="860"/>
        <item m="1" x="1509"/>
        <item m="1" x="2106"/>
        <item m="1" x="1471"/>
        <item m="1" x="339"/>
        <item m="1" x="1399"/>
        <item m="1" x="2000"/>
        <item m="1" x="1436"/>
        <item m="1" x="302"/>
        <item m="1" x="898"/>
        <item m="1" x="2071"/>
        <item m="1" x="268"/>
        <item m="1" x="2143"/>
        <item m="1" x="2221"/>
        <item m="1" x="1650"/>
        <item m="1" x="2297"/>
        <item m="1" x="2034"/>
        <item m="1" x="1411"/>
        <item m="1" x="176"/>
        <item m="1" x="410"/>
        <item m="1" x="1006"/>
        <item m="1" x="792"/>
        <item m="1" x="373"/>
        <item m="1" x="969"/>
        <item m="1" x="233"/>
        <item m="1" x="830"/>
        <item m="1" x="1585"/>
        <item m="1" x="2185"/>
        <item m="1" x="2371"/>
        <item m="1" x="523"/>
        <item m="1" x="1120"/>
        <item m="1" x="1723"/>
        <item m="1" x="594"/>
        <item m="1" x="2334"/>
        <item m="1" x="559"/>
        <item m="1" x="1159"/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29">
        <item sd="0" m="1" x="1"/>
        <item m="1" x="27"/>
        <item m="1" x="9"/>
        <item m="1" x="14"/>
        <item sd="0" m="1" x="26"/>
        <item sd="0" m="1" x="5"/>
        <item sd="0" m="1" x="21"/>
        <item sd="0" m="1" x="24"/>
        <item sd="0" m="1" x="4"/>
        <item sd="0" m="1" x="17"/>
        <item sd="0" m="1" x="23"/>
        <item sd="0" m="1" x="8"/>
        <item sd="0" m="1" x="15"/>
        <item sd="0" m="1" x="28"/>
        <item sd="0" m="1" x="7"/>
        <item sd="0" m="1" x="19"/>
        <item sd="0" m="1" x="25"/>
        <item sd="0" m="1" x="10"/>
        <item sd="0" m="1" x="3"/>
        <item m="1" x="20"/>
        <item m="1" x="13"/>
        <item m="1" x="16"/>
        <item m="1" x="11"/>
        <item m="1" x="6"/>
        <item sd="0" m="1" x="2"/>
        <item sd="0" m="1" x="22"/>
        <item sd="0" m="1" x="18"/>
        <item sd="0" m="1" x="12"/>
        <item x="0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6">
    <field x="22"/>
    <field x="2"/>
    <field x="5"/>
    <field x="7"/>
    <field x="11"/>
    <field x="17"/>
  </rowFields>
  <rowItems count="6">
    <i>
      <x v="28"/>
    </i>
    <i r="1">
      <x v="2"/>
    </i>
    <i r="2">
      <x v="210"/>
    </i>
    <i r="3">
      <x v="8"/>
    </i>
    <i r="4">
      <x v="3019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8">
    <pageField fld="0" hier="-1"/>
    <pageField fld="3" hier="-1"/>
    <pageField fld="1" hier="-1"/>
    <pageField fld="6" hier="-1"/>
    <pageField fld="8" hier="-1"/>
    <pageField fld="13" hier="-1"/>
    <pageField fld="12" hier="-1"/>
    <pageField fld="14" hier="-1"/>
  </pageFields>
  <dataFields count="18">
    <dataField name="Progress" fld="45" baseField="5" baseItem="4" numFmtId="10"/>
    <dataField name="Demands" fld="40" baseField="5" baseItem="0" numFmtId="1"/>
    <dataField name="Features / Bugs" fld="39" baseField="5" baseItem="0" numFmtId="1"/>
    <dataField name="Activities" fld="41" baseField="5" baseItem="2"/>
    <dataField name="Ballpark" fld="33" baseField="0" baseItem="0" numFmtId="167"/>
    <dataField name="Ballpark %" fld="48" baseField="5" baseItem="37" numFmtId="9"/>
    <dataField name="Planned" fld="34" baseField="0" baseItem="0" numFmtId="167"/>
    <dataField name="Planned%" fld="47" baseField="5" baseItem="37" numFmtId="9"/>
    <dataField name="Backlog" fld="31" baseField="0" baseItem="0" numFmtId="167"/>
    <dataField name="Done" fld="35" baseField="11" baseItem="56" numFmtId="167"/>
    <dataField name="Total Scope" fld="29" baseField="0" baseItem="0" numFmtId="167"/>
    <dataField name="Doing" fld="38" baseField="0" baseItem="0"/>
    <dataField name="_Done" fld="37" baseField="22" baseItem="0" numFmtId="165"/>
    <dataField name="Total" fld="23" baseField="5" baseItem="8" numFmtId="167"/>
    <dataField name="_EEP" fld="46" baseField="0" baseItem="0" numFmtId="169"/>
    <dataField name="_Wrong Worklog" fld="24" subtotal="max" baseField="5" baseItem="8" numFmtId="167"/>
    <dataField name="Bug Estimate" fld="43" baseField="5" baseItem="8" numFmtId="167"/>
    <dataField name="Bug Worklog" fld="44" baseField="5" baseItem="8" numFmtId="167"/>
  </dataFields>
  <formats count="23">
    <format dxfId="164">
      <pivotArea field="22" type="button" dataOnly="0" labelOnly="1" outline="0" axis="axisRow" fieldPosition="0"/>
    </format>
    <format dxfId="163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3"/>
            <x v="15"/>
            <x v="16"/>
            <x v="17"/>
          </reference>
        </references>
      </pivotArea>
    </format>
    <format dxfId="162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61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60">
      <pivotArea outline="0" collapsedLevelsAreSubtotals="1" fieldPosition="0">
        <references count="1">
          <reference field="4294967294" count="4" selected="0">
            <x v="4"/>
            <x v="5"/>
            <x v="6"/>
            <x v="7"/>
          </reference>
        </references>
      </pivotArea>
    </format>
    <format dxfId="159">
      <pivotArea dataOnly="0" labelOnly="1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158">
      <pivotArea outline="0" collapsedLevelsAreSubtotals="1" fieldPosition="0">
        <references count="1">
          <reference field="4294967294" count="3" selected="0">
            <x v="8"/>
            <x v="9"/>
            <x v="10"/>
          </reference>
        </references>
      </pivotArea>
    </format>
    <format dxfId="157">
      <pivotArea dataOnly="0" labelOnly="1" outline="0" fieldPosition="0">
        <references count="1">
          <reference field="4294967294" count="3">
            <x v="8"/>
            <x v="9"/>
            <x v="10"/>
          </reference>
        </references>
      </pivotArea>
    </format>
    <format dxfId="156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55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54">
      <pivotArea outline="0" collapsedLevelsAreSubtotals="1" fieldPosition="0">
        <references count="1">
          <reference field="4294967294" count="7" selected="0">
            <x v="8"/>
            <x v="9"/>
            <x v="10"/>
            <x v="13"/>
            <x v="15"/>
            <x v="16"/>
            <x v="17"/>
          </reference>
        </references>
      </pivotArea>
    </format>
    <format dxfId="15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52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51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50">
      <pivotArea outline="0" fieldPosition="0">
        <references count="1">
          <reference field="4294967294" count="1">
            <x v="14"/>
          </reference>
        </references>
      </pivotArea>
    </format>
    <format dxfId="149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148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3"/>
            <x v="14"/>
            <x v="15"/>
            <x v="16"/>
            <x v="17"/>
          </reference>
        </references>
      </pivotArea>
    </format>
    <format dxfId="147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46">
      <pivotArea outline="0" fieldPosition="0">
        <references count="1">
          <reference field="4294967294" count="1">
            <x v="12"/>
          </reference>
        </references>
      </pivotArea>
    </format>
    <format dxfId="145">
      <pivotArea outline="0" fieldPosition="0">
        <references count="1">
          <reference field="4294967294" count="1">
            <x v="12"/>
          </reference>
        </references>
      </pivotArea>
    </format>
    <format dxfId="144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43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42">
      <pivotArea dataOnly="0" labelOnly="1" outline="0" fieldPosition="0">
        <references count="1">
          <reference field="4294967294" count="1">
            <x v="1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DemandsByStatus" cacheId="61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4" indent="0" outline="1" outlineData="1" multipleFieldFilters="0" colHeaderCaption="Activity Status" fieldListSortAscending="1">
  <location ref="A5:C8" firstHeaderRow="1" firstDataRow="2" firstDataCol="1" rowPageCount="2" colPageCount="1"/>
  <pivotFields count="46">
    <pivotField axis="axisPage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sd="0" x="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 sortType="ascending">
      <items count="2"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4">
    <field x="22"/>
    <field x="5"/>
    <field x="11"/>
    <field x="12"/>
  </rowFields>
  <rowItems count="2">
    <i>
      <x/>
    </i>
    <i t="grand">
      <x/>
    </i>
  </rowItems>
  <colFields count="1">
    <field x="13"/>
  </colFields>
  <colItems count="2">
    <i>
      <x/>
    </i>
    <i t="grand">
      <x/>
    </i>
  </colItems>
  <pageFields count="2">
    <pageField fld="0" hier="-1"/>
    <pageField fld="2" hier="-1"/>
  </pageFields>
  <dataFields count="1">
    <dataField name="Contagem de SUBTASK_FULL_DESCRIPTION" fld="17" subtotal="count" baseField="0" baseItem="0"/>
  </dataFields>
  <formats count="4">
    <format dxfId="141">
      <pivotArea outline="0" collapsedLevelsAreSubtotals="1" fieldPosition="0"/>
    </format>
    <format dxfId="140">
      <pivotArea dataOnly="0" labelOnly="1" outline="0" fieldPosition="0">
        <references count="1">
          <reference field="0" count="0"/>
        </references>
      </pivotArea>
    </format>
    <format dxfId="139">
      <pivotArea type="topRight" dataOnly="0" labelOnly="1" outline="0" fieldPosition="0"/>
    </format>
    <format dxfId="138">
      <pivotArea dataOnly="0" labelOnly="1" grandCol="1" outline="0" fieldPosition="0"/>
    </format>
  </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Gantt" cacheId="41" applyNumberFormats="0" applyBorderFormats="0" applyFontFormats="0" applyPatternFormats="0" applyAlignmentFormats="0" applyWidthHeightFormats="1" dataCaption="Values" updatedVersion="6" minRefreshableVersion="3" useAutoFormatting="1" itemPrintTitles="1" mergeItem="1" createdVersion="6" indent="0" outline="1" outlineData="1">
  <location ref="A5:C8" firstHeaderRow="1" firstDataRow="2" firstDataCol="1" rowPageCount="3" colPageCount="1"/>
  <pivotFields count="18">
    <pivotField axis="axisRow" showAll="0" sortType="ascending" defaultSubtotal="0">
      <items count="27">
        <item m="1" x="9"/>
        <item m="1" x="14"/>
        <item sd="0" m="1" x="25"/>
        <item m="1" x="4"/>
        <item sd="0" m="1" x="23"/>
        <item sd="0" m="1" x="3"/>
        <item sd="0" m="1" x="17"/>
        <item sd="0" m="1" x="22"/>
        <item sd="0" m="1" x="7"/>
        <item sd="0" m="1" x="15"/>
        <item sd="0" m="1" x="26"/>
        <item sd="0" m="1" x="6"/>
        <item sd="0" m="1" x="19"/>
        <item sd="0" m="1" x="24"/>
        <item sd="0" m="1" x="10"/>
        <item sd="0" m="1" x="2"/>
        <item sd="0" m="1" x="20"/>
        <item sd="0" m="1" x="13"/>
        <item m="1" x="16"/>
        <item m="1" x="11"/>
        <item m="1" x="5"/>
        <item m="1" x="1"/>
        <item sd="0" m="1" x="21"/>
        <item sd="0" m="1" x="18"/>
        <item sd="0" m="1" x="12"/>
        <item m="1" x="8"/>
        <item sd="0" x="0"/>
      </items>
    </pivotField>
    <pivotField axis="axisRow" showAll="0" defaultSubtotal="0">
      <items count="63">
        <item m="1" x="29"/>
        <item sd="0" m="1" x="22"/>
        <item sd="0" m="1" x="4"/>
        <item m="1" x="37"/>
        <item m="1" x="50"/>
        <item x="0"/>
        <item m="1" x="5"/>
        <item m="1" x="56"/>
        <item m="1" x="27"/>
        <item m="1" x="48"/>
        <item m="1" x="38"/>
        <item m="1" x="6"/>
        <item m="1" x="7"/>
        <item m="1" x="52"/>
        <item m="1" x="43"/>
        <item m="1" x="8"/>
        <item m="1" x="47"/>
        <item m="1" x="46"/>
        <item m="1" x="14"/>
        <item m="1" x="17"/>
        <item m="1" x="59"/>
        <item m="1" x="51"/>
        <item m="1" x="21"/>
        <item m="1" x="32"/>
        <item m="1" x="33"/>
        <item m="1" x="20"/>
        <item m="1" x="36"/>
        <item m="1" x="62"/>
        <item m="1" x="57"/>
        <item m="1" x="30"/>
        <item m="1" x="25"/>
        <item m="1" x="58"/>
        <item m="1" x="11"/>
        <item m="1" x="49"/>
        <item m="1" x="61"/>
        <item m="1" x="35"/>
        <item m="1" x="28"/>
        <item m="1" x="54"/>
        <item m="1" x="44"/>
        <item m="1" x="2"/>
        <item m="1" x="12"/>
        <item m="1" x="39"/>
        <item m="1" x="9"/>
        <item m="1" x="40"/>
        <item m="1" x="3"/>
        <item m="1" x="26"/>
        <item m="1" x="53"/>
        <item m="1" x="23"/>
        <item m="1" x="24"/>
        <item m="1" x="16"/>
        <item m="1" x="60"/>
        <item sd="0" m="1" x="41"/>
        <item sd="0" m="1" x="1"/>
        <item sd="0" m="1" x="19"/>
        <item m="1" x="15"/>
        <item sd="0" m="1" x="13"/>
        <item sd="0" m="1" x="18"/>
        <item sd="0" m="1" x="10"/>
        <item sd="0" m="1" x="55"/>
        <item sd="0" m="1" x="45"/>
        <item m="1" x="34"/>
        <item sd="0" m="1" x="42"/>
        <item sd="0" m="1" x="31"/>
      </items>
    </pivotField>
    <pivotField axis="axisRow" showAll="0" sortType="ascending" defaultSubtotal="0">
      <items count="418">
        <item m="1" x="61"/>
        <item m="1" x="42"/>
        <item m="1" x="357"/>
        <item m="1" x="215"/>
        <item m="1" x="375"/>
        <item m="1" x="364"/>
        <item m="1" x="52"/>
        <item m="1" x="413"/>
        <item m="1" x="17"/>
        <item m="1" x="196"/>
        <item m="1" x="319"/>
        <item m="1" x="414"/>
        <item m="1" x="197"/>
        <item m="1" x="134"/>
        <item m="1" x="239"/>
        <item m="1" x="381"/>
        <item m="1" x="412"/>
        <item m="1" x="296"/>
        <item m="1" x="230"/>
        <item m="1" x="394"/>
        <item m="1" x="315"/>
        <item m="1" x="82"/>
        <item m="1" x="232"/>
        <item m="1" x="132"/>
        <item m="1" x="85"/>
        <item m="1" x="407"/>
        <item m="1" x="310"/>
        <item m="1" x="180"/>
        <item m="1" x="332"/>
        <item m="1" x="218"/>
        <item m="1" x="185"/>
        <item m="1" x="221"/>
        <item m="1" x="160"/>
        <item m="1" x="157"/>
        <item m="1" x="410"/>
        <item m="1" x="146"/>
        <item m="1" x="81"/>
        <item m="1" x="362"/>
        <item m="1" x="189"/>
        <item m="1" x="346"/>
        <item m="1" x="392"/>
        <item m="1" x="108"/>
        <item m="1" x="151"/>
        <item m="1" x="177"/>
        <item m="1" x="73"/>
        <item m="1" x="402"/>
        <item m="1" x="35"/>
        <item m="1" x="69"/>
        <item m="1" x="387"/>
        <item m="1" x="228"/>
        <item m="1" x="263"/>
        <item m="1" x="312"/>
        <item m="1" x="262"/>
        <item m="1" x="175"/>
        <item m="1" x="172"/>
        <item m="1" x="344"/>
        <item m="1" x="350"/>
        <item m="1" x="207"/>
        <item m="1" x="83"/>
        <item m="1" x="403"/>
        <item m="1" x="195"/>
        <item m="1" x="267"/>
        <item m="1" x="40"/>
        <item m="1" x="212"/>
        <item m="1" x="210"/>
        <item m="1" x="223"/>
        <item m="1" x="416"/>
        <item m="1" x="291"/>
        <item m="1" x="297"/>
        <item m="1" x="316"/>
        <item m="1" x="274"/>
        <item m="1" x="258"/>
        <item m="1" x="22"/>
        <item m="1" x="86"/>
        <item m="1" x="168"/>
        <item m="1" x="199"/>
        <item m="1" x="339"/>
        <item m="1" x="13"/>
        <item m="1" x="264"/>
        <item m="1" x="110"/>
        <item m="1" x="24"/>
        <item m="1" x="379"/>
        <item m="1" x="131"/>
        <item m="1" x="190"/>
        <item m="1" x="370"/>
        <item m="1" x="109"/>
        <item m="1" x="97"/>
        <item m="1" x="275"/>
        <item m="1" x="37"/>
        <item m="1" x="75"/>
        <item m="1" x="21"/>
        <item m="1" x="80"/>
        <item m="1" x="66"/>
        <item m="1" x="363"/>
        <item m="1" x="90"/>
        <item m="1" x="1"/>
        <item m="1" x="38"/>
        <item m="1" x="95"/>
        <item m="1" x="257"/>
        <item m="1" x="226"/>
        <item m="1" x="170"/>
        <item m="1" x="299"/>
        <item m="1" x="39"/>
        <item m="1" x="18"/>
        <item m="1" x="213"/>
        <item m="1" x="361"/>
        <item m="1" x="54"/>
        <item m="1" x="254"/>
        <item m="1" x="368"/>
        <item m="1" x="290"/>
        <item m="1" x="229"/>
        <item m="1" x="313"/>
        <item m="1" x="343"/>
        <item m="1" x="236"/>
        <item m="1" x="222"/>
        <item m="1" x="307"/>
        <item m="1" x="317"/>
        <item m="1" x="164"/>
        <item m="1" x="25"/>
        <item m="1" x="121"/>
        <item m="1" x="336"/>
        <item m="1" x="32"/>
        <item m="1" x="150"/>
        <item m="1" x="252"/>
        <item m="1" x="106"/>
        <item m="1" x="16"/>
        <item m="1" x="149"/>
        <item m="1" x="64"/>
        <item m="1" x="50"/>
        <item m="1" x="284"/>
        <item m="1" x="354"/>
        <item m="1" x="318"/>
        <item m="1" x="289"/>
        <item m="1" x="153"/>
        <item m="1" x="104"/>
        <item m="1" x="256"/>
        <item m="1" x="401"/>
        <item m="1" x="201"/>
        <item m="1" x="139"/>
        <item m="1" x="279"/>
        <item m="1" x="6"/>
        <item m="1" x="342"/>
        <item m="1" x="224"/>
        <item m="1" x="128"/>
        <item m="1" x="240"/>
        <item m="1" x="44"/>
        <item m="1" x="11"/>
        <item m="1" x="14"/>
        <item m="1" x="8"/>
        <item sd="0" m="1" x="349"/>
        <item sd="0" m="1" x="27"/>
        <item sd="0" m="1" x="373"/>
        <item sd="0" m="1" x="135"/>
        <item sd="0" m="1" x="78"/>
        <item sd="0" m="1" x="193"/>
        <item sd="0" m="1" x="409"/>
        <item sd="0" m="1" x="244"/>
        <item sd="0" m="1" x="56"/>
        <item sd="0" m="1" x="249"/>
        <item m="1" x="372"/>
        <item m="1" x="181"/>
        <item sd="0" m="1" x="105"/>
        <item sd="0" m="1" x="329"/>
        <item m="1" x="272"/>
        <item m="1" x="411"/>
        <item m="1" x="227"/>
        <item sd="0" m="1" x="369"/>
        <item m="1" x="77"/>
        <item m="1" x="237"/>
        <item m="1" x="115"/>
        <item m="1" x="417"/>
        <item m="1" x="333"/>
        <item sd="0" m="1" x="359"/>
        <item m="1" x="301"/>
        <item m="1" x="127"/>
        <item sd="0" m="1" x="59"/>
        <item m="1" x="273"/>
        <item m="1" x="103"/>
        <item m="1" x="220"/>
        <item sd="0" m="1" x="30"/>
        <item m="1" x="367"/>
        <item m="1" x="250"/>
        <item m="1" x="124"/>
        <item sd="0" m="1" x="49"/>
        <item m="1" x="233"/>
        <item m="1" x="130"/>
        <item sd="0" m="1" x="107"/>
        <item m="1" x="314"/>
        <item m="1" x="143"/>
        <item sd="0" m="1" x="320"/>
        <item m="1" x="214"/>
        <item m="1" x="12"/>
        <item sd="0" m="1" x="57"/>
        <item m="1" x="305"/>
        <item m="1" x="198"/>
        <item m="1" x="366"/>
        <item m="1" x="216"/>
        <item m="1" x="225"/>
        <item m="1" x="331"/>
        <item m="1" x="321"/>
        <item m="1" x="287"/>
        <item m="1" x="242"/>
        <item m="1" x="219"/>
        <item m="1" x="76"/>
        <item m="1" x="200"/>
        <item m="1" x="400"/>
        <item m="1" x="388"/>
        <item m="1" x="391"/>
        <item m="1" x="118"/>
        <item m="1" x="251"/>
        <item m="1" x="282"/>
        <item m="1" x="399"/>
        <item m="1" x="293"/>
        <item m="1" x="43"/>
        <item m="1" x="304"/>
        <item m="1" x="15"/>
        <item m="1" x="383"/>
        <item m="1" x="5"/>
        <item m="1" x="340"/>
        <item m="1" x="129"/>
        <item m="1" x="406"/>
        <item m="1" x="266"/>
        <item m="1" x="122"/>
        <item m="1" x="10"/>
        <item m="1" x="41"/>
        <item m="1" x="204"/>
        <item m="1" x="144"/>
        <item m="1" x="161"/>
        <item m="1" x="138"/>
        <item m="1" x="269"/>
        <item m="1" x="91"/>
        <item m="1" x="206"/>
        <item m="1" x="358"/>
        <item m="1" x="51"/>
        <item m="1" x="338"/>
        <item m="1" x="87"/>
        <item m="1" x="345"/>
        <item m="1" x="380"/>
        <item m="1" x="271"/>
        <item m="1" x="126"/>
        <item m="1" x="278"/>
        <item m="1" x="324"/>
        <item m="1" x="23"/>
        <item m="1" x="405"/>
        <item m="1" x="72"/>
        <item m="1" x="385"/>
        <item m="1" x="234"/>
        <item m="1" x="111"/>
        <item m="1" x="165"/>
        <item m="1" x="184"/>
        <item m="1" x="209"/>
        <item m="1" x="120"/>
        <item m="1" x="63"/>
        <item m="1" x="322"/>
        <item m="1" x="142"/>
        <item m="1" x="205"/>
        <item m="1" x="101"/>
        <item m="1" x="286"/>
        <item m="1" x="203"/>
        <item m="1" x="102"/>
        <item m="1" x="351"/>
        <item m="1" x="145"/>
        <item m="1" x="60"/>
        <item m="1" x="302"/>
        <item m="1" x="397"/>
        <item m="1" x="303"/>
        <item m="1" x="281"/>
        <item m="1" x="171"/>
        <item m="1" x="231"/>
        <item m="1" x="288"/>
        <item m="1" x="334"/>
        <item m="1" x="173"/>
        <item m="1" x="70"/>
        <item m="1" x="330"/>
        <item m="1" x="253"/>
        <item m="1" x="327"/>
        <item m="1" x="155"/>
        <item m="1" x="238"/>
        <item m="1" x="384"/>
        <item m="1" x="62"/>
        <item m="1" x="353"/>
        <item m="1" x="280"/>
        <item m="1" x="68"/>
        <item m="1" x="31"/>
        <item m="1" x="98"/>
        <item m="1" x="65"/>
        <item m="1" x="211"/>
        <item m="1" x="20"/>
        <item m="1" x="261"/>
        <item m="1" x="47"/>
        <item m="1" x="355"/>
        <item m="1" x="408"/>
        <item m="1" x="348"/>
        <item m="1" x="88"/>
        <item m="1" x="162"/>
        <item m="1" x="55"/>
        <item m="1" x="148"/>
        <item m="1" x="136"/>
        <item m="1" x="194"/>
        <item m="1" x="141"/>
        <item m="1" x="89"/>
        <item m="1" x="48"/>
        <item m="1" x="113"/>
        <item m="1" x="112"/>
        <item m="1" x="71"/>
        <item m="1" x="335"/>
        <item m="1" x="259"/>
        <item m="1" x="356"/>
        <item m="1" x="156"/>
        <item m="1" x="300"/>
        <item m="1" x="26"/>
        <item m="1" x="309"/>
        <item m="1" x="311"/>
        <item m="1" x="7"/>
        <item m="1" x="167"/>
        <item m="1" x="100"/>
        <item m="1" x="188"/>
        <item m="1" x="178"/>
        <item m="1" x="404"/>
        <item m="1" x="33"/>
        <item m="1" x="377"/>
        <item m="1" x="283"/>
        <item m="1" x="191"/>
        <item m="1" x="202"/>
        <item m="1" x="9"/>
        <item m="1" x="398"/>
        <item m="1" x="371"/>
        <item m="1" x="276"/>
        <item m="1" x="53"/>
        <item m="1" x="255"/>
        <item m="1" x="94"/>
        <item sd="0" m="1" x="28"/>
        <item m="1" x="29"/>
        <item sd="0" m="1" x="133"/>
        <item m="1" x="395"/>
        <item m="1" x="182"/>
        <item m="1" x="186"/>
        <item sd="0" m="1" x="270"/>
        <item m="1" x="114"/>
        <item m="1" x="241"/>
        <item sd="0" m="1" x="2"/>
        <item m="1" x="378"/>
        <item m="1" x="390"/>
        <item sd="0" m="1" x="137"/>
        <item m="1" x="415"/>
        <item m="1" x="58"/>
        <item m="1" x="99"/>
        <item m="1" x="187"/>
        <item m="1" x="79"/>
        <item sd="0" m="1" x="268"/>
        <item sd="0" m="1" x="217"/>
        <item m="1" x="295"/>
        <item sd="0" m="1" x="243"/>
        <item m="1" x="341"/>
        <item sd="0" m="1" x="393"/>
        <item sd="0" m="1" x="96"/>
        <item sd="0" m="1" x="248"/>
        <item sd="0" m="1" x="119"/>
        <item m="1" x="123"/>
        <item sd="0" m="1" x="347"/>
        <item sd="0" m="1" x="92"/>
        <item m="1" x="176"/>
        <item m="1" x="166"/>
        <item sd="0" m="1" x="19"/>
        <item m="1" x="365"/>
        <item sd="0" m="1" x="192"/>
        <item m="1" x="154"/>
        <item m="1" x="325"/>
        <item m="1" x="159"/>
        <item m="1" x="389"/>
        <item m="1" x="174"/>
        <item m="1" x="45"/>
        <item m="1" x="158"/>
        <item m="1" x="4"/>
        <item m="1" x="208"/>
        <item m="1" x="235"/>
        <item m="1" x="265"/>
        <item m="1" x="326"/>
        <item m="1" x="246"/>
        <item m="1" x="292"/>
        <item m="1" x="163"/>
        <item m="1" x="277"/>
        <item m="1" x="84"/>
        <item m="1" x="93"/>
        <item m="1" x="74"/>
        <item m="1" x="328"/>
        <item m="1" x="46"/>
        <item m="1" x="396"/>
        <item m="1" x="306"/>
        <item m="1" x="125"/>
        <item m="1" x="298"/>
        <item m="1" x="116"/>
        <item m="1" x="183"/>
        <item m="1" x="179"/>
        <item m="1" x="294"/>
        <item m="1" x="323"/>
        <item m="1" x="3"/>
        <item m="1" x="376"/>
        <item m="1" x="140"/>
        <item m="1" x="382"/>
        <item m="1" x="386"/>
        <item m="1" x="245"/>
        <item m="1" x="169"/>
        <item m="1" x="67"/>
        <item m="1" x="147"/>
        <item m="1" x="285"/>
        <item m="1" x="36"/>
        <item m="1" x="117"/>
        <item m="1" x="152"/>
        <item m="1" x="260"/>
        <item m="1" x="247"/>
        <item m="1" x="374"/>
        <item m="1" x="360"/>
        <item m="1" x="34"/>
        <item m="1" x="308"/>
        <item m="1" x="337"/>
        <item m="1" x="352"/>
        <item x="0"/>
      </items>
    </pivotField>
    <pivotField axis="axisRow" showAll="0" defaultSubtotal="0">
      <items count="1026">
        <item m="1" x="141"/>
        <item m="1" x="96"/>
        <item m="1" x="550"/>
        <item m="1" x="234"/>
        <item sd="0" m="1" x="597"/>
        <item m="1" x="175"/>
        <item m="1" x="400"/>
        <item m="1" x="406"/>
        <item m="1" x="656"/>
        <item m="1" x="76"/>
        <item m="1" x="39"/>
        <item m="1" x="327"/>
        <item m="1" x="834"/>
        <item m="1" x="518"/>
        <item m="1" x="929"/>
        <item m="1" x="328"/>
        <item m="1" x="505"/>
        <item m="1" x="329"/>
        <item sd="0" m="1" x="57"/>
        <item m="1" x="408"/>
        <item m="1" x="80"/>
        <item m="1" x="64"/>
        <item m="1" x="786"/>
        <item m="1" x="593"/>
        <item m="1" x="67"/>
        <item m="1" x="75"/>
        <item m="1" x="587"/>
        <item m="1" x="605"/>
        <item m="1" x="208"/>
        <item m="1" x="145"/>
        <item m="1" x="723"/>
        <item m="1" x="506"/>
        <item x="0"/>
        <item m="1" x="242"/>
        <item m="1" x="925"/>
        <item m="1" x="77"/>
        <item m="1" x="45"/>
        <item m="1" x="219"/>
        <item m="1" x="143"/>
        <item m="1" x="9"/>
        <item m="1" x="147"/>
        <item m="1" x="452"/>
        <item m="1" x="13"/>
        <item m="1" x="716"/>
        <item m="1" x="680"/>
        <item m="1" x="239"/>
        <item m="1" x="1"/>
        <item m="1" x="360"/>
        <item m="1" x="18"/>
        <item m="1" x="430"/>
        <item m="1" x="131"/>
        <item m="1" x="918"/>
        <item m="1" x="976"/>
        <item m="1" x="367"/>
        <item m="1" x="258"/>
        <item m="1" x="228"/>
        <item m="1" x="347"/>
        <item m="1" x="940"/>
        <item m="1" x="1014"/>
        <item m="1" x="498"/>
        <item m="1" x="324"/>
        <item m="1" x="429"/>
        <item m="1" x="139"/>
        <item m="1" x="802"/>
        <item m="1" x="941"/>
        <item m="1" x="794"/>
        <item m="1" x="525"/>
        <item m="1" x="415"/>
        <item m="1" x="568"/>
        <item m="1" x="704"/>
        <item m="1" x="833"/>
        <item m="1" x="924"/>
        <item m="1" x="904"/>
        <item m="1" x="356"/>
        <item m="1" x="543"/>
        <item m="1" x="819"/>
        <item m="1" x="591"/>
        <item m="1" x="220"/>
        <item m="1" x="204"/>
        <item m="1" x="751"/>
        <item m="1" x="272"/>
        <item m="1" x="681"/>
        <item m="1" x="321"/>
        <item m="1" x="632"/>
        <item m="1" x="182"/>
        <item m="1" x="201"/>
        <item m="1" x="424"/>
        <item m="1" x="930"/>
        <item m="1" x="164"/>
        <item m="1" x="721"/>
        <item m="1" x="333"/>
        <item m="1" x="687"/>
        <item m="1" x="793"/>
        <item m="1" x="881"/>
        <item m="1" x="510"/>
        <item m="1" x="582"/>
        <item m="1" x="5"/>
        <item m="1" x="247"/>
        <item m="1" x="135"/>
        <item m="1" x="567"/>
        <item m="1" x="703"/>
        <item m="1" x="972"/>
        <item m="1" x="281"/>
        <item m="1" x="898"/>
        <item m="1" x="743"/>
        <item m="1" x="269"/>
        <item m="1" x="750"/>
        <item m="1" x="372"/>
        <item m="1" x="381"/>
        <item m="1" x="22"/>
        <item m="1" x="134"/>
        <item m="1" x="171"/>
        <item m="1" x="245"/>
        <item m="1" x="106"/>
        <item m="1" x="320"/>
        <item m="1" x="611"/>
        <item m="1" x="374"/>
        <item m="1" x="565"/>
        <item m="1" x="999"/>
        <item m="1" x="172"/>
        <item m="1" x="401"/>
        <item m="1" x="939"/>
        <item m="1" x="492"/>
        <item m="1" x="963"/>
        <item m="1" x="450"/>
        <item m="1" x="451"/>
        <item m="1" x="535"/>
        <item m="1" x="967"/>
        <item m="1" x="903"/>
        <item m="1" x="863"/>
        <item m="1" x="660"/>
        <item m="1" x="74"/>
        <item m="1" x="647"/>
        <item m="1" x="818"/>
        <item m="1" x="590"/>
        <item m="1" x="996"/>
        <item m="1" x="635"/>
        <item m="1" x="437"/>
        <item m="1" x="203"/>
        <item m="1" x="761"/>
        <item m="1" x="546"/>
        <item m="1" x="6"/>
        <item m="1" x="737"/>
        <item m="1" x="33"/>
        <item m="1" x="562"/>
        <item m="1" x="526"/>
        <item m="1" x="238"/>
        <item m="1" x="428"/>
        <item m="1" x="938"/>
        <item m="1" x="194"/>
        <item m="1" x="734"/>
        <item m="1" x="861"/>
        <item m="1" x="733"/>
        <item m="1" x="184"/>
        <item m="1" x="932"/>
        <item m="1" x="115"/>
        <item m="1" x="757"/>
        <item m="1" x="470"/>
        <item m="1" x="851"/>
        <item m="1" x="299"/>
        <item m="1" x="668"/>
        <item m="1" x="10"/>
        <item m="1" x="724"/>
        <item m="1" x="725"/>
        <item m="1" x="662"/>
        <item m="1" x="686"/>
        <item m="1" x="330"/>
        <item m="1" x="788"/>
        <item m="1" x="289"/>
        <item m="1" x="789"/>
        <item m="1" x="25"/>
        <item m="1" x="375"/>
        <item m="1" x="1015"/>
        <item m="1" x="612"/>
        <item m="1" x="694"/>
        <item m="1" x="832"/>
        <item m="1" x="997"/>
        <item m="1" x="68"/>
        <item m="1" x="103"/>
        <item m="1" x="824"/>
        <item m="1" x="101"/>
        <item m="1" x="376"/>
        <item m="1" x="66"/>
        <item m="1" x="840"/>
        <item m="1" x="934"/>
        <item m="1" x="527"/>
        <item m="1" x="627"/>
        <item m="1" x="371"/>
        <item m="1" x="537"/>
        <item m="1" x="685"/>
        <item m="1" x="459"/>
        <item m="1" x="684"/>
        <item m="1" x="85"/>
        <item m="1" x="166"/>
        <item m="1" x="446"/>
        <item m="1" x="7"/>
        <item m="1" x="693"/>
        <item m="1" x="62"/>
        <item m="1" x="162"/>
        <item m="1" x="366"/>
        <item m="1" x="416"/>
        <item m="1" x="319"/>
        <item m="1" x="507"/>
        <item m="1" x="283"/>
        <item m="1" x="51"/>
        <item m="1" x="422"/>
        <item m="1" x="434"/>
        <item m="1" x="534"/>
        <item m="1" x="154"/>
        <item m="1" x="756"/>
        <item m="1" x="609"/>
        <item m="1" x="291"/>
        <item m="1" x="100"/>
        <item m="1" x="566"/>
        <item m="1" x="28"/>
        <item m="1" x="61"/>
        <item m="1" x="836"/>
        <item m="1" x="803"/>
        <item m="1" x="948"/>
        <item m="1" x="962"/>
        <item m="1" x="15"/>
        <item m="1" x="708"/>
        <item m="1" x="191"/>
        <item m="1" x="463"/>
        <item m="1" x="965"/>
        <item m="1" x="129"/>
        <item m="1" x="297"/>
        <item m="1" x="489"/>
        <item m="1" x="200"/>
        <item m="1" x="875"/>
        <item m="1" x="479"/>
        <item m="1" x="785"/>
        <item m="1" x="570"/>
        <item m="1" x="34"/>
        <item m="1" x="438"/>
        <item m="1" x="1002"/>
        <item m="1" x="119"/>
        <item m="1" x="774"/>
        <item m="1" x="968"/>
        <item m="1" x="359"/>
        <item m="1" x="811"/>
        <item m="1" x="351"/>
        <item m="1" x="659"/>
        <item m="1" x="44"/>
        <item m="1" x="795"/>
        <item m="1" x="830"/>
        <item m="1" x="643"/>
        <item m="1" x="230"/>
        <item m="1" x="79"/>
        <item m="1" x="205"/>
        <item m="1" x="1011"/>
        <item m="1" x="63"/>
        <item m="1" x="914"/>
        <item m="1" x="645"/>
        <item m="1" x="380"/>
        <item m="1" x="14"/>
        <item m="1" x="56"/>
        <item m="1" x="157"/>
        <item m="1" x="701"/>
        <item m="1" x="32"/>
        <item m="1" x="173"/>
        <item m="1" x="980"/>
        <item m="1" x="781"/>
        <item m="1" x="663"/>
        <item m="1" x="513"/>
        <item m="1" x="116"/>
        <item m="1" x="388"/>
        <item m="1" x="293"/>
        <item m="1" x="107"/>
        <item m="1" x="23"/>
        <item m="1" x="86"/>
        <item m="1" x="50"/>
        <item m="1" x="1019"/>
        <item m="1" x="288"/>
        <item m="1" x="387"/>
        <item m="1" x="986"/>
        <item m="1" x="769"/>
        <item m="1" x="40"/>
        <item m="1" x="102"/>
        <item m="1" x="65"/>
        <item m="1" x="447"/>
        <item m="1" x="296"/>
        <item m="1" x="626"/>
        <item m="1" x="210"/>
        <item m="1" x="99"/>
        <item m="1" x="78"/>
        <item m="1" x="338"/>
        <item m="1" x="683"/>
        <item m="1" x="749"/>
        <item m="1" x="70"/>
        <item m="1" x="213"/>
        <item m="1" x="343"/>
        <item m="1" x="84"/>
        <item m="1" x="515"/>
        <item m="1" x="639"/>
        <item m="1" x="646"/>
        <item m="1" x="24"/>
        <item m="1" x="365"/>
        <item m="1" x="19"/>
        <item m="1" x="384"/>
        <item m="1" x="458"/>
        <item m="1" x="985"/>
        <item m="1" x="909"/>
        <item m="1" x="443"/>
        <item m="1" x="418"/>
        <item m="1" x="835"/>
        <item m="1" x="361"/>
        <item m="1" x="657"/>
        <item m="1" x="140"/>
        <item m="1" x="314"/>
        <item m="1" x="838"/>
        <item m="1" x="902"/>
        <item m="1" x="156"/>
        <item m="1" x="825"/>
        <item m="1" x="912"/>
        <item m="1" x="741"/>
        <item m="1" x="265"/>
        <item m="1" x="509"/>
        <item m="1" x="179"/>
        <item m="1" x="679"/>
        <item m="1" x="804"/>
        <item m="1" x="731"/>
        <item m="1" x="637"/>
        <item m="1" x="202"/>
        <item m="1" x="717"/>
        <item m="1" x="38"/>
        <item m="1" x="168"/>
        <item m="1" x="558"/>
        <item m="1" x="584"/>
        <item m="1" x="89"/>
        <item m="1" x="155"/>
        <item m="1" x="690"/>
        <item m="1" x="806"/>
        <item m="1" x="655"/>
        <item m="1" x="992"/>
        <item m="1" x="246"/>
        <item m="1" x="842"/>
        <item m="1" x="805"/>
        <item m="1" x="72"/>
        <item m="1" x="549"/>
        <item m="1" x="260"/>
        <item m="1" x="207"/>
        <item m="1" x="801"/>
        <item m="1" x="666"/>
        <item m="1" x="453"/>
        <item m="1" x="601"/>
        <item m="1" x="307"/>
        <item m="1" x="797"/>
        <item m="1" x="559"/>
        <item m="1" x="471"/>
        <item m="1" x="876"/>
        <item m="1" x="813"/>
        <item m="1" x="334"/>
        <item m="1" x="118"/>
        <item m="1" x="603"/>
        <item m="1" x="504"/>
        <item m="1" x="270"/>
        <item m="1" x="149"/>
        <item m="1" x="893"/>
        <item m="1" x="417"/>
        <item m="1" x="987"/>
        <item m="1" x="606"/>
        <item m="1" x="48"/>
        <item m="1" x="884"/>
        <item m="1" x="160"/>
        <item m="1" x="736"/>
        <item m="1" x="137"/>
        <item m="1" x="630"/>
        <item m="1" x="491"/>
        <item m="1" x="27"/>
        <item m="1" x="71"/>
        <item m="1" x="978"/>
        <item m="1" x="256"/>
        <item m="1" x="52"/>
        <item m="1" x="88"/>
        <item m="1" x="1003"/>
        <item m="1" x="323"/>
        <item m="1" x="923"/>
        <item m="1" x="762"/>
        <item m="1" x="831"/>
        <item m="1" x="488"/>
        <item m="1" x="552"/>
        <item m="1" x="755"/>
        <item m="1" x="569"/>
        <item m="1" x="378"/>
        <item m="1" x="58"/>
        <item m="1" x="229"/>
        <item m="1" x="691"/>
        <item m="1" x="257"/>
        <item m="1" x="301"/>
        <item m="1" x="308"/>
        <item m="1" x="979"/>
        <item m="1" x="644"/>
        <item m="1" x="494"/>
        <item m="1" x="501"/>
        <item m="1" x="409"/>
        <item m="1" x="523"/>
        <item m="1" x="564"/>
        <item m="1" x="673"/>
        <item m="1" x="817"/>
        <item m="1" x="674"/>
        <item m="1" x="705"/>
        <item m="1" x="383"/>
        <item m="1" x="357"/>
        <item m="1" x="111"/>
        <item m="1" x="970"/>
        <item m="1" x="404"/>
        <item m="1" x="574"/>
        <item m="1" x="403"/>
        <item m="1" x="573"/>
        <item m="1" x="218"/>
        <item m="1" x="578"/>
        <item m="1" x="480"/>
        <item m="1" x="618"/>
        <item m="1" x="252"/>
        <item m="1" x="142"/>
        <item m="1" x="436"/>
        <item m="1" x="753"/>
        <item m="1" x="845"/>
        <item m="1" x="620"/>
        <item m="1" x="126"/>
        <item m="1" x="672"/>
        <item m="1" x="798"/>
        <item m="1" x="782"/>
        <item m="1" x="651"/>
        <item m="1" x="561"/>
        <item m="1" x="240"/>
        <item m="1" x="472"/>
        <item m="1" x="739"/>
        <item m="1" x="532"/>
        <item m="1" x="642"/>
        <item m="1" x="385"/>
        <item m="1" x="188"/>
        <item m="1" x="435"/>
        <item m="1" x="377"/>
        <item m="1" x="960"/>
        <item m="1" x="298"/>
        <item m="1" x="275"/>
        <item m="1" x="495"/>
        <item m="1" x="652"/>
        <item m="1" x="342"/>
        <item m="1" x="69"/>
        <item m="1" x="197"/>
        <item m="1" x="354"/>
        <item m="1" x="433"/>
        <item m="1" x="432"/>
        <item m="1" x="837"/>
        <item m="1" x="112"/>
        <item m="1" x="752"/>
        <item m="1" x="844"/>
        <item m="1" x="161"/>
        <item m="1" x="619"/>
        <item m="1" x="138"/>
        <item m="1" x="98"/>
        <item m="1" x="41"/>
        <item m="1" x="599"/>
        <item m="1" x="82"/>
        <item m="1" x="828"/>
        <item m="1" x="614"/>
        <item m="1" x="414"/>
        <item m="1" x="667"/>
        <item m="1" x="586"/>
        <item m="1" x="729"/>
        <item m="1" x="396"/>
        <item m="1" x="720"/>
        <item m="1" x="961"/>
        <item m="1" x="130"/>
        <item m="1" x="485"/>
        <item m="1" x="279"/>
        <item m="1" x="896"/>
        <item m="1" x="866"/>
        <item m="1" x="865"/>
        <item m="1" x="702"/>
        <item m="1" x="278"/>
        <item m="1" x="282"/>
        <item m="1" x="553"/>
        <item m="1" x="1010"/>
        <item m="1" x="97"/>
        <item m="1" x="598"/>
        <item m="1" x="81"/>
        <item m="1" x="827"/>
        <item m="1" x="613"/>
        <item m="1" x="413"/>
        <item m="1" x="43"/>
        <item m="1" x="300"/>
        <item m="1" x="585"/>
        <item m="1" x="728"/>
        <item m="1" x="919"/>
        <item m="1" x="395"/>
        <item m="1" x="719"/>
        <item m="1" x="921"/>
        <item m="1" x="649"/>
        <item m="1" x="922"/>
        <item m="1" x="457"/>
        <item m="1" x="862"/>
        <item m="1" x="984"/>
        <item m="1" x="1001"/>
        <item m="1" x="727"/>
        <item m="1" x="547"/>
        <item m="1" x="722"/>
        <item m="1" x="664"/>
        <item m="1" x="563"/>
        <item m="1" x="847"/>
        <item m="1" x="508"/>
        <item m="1" x="956"/>
        <item m="1" x="864"/>
        <item m="1" x="839"/>
        <item m="1" x="1016"/>
        <item m="1" x="770"/>
        <item m="1" x="634"/>
        <item m="1" x="1000"/>
        <item m="1" x="908"/>
        <item m="1" x="799"/>
        <item m="1" x="841"/>
        <item m="1" x="754"/>
        <item m="1" x="290"/>
        <item m="1" x="1021"/>
        <item m="1" x="943"/>
        <item m="1" x="848"/>
        <item m="1" x="185"/>
        <item m="1" x="399"/>
        <item m="1" x="880"/>
        <item m="1" x="1012"/>
        <item m="1" x="765"/>
        <item m="1" x="73"/>
        <item m="1" x="895"/>
        <item m="1" x="237"/>
        <item m="1" x="55"/>
        <item m="1" x="125"/>
        <item m="1" x="641"/>
        <item m="1" x="144"/>
        <item m="1" x="809"/>
        <item m="1" x="726"/>
        <item m="1" x="692"/>
        <item m="1" x="633"/>
        <item m="1" x="1023"/>
        <item m="1" x="456"/>
        <item m="1" x="707"/>
        <item m="1" x="1020"/>
        <item m="1" x="1024"/>
        <item m="1" x="390"/>
        <item m="1" x="215"/>
        <item m="1" x="955"/>
        <item m="1" x="49"/>
        <item m="1" x="696"/>
        <item m="1" x="812"/>
        <item m="1" x="474"/>
        <item m="1" x="738"/>
        <item m="1" x="151"/>
        <item m="1" x="87"/>
        <item m="1" x="760"/>
        <item m="1" x="540"/>
        <item m="1" x="577"/>
        <item m="1" x="322"/>
        <item m="1" x="891"/>
        <item m="1" x="420"/>
        <item m="1" x="887"/>
        <item m="1" x="483"/>
        <item m="1" x="767"/>
        <item m="1" x="271"/>
        <item m="1" x="158"/>
        <item m="1" x="872"/>
        <item m="1" x="589"/>
        <item m="1" x="339"/>
        <item m="1" x="454"/>
        <item m="1" x="402"/>
        <item m="1" x="274"/>
        <item m="1" x="995"/>
        <item m="1" x="392"/>
        <item m="1" x="942"/>
        <item m="1" x="521"/>
        <item m="1" x="83"/>
        <item m="1" x="497"/>
        <item m="1" x="206"/>
        <item m="1" x="496"/>
        <item m="1" x="309"/>
        <item m="1" x="732"/>
        <item m="1" x="250"/>
        <item m="1" x="885"/>
        <item m="1" x="820"/>
        <item m="1" x="199"/>
        <item m="1" x="466"/>
        <item m="1" x="571"/>
        <item m="1" x="711"/>
        <item m="1" x="421"/>
        <item m="1" x="959"/>
        <item m="1" x="1017"/>
        <item m="1" x="26"/>
        <item m="1" x="706"/>
        <item m="1" x="931"/>
        <item m="1" x="617"/>
        <item m="1" x="353"/>
        <item m="1" x="520"/>
        <item m="1" x="449"/>
        <item m="1" x="897"/>
        <item m="1" x="1009"/>
        <item m="1" x="915"/>
        <item m="1" x="121"/>
        <item m="1" x="198"/>
        <item m="1" x="425"/>
        <item m="1" x="926"/>
        <item m="1" x="169"/>
        <item m="1" x="335"/>
        <item m="1" x="503"/>
        <item m="1" x="894"/>
        <item m="1" x="12"/>
        <item m="1" x="389"/>
        <item m="1" x="442"/>
        <item m="1" x="870"/>
        <item m="1" x="42"/>
        <item m="1" x="927"/>
        <item m="1" x="867"/>
        <item m="1" x="581"/>
        <item m="1" x="21"/>
        <item m="1" x="462"/>
        <item m="1" x="900"/>
        <item m="1" x="628"/>
        <item m="1" x="214"/>
        <item m="1" x="675"/>
        <item m="1" x="1007"/>
        <item m="1" x="109"/>
        <item m="1" x="935"/>
        <item m="1" x="665"/>
        <item m="1" x="648"/>
        <item m="1" x="944"/>
        <item m="1" x="531"/>
        <item m="1" x="874"/>
        <item m="1" x="989"/>
        <item m="1" x="311"/>
        <item m="1" x="146"/>
        <item m="1" x="455"/>
        <item m="1" x="263"/>
        <item m="1" x="317"/>
        <item m="1" x="928"/>
        <item m="1" x="46"/>
        <item m="1" x="178"/>
        <item m="1" x="715"/>
        <item m="1" x="292"/>
        <item m="1" x="560"/>
        <item m="1" x="539"/>
        <item m="1" x="267"/>
        <item m="1" x="211"/>
        <item m="1" x="20"/>
        <item m="1" x="958"/>
        <item m="1" x="783"/>
        <item m="1" x="529"/>
        <item m="1" x="981"/>
        <item m="1" x="481"/>
        <item m="1" x="512"/>
        <item m="1" x="792"/>
        <item m="1" x="423"/>
        <item m="1" x="295"/>
        <item m="1" x="398"/>
        <item m="1" x="441"/>
        <item m="1" x="530"/>
        <item m="1" x="615"/>
        <item m="1" x="190"/>
        <item m="1" x="186"/>
        <item m="1" x="873"/>
        <item m="1" x="988"/>
        <item m="1" x="310"/>
        <item m="1" x="177"/>
        <item m="1" x="714"/>
        <item m="1" x="602"/>
        <item m="1" x="405"/>
        <item m="1" x="807"/>
        <item m="1" x="971"/>
        <item m="1" x="886"/>
        <item m="1" x="17"/>
        <item m="1" x="183"/>
        <item m="1" x="878"/>
        <item m="1" x="533"/>
        <item m="1" x="2"/>
        <item m="1" x="407"/>
        <item m="1" x="616"/>
        <item m="1" x="879"/>
        <item m="1" x="113"/>
        <item m="1" x="440"/>
        <item m="1" x="255"/>
        <item m="1" x="764"/>
        <item m="1" x="557"/>
        <item m="1" x="545"/>
        <item m="1" x="772"/>
        <item m="1" x="538"/>
        <item m="1" x="266"/>
        <item m="1" x="427"/>
        <item m="1" x="888"/>
        <item m="1" x="469"/>
        <item m="1" x="59"/>
        <item m="1" x="852"/>
        <item m="1" x="93"/>
        <item m="1" x="857"/>
        <item m="1" x="379"/>
        <item m="1" x="386"/>
        <item m="1" x="791"/>
        <item m="1" x="856"/>
        <item m="1" x="150"/>
        <item m="1" x="514"/>
        <item m="1" x="92"/>
        <item m="1" x="945"/>
        <item m="1" x="285"/>
        <item m="1" x="419"/>
        <item m="1" x="128"/>
        <item m="1" x="991"/>
        <item m="1" x="445"/>
        <item m="1" x="189"/>
        <item m="1" x="461"/>
        <item m="1" x="773"/>
        <item m="1" x="877"/>
        <item m="1" x="180"/>
        <item m="1" x="580"/>
        <item m="1" x="163"/>
        <item m="1" x="973"/>
        <item m="1" x="710"/>
        <item m="1" x="850"/>
        <item m="1" x="974"/>
        <item m="1" x="373"/>
        <item m="1" x="556"/>
        <item m="1" x="544"/>
        <item m="1" x="763"/>
        <item m="1" x="410"/>
        <item m="1" x="426"/>
        <item m="1" x="800"/>
        <item m="1" x="883"/>
        <item m="1" x="551"/>
        <item m="1" x="397"/>
        <item m="1" x="114"/>
        <item m="1" x="858"/>
        <item m="1" x="170"/>
        <item m="1" x="882"/>
        <item m="1" x="444"/>
        <item m="1" x="313"/>
        <item m="1" x="946"/>
        <item m="1" x="572"/>
        <item m="1" x="159"/>
        <item m="1" x="475"/>
        <item m="1" x="779"/>
        <item m="1" x="790"/>
        <item m="1" x="759"/>
        <item m="1" x="176"/>
        <item m="1" x="982"/>
        <item m="1" x="952"/>
        <item m="1" x="745"/>
        <item m="1" x="226"/>
        <item m="1" x="640"/>
        <item m="1" x="47"/>
        <item m="1" x="216"/>
        <item m="1" x="576"/>
        <item m="1" x="810"/>
        <item m="1" x="554"/>
        <item m="1" x="344"/>
        <item m="1" x="167"/>
        <item m="1" x="124"/>
        <item m="1" x="631"/>
        <item m="1" x="280"/>
        <item m="1" x="519"/>
        <item m="1" x="382"/>
        <item m="1" x="312"/>
        <item m="1" x="439"/>
        <item m="1" x="244"/>
        <item m="1" x="695"/>
        <item m="1" x="966"/>
        <item m="1" x="1018"/>
        <item m="1" x="860"/>
        <item m="1" x="822"/>
        <item m="1" x="105"/>
        <item m="1" x="594"/>
        <item m="1" x="53"/>
        <item m="1" x="709"/>
        <item m="1" x="623"/>
        <item m="1" x="823"/>
        <item m="1" x="11"/>
        <item m="1" x="682"/>
        <item m="1" x="391"/>
        <item m="1" x="254"/>
        <item m="1" x="826"/>
        <item m="1" x="1025"/>
        <item m="1" x="1022"/>
        <item m="1" x="363"/>
        <item m="1" x="994"/>
        <item m="1" x="133"/>
        <item m="1" x="259"/>
        <item m="1" x="223"/>
        <item m="1" x="600"/>
        <item m="1" x="814"/>
        <item m="1" x="977"/>
        <item m="1" x="36"/>
        <item m="1" x="345"/>
        <item m="1" x="37"/>
        <item m="1" x="901"/>
        <item m="1" x="231"/>
        <item m="1" x="268"/>
        <item m="1" x="677"/>
        <item m="1" x="232"/>
        <item m="1" x="346"/>
        <item m="1" x="90"/>
        <item m="1" x="636"/>
        <item m="1" x="331"/>
        <item m="1" x="951"/>
        <item m="1" x="1004"/>
        <item m="1" x="29"/>
        <item m="1" x="998"/>
        <item m="1" x="467"/>
        <item m="1" x="110"/>
        <item m="1" x="629"/>
        <item m="1" x="174"/>
        <item m="1" x="273"/>
        <item m="1" x="748"/>
        <item m="1" x="502"/>
        <item m="1" x="522"/>
        <item m="1" x="123"/>
        <item m="1" x="332"/>
        <item m="1" x="91"/>
        <item m="1" x="1005"/>
        <item m="1" x="30"/>
        <item m="1" x="195"/>
        <item m="1" x="227"/>
        <item m="1" x="490"/>
        <item m="1" x="969"/>
        <item m="1" x="60"/>
        <item m="1" x="542"/>
        <item m="1" x="964"/>
        <item m="1" x="541"/>
        <item m="1" x="771"/>
        <item m="1" x="196"/>
        <item m="1" x="742"/>
        <item m="1" x="610"/>
        <item m="1" x="482"/>
        <item m="1" x="787"/>
        <item m="1" x="318"/>
        <item m="1" x="889"/>
        <item m="1" x="575"/>
        <item m="1" x="548"/>
        <item m="1" x="243"/>
        <item m="1" x="947"/>
        <item m="1" x="464"/>
        <item m="1" x="579"/>
        <item m="1" x="516"/>
        <item m="1" x="511"/>
        <item m="1" x="1006"/>
        <item m="1" x="650"/>
        <item m="1" x="910"/>
        <item m="1" x="16"/>
        <item m="1" x="713"/>
        <item m="1" x="31"/>
        <item m="1" x="678"/>
        <item m="1" x="460"/>
        <item m="1" x="302"/>
        <item m="1" x="899"/>
        <item m="1" x="869"/>
        <item m="1" x="699"/>
        <item m="1" x="236"/>
        <item m="1" x="248"/>
        <item m="1" x="638"/>
        <item m="1" x="303"/>
        <item m="1" x="700"/>
        <item m="1" x="249"/>
        <item m="1" x="340"/>
        <item m="1" x="486"/>
        <item m="1" x="341"/>
        <item m="1" x="364"/>
        <item m="1" x="746"/>
        <item m="1" x="718"/>
        <item m="1" x="412"/>
        <item m="1" x="855"/>
        <item m="1" x="294"/>
        <item m="1" x="933"/>
        <item m="1" x="868"/>
        <item m="1" x="676"/>
        <item m="1" x="411"/>
        <item m="1" x="104"/>
        <item m="1" x="1008"/>
        <item m="1" x="487"/>
        <item m="1" x="747"/>
        <item m="1" x="778"/>
        <item m="1" x="108"/>
        <item m="1" x="777"/>
        <item m="1" x="152"/>
        <item m="1" x="808"/>
        <item m="1" x="555"/>
        <item m="1" x="892"/>
        <item m="1" x="264"/>
        <item m="1" x="153"/>
        <item m="1" x="670"/>
        <item m="1" x="316"/>
        <item m="1" x="669"/>
        <item m="1" x="871"/>
        <item m="1" x="758"/>
        <item m="1" x="315"/>
        <item m="1" x="688"/>
        <item m="1" x="192"/>
        <item m="1" x="394"/>
        <item m="1" x="689"/>
        <item m="1" x="193"/>
        <item m="1" x="325"/>
        <item m="1" x="588"/>
        <item m="1" x="975"/>
        <item m="1" x="355"/>
        <item m="1" x="671"/>
        <item m="1" x="448"/>
        <item m="1" x="212"/>
        <item m="1" x="304"/>
        <item m="1" x="604"/>
        <item m="1" x="337"/>
        <item m="1" x="697"/>
        <item m="1" x="780"/>
        <item m="1" x="1013"/>
        <item m="1" x="907"/>
        <item m="1" x="493"/>
        <item m="1" x="536"/>
        <item m="1" x="990"/>
        <item m="1" x="287"/>
        <item m="1" x="890"/>
        <item m="1" x="484"/>
        <item m="1" x="358"/>
        <item m="1" x="132"/>
        <item m="1" x="843"/>
        <item m="1" x="829"/>
        <item m="1" x="859"/>
        <item m="1" x="136"/>
        <item m="1" x="286"/>
        <item m="1" x="517"/>
        <item m="1" x="8"/>
        <item m="1" x="661"/>
        <item m="1" x="698"/>
        <item m="1" x="148"/>
        <item m="1" x="122"/>
        <item m="1" x="854"/>
        <item m="1" x="117"/>
        <item m="1" x="622"/>
        <item m="1" x="187"/>
        <item m="1" x="368"/>
        <item m="1" x="393"/>
        <item m="1" x="499"/>
        <item m="1" x="821"/>
        <item m="1" x="916"/>
        <item m="1" x="369"/>
        <item m="1" x="349"/>
        <item m="1" x="768"/>
        <item m="1" x="477"/>
        <item m="1" x="94"/>
        <item m="1" x="658"/>
        <item m="1" x="936"/>
        <item m="1" x="473"/>
        <item m="1" x="766"/>
        <item m="1" x="500"/>
        <item m="1" x="253"/>
        <item m="1" x="262"/>
        <item m="1" x="853"/>
        <item m="1" x="217"/>
        <item m="1" x="326"/>
        <item m="1" x="120"/>
        <item m="1" x="796"/>
        <item m="1" x="233"/>
        <item m="1" x="913"/>
        <item m="1" x="784"/>
        <item m="1" x="740"/>
        <item m="1" x="165"/>
        <item m="1" x="583"/>
        <item m="1" x="712"/>
        <item m="1" x="849"/>
        <item m="1" x="465"/>
        <item m="1" x="983"/>
        <item m="1" x="181"/>
        <item m="1" x="846"/>
        <item m="1" x="431"/>
        <item m="1" x="241"/>
        <item m="1" x="906"/>
        <item m="1" x="592"/>
        <item m="1" x="816"/>
        <item m="1" x="35"/>
        <item m="1" x="744"/>
        <item m="1" x="524"/>
        <item m="1" x="468"/>
        <item m="1" x="911"/>
        <item m="1" x="3"/>
        <item m="1" x="276"/>
        <item m="1" x="595"/>
        <item m="1" x="949"/>
        <item m="1" x="905"/>
        <item m="1" x="224"/>
        <item m="1" x="221"/>
        <item m="1" x="775"/>
        <item m="1" x="653"/>
        <item m="1" x="607"/>
        <item m="1" x="305"/>
        <item m="1" x="776"/>
        <item m="1" x="225"/>
        <item m="1" x="4"/>
        <item m="1" x="608"/>
        <item m="1" x="917"/>
        <item m="1" x="370"/>
        <item m="1" x="95"/>
        <item m="1" x="277"/>
        <item m="1" x="596"/>
        <item m="1" x="950"/>
        <item m="1" x="222"/>
        <item m="1" x="350"/>
        <item m="1" x="478"/>
        <item m="1" x="937"/>
        <item m="1" x="654"/>
        <item m="1" x="306"/>
        <item m="1" x="528"/>
        <item m="1" x="957"/>
        <item m="1" x="920"/>
        <item m="1" x="362"/>
        <item m="1" x="476"/>
        <item m="1" x="815"/>
        <item m="1" x="621"/>
        <item m="1" x="127"/>
        <item m="1" x="284"/>
        <item m="1" x="251"/>
        <item m="1" x="336"/>
        <item m="1" x="352"/>
        <item m="1" x="735"/>
        <item m="1" x="235"/>
        <item m="1" x="993"/>
        <item m="1" x="625"/>
        <item m="1" x="730"/>
        <item m="1" x="209"/>
        <item m="1" x="624"/>
        <item m="1" x="954"/>
        <item m="1" x="261"/>
        <item m="1" x="953"/>
        <item m="1" x="348"/>
        <item m="1" x="54"/>
      </items>
    </pivotField>
    <pivotField axis="axisRow" showAll="0" defaultSubtotal="0">
      <items count="7">
        <item m="1" x="5"/>
        <item m="1" x="6"/>
        <item x="0"/>
        <item m="1" x="4"/>
        <item m="1" x="2"/>
        <item m="1" x="3"/>
        <item m="1" x="1"/>
      </items>
    </pivotField>
    <pivotField axis="axisPage" showAll="0" defaultSubtotal="0">
      <items count="20">
        <item m="1" x="2"/>
        <item m="1" x="14"/>
        <item m="1" x="18"/>
        <item m="1" x="3"/>
        <item m="1" x="15"/>
        <item m="1" x="4"/>
        <item x="0"/>
        <item m="1" x="10"/>
        <item m="1" x="13"/>
        <item m="1" x="1"/>
        <item m="1" x="16"/>
        <item m="1" x="19"/>
        <item m="1" x="11"/>
        <item m="1" x="6"/>
        <item m="1" x="5"/>
        <item m="1" x="7"/>
        <item m="1" x="8"/>
        <item m="1" x="9"/>
        <item m="1" x="17"/>
        <item m="1" x="12"/>
      </items>
    </pivotField>
    <pivotField axis="axisPage" showAll="0" defaultSubtotal="0">
      <items count="4">
        <item m="1" x="2"/>
        <item x="0"/>
        <item m="1" x="1"/>
        <item m="1" x="3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9">
        <item m="1" x="4"/>
        <item m="1" x="6"/>
        <item x="0"/>
        <item m="1" x="1"/>
        <item m="1" x="8"/>
        <item m="1" x="2"/>
        <item m="1" x="3"/>
        <item m="1" x="5"/>
        <item m="1" x="7"/>
      </items>
    </pivotField>
    <pivotField axis="axisCol" showAll="0" defaultSubtotal="0">
      <items count="50">
        <item x="0"/>
        <item m="1" x="5"/>
        <item m="1" x="2"/>
        <item m="1" x="1"/>
        <item m="1" x="48"/>
        <item m="1" x="34"/>
        <item m="1" x="32"/>
        <item m="1" x="31"/>
        <item m="1" x="29"/>
        <item m="1" x="30"/>
        <item m="1" x="28"/>
        <item m="1" x="26"/>
        <item m="1" x="24"/>
        <item m="1" x="19"/>
        <item m="1" x="16"/>
        <item m="1" x="12"/>
        <item m="1" x="8"/>
        <item m="1" x="21"/>
        <item m="1" x="20"/>
        <item m="1" x="17"/>
        <item m="1" x="13"/>
        <item m="1" x="9"/>
        <item m="1" x="46"/>
        <item m="1" x="43"/>
        <item m="1" x="39"/>
        <item m="1" x="36"/>
        <item m="1" x="49"/>
        <item m="1" x="47"/>
        <item m="1" x="44"/>
        <item m="1" x="40"/>
        <item m="1" x="37"/>
        <item m="1" x="27"/>
        <item m="1" x="25"/>
        <item m="1" x="23"/>
        <item m="1" x="22"/>
        <item m="1" x="14"/>
        <item m="1" x="10"/>
        <item m="1" x="6"/>
        <item m="1" x="3"/>
        <item m="1" x="18"/>
        <item m="1" x="15"/>
        <item m="1" x="11"/>
        <item m="1" x="7"/>
        <item m="1" x="4"/>
        <item m="1" x="41"/>
        <item m="1" x="38"/>
        <item m="1" x="35"/>
        <item m="1" x="33"/>
        <item m="1" x="45"/>
        <item m="1" x="42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5">
    <field x="0"/>
    <field x="4"/>
    <field x="1"/>
    <field x="2"/>
    <field x="3"/>
  </rowFields>
  <rowItems count="2">
    <i>
      <x v="26"/>
    </i>
    <i t="grand">
      <x/>
    </i>
  </rowItems>
  <colFields count="1">
    <field x="12"/>
  </colFields>
  <colItems count="2">
    <i>
      <x/>
    </i>
    <i t="grand">
      <x/>
    </i>
  </colItems>
  <pageFields count="3">
    <pageField fld="5" hier="-1"/>
    <pageField fld="6" hier="-1"/>
    <pageField fld="11" hier="-1"/>
  </pageFields>
  <dataFields count="1">
    <dataField name="_Days" fld="14" baseField="0" baseItem="0" numFmtId="165"/>
  </dataFields>
  <formats count="82">
    <format dxfId="113">
      <pivotArea dataOnly="0" labelOnly="1" grandCol="1" outline="0" fieldPosition="0"/>
    </format>
    <format dxfId="112">
      <pivotArea dataOnly="0" labelOnly="1" grandCol="1" outline="0" fieldPosition="0"/>
    </format>
    <format dxfId="111">
      <pivotArea dataOnly="0" labelOnly="1" grandCol="1" outline="0" fieldPosition="0"/>
    </format>
    <format dxfId="110">
      <pivotArea dataOnly="0" labelOnly="1" grandCol="1" outline="0" fieldPosition="0"/>
    </format>
    <format dxfId="109">
      <pivotArea dataOnly="0" labelOnly="1" grandCol="1" outline="0" fieldPosition="0"/>
    </format>
    <format dxfId="108">
      <pivotArea dataOnly="0" labelOnly="1" grandCol="1" outline="0" fieldPosition="0"/>
    </format>
    <format dxfId="107">
      <pivotArea dataOnly="0" labelOnly="1" grandCol="1" outline="0" fieldPosition="0"/>
    </format>
    <format dxfId="106">
      <pivotArea dataOnly="0" labelOnly="1" grandCol="1" outline="0" fieldPosition="0"/>
    </format>
    <format dxfId="105">
      <pivotArea type="origin" dataOnly="0" labelOnly="1" outline="0" fieldPosition="0"/>
    </format>
    <format dxfId="104">
      <pivotArea type="topRight" dataOnly="0" labelOnly="1" outline="0" fieldPosition="0"/>
    </format>
    <format dxfId="103">
      <pivotArea type="origin" dataOnly="0" labelOnly="1" outline="0" fieldPosition="0"/>
    </format>
    <format dxfId="102">
      <pivotArea type="topRight" dataOnly="0" labelOnly="1" outline="0" fieldPosition="0"/>
    </format>
    <format dxfId="101">
      <pivotArea type="origin" dataOnly="0" labelOnly="1" outline="0" fieldPosition="0"/>
    </format>
    <format dxfId="100">
      <pivotArea type="topRight" dataOnly="0" labelOnly="1" outline="0" fieldPosition="0"/>
    </format>
    <format dxfId="99">
      <pivotArea type="origin" dataOnly="0" labelOnly="1" outline="0" fieldPosition="0"/>
    </format>
    <format dxfId="98">
      <pivotArea type="topRight" dataOnly="0" labelOnly="1" outline="0" fieldPosition="0"/>
    </format>
    <format dxfId="97">
      <pivotArea field="0" type="button" dataOnly="0" labelOnly="1" outline="0" axis="axisRow" fieldPosition="0"/>
    </format>
    <format dxfId="96">
      <pivotArea dataOnly="0" labelOnly="1" fieldPosition="0">
        <references count="1">
          <reference field="12" count="0"/>
        </references>
      </pivotArea>
    </format>
    <format dxfId="95">
      <pivotArea dataOnly="0" labelOnly="1" grandCol="1" outline="0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12" count="0"/>
        </references>
      </pivotArea>
    </format>
    <format dxfId="92">
      <pivotArea dataOnly="0" labelOnly="1" grandCol="1" outline="0" fieldPosition="0"/>
    </format>
    <format dxfId="91">
      <pivotArea field="0" type="button" dataOnly="0" labelOnly="1" outline="0" axis="axisRow" fieldPosition="0"/>
    </format>
    <format dxfId="90">
      <pivotArea dataOnly="0" labelOnly="1" fieldPosition="0">
        <references count="1">
          <reference field="12" count="0"/>
        </references>
      </pivotArea>
    </format>
    <format dxfId="89">
      <pivotArea dataOnly="0" labelOnly="1" grandCol="1" outline="0" fieldPosition="0"/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25" firstHeaderRow="1" firstDataRow="1" firstDataCol="1" rowPageCount="1" colPageCount="1"/>
  <pivotFields count="9">
    <pivotField axis="axisPage" showAll="0">
      <items count="5">
        <item m="1" x="3"/>
        <item m="1" x="1"/>
        <item m="1" x="2"/>
        <item x="0"/>
        <item t="default"/>
      </items>
    </pivotField>
    <pivotField axis="axisRow" showAll="0" defaultSubtotal="0">
      <items count="2">
        <item x="0"/>
        <item x="1"/>
      </items>
    </pivotField>
    <pivotField axis="axisRow" showAll="0">
      <items count="24">
        <item sd="0" x="8"/>
        <item sd="0" x="9"/>
        <item sd="0" x="10"/>
        <item sd="0" x="0"/>
        <item sd="0" x="1"/>
        <item sd="0" x="2"/>
        <item sd="0" x="3"/>
        <item sd="0" x="4"/>
        <item sd="0" x="5"/>
        <item sd="0" x="6"/>
        <item sd="0" x="7"/>
        <item sd="0" m="1" x="22"/>
        <item sd="0" x="11"/>
        <item sd="0" x="12"/>
        <item sd="0" x="13"/>
        <item sd="0" x="14"/>
        <item sd="0" x="15"/>
        <item sd="0" x="16"/>
        <item sd="0" x="17"/>
        <item sd="0" x="18"/>
        <item sd="0" m="1" x="19"/>
        <item sd="0" m="1" x="21"/>
        <item sd="0" m="1" x="20"/>
        <item t="default" sd="0"/>
      </items>
    </pivotField>
    <pivotField axis="axisRow" showAll="0">
      <items count="8">
        <item sd="0" x="1"/>
        <item sd="0" m="1" x="5"/>
        <item sd="0" x="0"/>
        <item sd="0" m="1" x="4"/>
        <item m="1" x="2"/>
        <item m="1" x="6"/>
        <item m="1" x="3"/>
        <item t="default"/>
      </items>
    </pivotField>
    <pivotField numFmtId="9" showAll="0"/>
    <pivotField numFmtId="9" showAll="0"/>
    <pivotField numFmtId="164" showAll="0" defaultSubtotal="0"/>
    <pivotField numFmtId="164" showAll="0" defaultSubtotal="0"/>
    <pivotField dataField="1" numFmtId="9" showAll="0" defaultSubtotal="0"/>
  </pivotFields>
  <rowFields count="3">
    <field x="1"/>
    <field x="2"/>
    <field x="3"/>
  </rowFields>
  <rowItems count="22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pageFields count="1">
    <pageField fld="0" item="3" hier="-1"/>
  </pageFields>
  <dataFields count="1">
    <dataField name="Sum of Group %" fld="8" baseField="0" baseItem="0" numFmtId="10"/>
  </dataFields>
  <formats count="14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1" type="button" dataOnly="0" labelOnly="1" outline="0" axis="axisRow" fieldPosition="0"/>
    </format>
    <format dxfId="84">
      <pivotArea dataOnly="0" labelOnly="1" outline="0" axis="axisValues" fieldPosition="0"/>
    </format>
    <format dxfId="83">
      <pivotArea dataOnly="0" labelOnly="1" fieldPosition="0">
        <references count="1">
          <reference field="1" count="0"/>
        </references>
      </pivotArea>
    </format>
    <format dxfId="82">
      <pivotArea dataOnly="0" labelOnly="1" grandRow="1" outline="0" fieldPosition="0"/>
    </format>
    <format dxfId="81">
      <pivotArea dataOnly="0" labelOnly="1" outline="0" axis="axisValues" fieldPosition="0"/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" type="button" dataOnly="0" labelOnly="1" outline="0" axis="axisRow" fieldPosition="0"/>
    </format>
    <format dxfId="77">
      <pivotArea dataOnly="0" labelOnly="1" outline="0" axis="axisValues" fieldPosition="0"/>
    </format>
    <format dxfId="76">
      <pivotArea dataOnly="0" labelOnly="1" fieldPosition="0">
        <references count="1">
          <reference field="1" count="0"/>
        </references>
      </pivotArea>
    </format>
    <format dxfId="75">
      <pivotArea dataOnly="0" labelOnly="1" grandRow="1" outline="0" fieldPosition="0"/>
    </format>
    <format dxfId="7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jira all_issues_1" backgroundRefresh="0" connectionId="1" autoFormatId="16" applyNumberFormats="0" applyBorderFormats="0" applyFontFormats="0" applyPatternFormats="0" applyAlignmentFormats="0" applyWidthHeightFormats="0">
  <queryTableRefresh nextId="98" unboundColumnsRight="16">
    <queryTableFields count="45">
      <queryTableField id="1" name="project" tableColumnId="1"/>
      <queryTableField id="2" name="demand_type" tableColumnId="2"/>
      <queryTableField id="3" name="demand_status" tableColumnId="3"/>
      <queryTableField id="4" name="demand_num" tableColumnId="4"/>
      <queryTableField id="5" name="demand_summary" tableColumnId="5"/>
      <queryTableField id="6" name="demand_description" tableColumnId="6"/>
      <queryTableField id="8" name="task_type" tableColumnId="8"/>
      <queryTableField id="9" name="task_status" tableColumnId="9"/>
      <queryTableField id="10" name="task_num" tableColumnId="10"/>
      <queryTableField id="11" name="task_summary" tableColumnId="11"/>
      <queryTableField id="12" name="task_description" tableColumnId="12"/>
      <queryTableField id="13" name="task_full_description" tableColumnId="13"/>
      <queryTableField id="15" name="subtask_type" tableColumnId="15"/>
      <queryTableField id="16" name="subtask_status" tableColumnId="16"/>
      <queryTableField id="17" name="subtask_num" tableColumnId="17"/>
      <queryTableField id="18" name="subtask_summary" tableColumnId="18"/>
      <queryTableField id="19" name="subtask_description" tableColumnId="19"/>
      <queryTableField id="20" name="subtask_full_description" tableColumnId="20"/>
      <queryTableField id="61" name="demand_id" tableColumnId="23"/>
      <queryTableField id="62" name="task_id" tableColumnId="32"/>
      <queryTableField id="72" name="subtask_id" tableColumnId="59"/>
      <queryTableField id="73" name="planning_type" tableColumnId="50"/>
      <queryTableField id="74" name="task_release" tableColumnId="7"/>
      <queryTableField id="77" name="worklog" tableColumnId="22"/>
      <queryTableField id="83" name="wrong_worklog" tableColumnId="33"/>
      <queryTableField id="85" name="Demand_ballpark" tableColumnId="35"/>
      <queryTableField id="86" name="Task_ballpark" tableColumnId="39"/>
      <queryTableField id="87" name="tshirt_size" tableColumnId="40"/>
      <queryTableField id="92" name="Query_Type" tableColumnId="41"/>
      <queryTableField id="78" dataBound="0" tableColumnId="24"/>
      <queryTableField id="84" dataBound="0" tableColumnId="26"/>
      <queryTableField id="88" dataBound="0" tableColumnId="14"/>
      <queryTableField id="93" dataBound="0" tableColumnId="48"/>
      <queryTableField id="52" dataBound="0" tableColumnId="31"/>
      <queryTableField id="51" dataBound="0" tableColumnId="30"/>
      <queryTableField id="25" dataBound="0" tableColumnId="25"/>
      <queryTableField id="94" dataBound="0" tableColumnId="49"/>
      <queryTableField id="96" dataBound="0" tableColumnId="21"/>
      <queryTableField id="97" dataBound="0" tableColumnId="27"/>
      <queryTableField id="37" dataBound="0" tableColumnId="37"/>
      <queryTableField id="36" dataBound="0" tableColumnId="36"/>
      <queryTableField id="38" dataBound="0" tableColumnId="38"/>
      <queryTableField id="34" dataBound="0" tableColumnId="34"/>
      <queryTableField id="57" dataBound="0" tableColumnId="46"/>
      <queryTableField id="58" dataBound="0" tableColumnId="4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Holydays" displayName="Holydays" ref="K1:L4" totalsRowShown="0" dataDxfId="137">
  <autoFilter ref="K1:L4"/>
  <tableColumns count="2">
    <tableColumn id="1" name="Holyday" dataDxfId="136"/>
    <tableColumn id="2" name="Date" dataDxfId="135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5" name="Releases" displayName="Releases" ref="N1:P10" totalsRowShown="0" dataDxfId="134">
  <autoFilter ref="N1:P10"/>
  <tableColumns count="3">
    <tableColumn id="1" name="Release Date" dataDxfId="133"/>
    <tableColumn id="3" name="Week" dataDxfId="132">
      <calculatedColumnFormula>Releases[[#This Row],[Release Date]]-WEEKDAY(Releases[[#This Row],[Release Date]],3)</calculatedColumnFormula>
    </tableColumn>
    <tableColumn id="2" name="Release Name" dataDxfId="131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imeline" displayName="Timeline" ref="A9:I16" totalsRowCount="1" headerRowDxfId="130">
  <tableColumns count="9">
    <tableColumn id="1" name="Role" totalsRowLabel="Grand Total"/>
    <tableColumn id="2" name="People" totalsRowFunction="sum" dataDxfId="129" totalsRowDxfId="128"/>
    <tableColumn id="3" name="Individual Daily Effort (net)" dataDxfId="127" totalsRowDxfId="126"/>
    <tableColumn id="4" name="Team Daily Capability" totalsRowFunction="sum" dataDxfId="125" totalsRowDxfId="124"/>
    <tableColumn id="5" name="Cycle Hours  on Backlog" totalsRowFunction="sum" dataDxfId="123" totalsRowDxfId="122"/>
    <tableColumn id="6" name="Risk" totalsRowFunction="sum" dataDxfId="121" totalsRowDxfId="120">
      <calculatedColumnFormula>Timeline[[#This Row],[Cycle Hours  on Backlog]]*$B$1</calculatedColumnFormula>
    </tableColumn>
    <tableColumn id="7" name="Total" totalsRowFunction="sum" dataDxfId="119" totalsRowDxfId="118">
      <calculatedColumnFormula>Timeline[[#This Row],[Cycle Hours  on Backlog]]+Timeline[[#This Row],[Risk]]</calculatedColumnFormula>
    </tableColumn>
    <tableColumn id="11" name="Working Days" totalsRowFunction="max" dataDxfId="117" totalsRowDxfId="116">
      <calculatedColumnFormula>IF(D10=0,0,G10/D10)</calculatedColumnFormula>
    </tableColumn>
    <tableColumn id="12" name="Last Day of Work" totalsRowFunction="max" dataDxfId="115" totalsRowDxfId="114">
      <calculatedColumnFormula>IF(Timeline[[#This Row],[People]]&lt;=0,"",WORKDAY($B$2,Timeline[[#This Row],[Working Days]],Holydays[Holyday]))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" name="IssueTypeVsRoleMapping" displayName="IssueTypeVsRoleMapping" ref="A1:I34" totalsRowCount="1" headerRowDxfId="73" dataDxfId="72" totalsRowDxfId="71">
  <sortState ref="A2:H38">
    <sortCondition ref="B3:B38"/>
    <sortCondition ref="C3:C38"/>
    <sortCondition ref="D3:D38"/>
  </sortState>
  <tableColumns count="9">
    <tableColumn id="1" name="Project" totalsRowLabel="Total" dataDxfId="70" totalsRowDxfId="69"/>
    <tableColumn id="2" name="Group" totalsRowFunction="count" dataDxfId="68" totalsRowDxfId="67">
      <calculatedColumnFormula>IF(ISERROR(FIND("BALLPARK",C2)), "Plan", "BALLPARK")</calculatedColumnFormula>
    </tableColumn>
    <tableColumn id="4" name="Issue Type" dataDxfId="66" totalsRowDxfId="65"/>
    <tableColumn id="5" name="Role" dataDxfId="64" totalsRowDxfId="63"/>
    <tableColumn id="3" name="Role Allocation" dataDxfId="62" totalsRowDxfId="61"/>
    <tableColumn id="6" name="Issue Type Allocation" dataDxfId="60" totalsRowDxfId="59">
      <calculatedColumnFormula>SUMIFS(IssueTypeVsRoleMapping[Role Allocation],IssueTypeVsRoleMapping[Issue Type],IssueTypeVsRoleMapping[[#This Row],[Issue Type]])</calculatedColumnFormula>
    </tableColumn>
    <tableColumn id="9" name="Cycle on Backlog" totalsRowFunction="sum" dataDxfId="58" totalsRowDxfId="57">
      <calculatedColumnFormula>SUMIFS(AllIssues[CycleOnBacklog],AllIssues[project],'Progress by Demand'!$B$3,AllIssues[SUBTASK_TYPE],IssueTypeVsRoleMapping[[#This Row],[Issue Type]])*IssueTypeVsRoleMapping[[#This Row],[Role Allocation]]</calculatedColumnFormula>
    </tableColumn>
    <tableColumn id="7" name="Effort on Backlog" totalsRowFunction="sum" dataDxfId="56" totalsRowDxfId="55">
      <calculatedColumnFormula>SUMIFS(AllIssues[EffortOnBacklog],AllIssues[project],'Progress by Demand'!$B$3,AllIssues[SUBTASK_TYPE],IssueTypeVsRoleMapping[[#This Row],[Issue Type]])*IssueTypeVsRoleMapping[[#This Row],[Role Allocation]]</calculatedColumnFormula>
    </tableColumn>
    <tableColumn id="8" name="Group %" dataDxfId="54" totalsRowDxfId="53">
      <calculatedColumnFormula>SUMIFS(IssueTypeVsRoleMapping[Effort on Backlog],IssueTypeVsRoleMapping[Issue Type],IssueTypeVsRoleMapping[Issue Type])/SUMIFS(IssueTypeVsRoleMapping[Effort on Backlog],IssueTypeVsRoleMapping[Group],IssueTypeVsRoleMapping[Group])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6" name="EffortDistribution" displayName="EffortDistribution" ref="G1:J22" totalsRowShown="0">
  <autoFilter ref="G1:J22"/>
  <sortState ref="G2:J22">
    <sortCondition ref="G2:G22"/>
    <sortCondition ref="H2:H22"/>
    <sortCondition descending="1" ref="I2:I22"/>
  </sortState>
  <tableColumns count="4">
    <tableColumn id="3" name="Group"/>
    <tableColumn id="1" name="IssueType"/>
    <tableColumn id="2" name="Distribution"/>
    <tableColumn id="4" name="Total Distribution">
      <calculatedColumnFormula>SUMIFS(EffortDistribution[Distribution],EffortDistribution[Group],EffortDistribution[Group])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8" name="Clusters" displayName="Clusters" ref="A1:E101" totalsRowShown="0" headerRowDxfId="52">
  <autoFilter ref="A1:E101"/>
  <sortState ref="A2:E55">
    <sortCondition ref="A2:A55"/>
    <sortCondition ref="D2:D55"/>
  </sortState>
  <tableColumns count="5">
    <tableColumn id="2" name="Cluster Name"/>
    <tableColumn id="3" name="T-Shirt Size"/>
    <tableColumn id="5" name="Type"/>
    <tableColumn id="4" name="Effort" dataDxfId="51"/>
    <tableColumn id="1" name="Cycle" dataDxfId="50">
      <calculatedColumnFormula>Clusters[[#This Row],[Effort]]*1.2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" name="AllIssues" displayName="AllIssues" ref="A1:AS10000" tableType="queryTable" totalsRowShown="0">
  <autoFilter ref="A1:AS10000"/>
  <sortState ref="A2:AS119">
    <sortCondition ref="W2:W119"/>
    <sortCondition ref="D2:D119"/>
    <sortCondition ref="I2:I119"/>
    <sortCondition ref="O2:O119"/>
  </sortState>
  <tableColumns count="45">
    <tableColumn id="1" uniqueName="1" name="project" queryTableFieldId="1"/>
    <tableColumn id="2" uniqueName="2" name="demand_type" queryTableFieldId="2"/>
    <tableColumn id="3" uniqueName="3" name="demand_status" queryTableFieldId="3"/>
    <tableColumn id="4" uniqueName="4" name="demand_num" queryTableFieldId="4"/>
    <tableColumn id="5" uniqueName="5" name="DEMAND_SUMMARY" queryTableFieldId="5"/>
    <tableColumn id="6" uniqueName="6" name="demand_description" queryTableFieldId="6"/>
    <tableColumn id="8" uniqueName="8" name="TASK_TYPE" queryTableFieldId="8"/>
    <tableColumn id="9" uniqueName="9" name="TASK_STATUS" queryTableFieldId="9"/>
    <tableColumn id="10" uniqueName="10" name="TASK_NUM" queryTableFieldId="10"/>
    <tableColumn id="11" uniqueName="11" name="TASK_SUMMARY" queryTableFieldId="11"/>
    <tableColumn id="12" uniqueName="12" name="TASK_DESCRIPTION" queryTableFieldId="12"/>
    <tableColumn id="13" uniqueName="13" name="TASK_FULL_DESCRIPTION" queryTableFieldId="13"/>
    <tableColumn id="15" uniqueName="15" name="SUBTASK_TYPE" queryTableFieldId="15"/>
    <tableColumn id="16" uniqueName="16" name="SUBTASK_STATUS" queryTableFieldId="16"/>
    <tableColumn id="17" uniqueName="17" name="SUBTASK_NUM" queryTableFieldId="17"/>
    <tableColumn id="18" uniqueName="18" name="SUBTASK_SUMMARY" queryTableFieldId="18"/>
    <tableColumn id="19" uniqueName="19" name="SUBTASK_DESCRIPTION" queryTableFieldId="19"/>
    <tableColumn id="20" uniqueName="20" name="SUBTASK_FULL_DESCRIPTION" queryTableFieldId="20"/>
    <tableColumn id="23" uniqueName="23" name="DEMAND_ID" queryTableFieldId="61"/>
    <tableColumn id="32" uniqueName="32" name="TASK_ID" queryTableFieldId="62"/>
    <tableColumn id="59" uniqueName="59" name="SUBTASK_ID" queryTableFieldId="72"/>
    <tableColumn id="50" uniqueName="50" name="planning_type" queryTableFieldId="73"/>
    <tableColumn id="7" uniqueName="7" name="task_release" queryTableFieldId="74"/>
    <tableColumn id="22" uniqueName="22" name="worklog" queryTableFieldId="77"/>
    <tableColumn id="33" uniqueName="33" name="wrong_worklog" queryTableFieldId="83"/>
    <tableColumn id="35" uniqueName="35" name="Demand_ballpark" queryTableFieldId="85"/>
    <tableColumn id="39" uniqueName="39" name="TASK_BALLPARK" queryTableFieldId="86"/>
    <tableColumn id="40" uniqueName="40" name="tshirt_size" queryTableFieldId="87"/>
    <tableColumn id="41" uniqueName="41" name="Query_Type" queryTableFieldId="92"/>
    <tableColumn id="24" uniqueName="24" name="EffortEstimate" queryTableFieldId="78" dataDxfId="49"/>
    <tableColumn id="26" uniqueName="26" name="CycleEstimate" queryTableFieldId="84" dataDxfId="48"/>
    <tableColumn id="14" uniqueName="14" name="EffortOnBacklog" queryTableFieldId="88" dataDxfId="47"/>
    <tableColumn id="48" uniqueName="48" name="CycleOnBacklog" queryTableFieldId="93" dataDxfId="46"/>
    <tableColumn id="31" uniqueName="31" name="BallparkEffort" queryTableFieldId="52" dataDxfId="45"/>
    <tableColumn id="30" uniqueName="30" name="PlannedEffort" queryTableFieldId="51" dataDxfId="44"/>
    <tableColumn id="25" uniqueName="25" name="EffortDone" queryTableFieldId="25" dataDxfId="43"/>
    <tableColumn id="49" uniqueName="49" name="CycleDone" queryTableFieldId="94" dataDxfId="42"/>
    <tableColumn id="21" uniqueName="21" name="WorklogDone" queryTableFieldId="96" dataDxfId="41"/>
    <tableColumn id="27" uniqueName="27" name="WorklogDoing" queryTableFieldId="97" dataDxfId="40"/>
    <tableColumn id="37" uniqueName="37" name="CountTasks" queryTableFieldId="37" dataDxfId="39"/>
    <tableColumn id="36" uniqueName="36" name="CountDemands" queryTableFieldId="36" dataDxfId="38"/>
    <tableColumn id="38" uniqueName="38" name="CountSubtasks" queryTableFieldId="38" dataDxfId="37"/>
    <tableColumn id="34" uniqueName="34" name="SubtaskEstimativeForEEPCalculation" queryTableFieldId="34" dataDxfId="36"/>
    <tableColumn id="46" uniqueName="46" name="PlannedEffortOnBug" queryTableFieldId="57" dataDxfId="35"/>
    <tableColumn id="47" uniqueName="47" name="WorklogOnBug" queryTableFieldId="58" dataDxfId="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S218"/>
  <sheetViews>
    <sheetView tabSelected="1" zoomScaleNormal="100" zoomScalePageLayoutView="90" workbookViewId="0">
      <pane xSplit="2" ySplit="14" topLeftCell="C15" activePane="bottomRight" state="frozen"/>
      <selection pane="topRight" activeCell="C1" sqref="C1"/>
      <selection pane="bottomLeft" activeCell="A17" sqref="A17"/>
      <selection pane="bottomRight" activeCell="A6" sqref="A6"/>
    </sheetView>
  </sheetViews>
  <sheetFormatPr defaultColWidth="53.42578125" defaultRowHeight="15" x14ac:dyDescent="0.25"/>
  <cols>
    <col min="1" max="1" width="55.5703125" customWidth="1"/>
    <col min="2" max="2" width="9.28515625" bestFit="1" customWidth="1"/>
    <col min="3" max="3" width="9.28515625" style="3" customWidth="1"/>
    <col min="4" max="4" width="10" style="3" customWidth="1"/>
    <col min="5" max="5" width="9.28515625" style="3" customWidth="1"/>
    <col min="6" max="7" width="8.140625" customWidth="1"/>
    <col min="8" max="9" width="8.28515625" customWidth="1"/>
    <col min="10" max="10" width="7.7109375" customWidth="1"/>
    <col min="11" max="11" width="5.7109375" customWidth="1"/>
    <col min="12" max="12" width="6.28515625" customWidth="1"/>
    <col min="13" max="13" width="6.140625" customWidth="1"/>
    <col min="14" max="14" width="6.7109375" customWidth="1"/>
    <col min="15" max="15" width="5.42578125" bestFit="1" customWidth="1"/>
    <col min="16" max="16" width="5.140625" customWidth="1"/>
    <col min="17" max="17" width="8.5703125" customWidth="1"/>
    <col min="18" max="18" width="12.42578125" customWidth="1"/>
    <col min="19" max="19" width="8.5703125" customWidth="1"/>
  </cols>
  <sheetData>
    <row r="1" spans="1:19" x14ac:dyDescent="0.25">
      <c r="A1" s="11"/>
      <c r="B1" s="12"/>
      <c r="E1" s="33"/>
      <c r="Q1" s="6" t="s">
        <v>155</v>
      </c>
    </row>
    <row r="2" spans="1:19" x14ac:dyDescent="0.25">
      <c r="A2" s="11"/>
      <c r="B2" s="11"/>
      <c r="N2" s="6" t="s">
        <v>156</v>
      </c>
      <c r="O2" s="13">
        <f>Timeline!B2</f>
        <v>42912</v>
      </c>
      <c r="Q2" s="124">
        <f ca="1">(O4-O2-1)/(O3-O2)</f>
        <v>1.4666666666666666</v>
      </c>
    </row>
    <row r="3" spans="1:19" x14ac:dyDescent="0.25">
      <c r="F3" s="35"/>
      <c r="G3" s="35"/>
      <c r="H3" s="35"/>
      <c r="I3" s="35"/>
      <c r="N3" s="6" t="s">
        <v>157</v>
      </c>
      <c r="O3" s="13">
        <f>Timeline!I17</f>
        <v>42942</v>
      </c>
    </row>
    <row r="4" spans="1:19" x14ac:dyDescent="0.25">
      <c r="F4" s="35"/>
      <c r="G4" s="35"/>
      <c r="H4" s="35"/>
      <c r="I4" s="35"/>
      <c r="N4" s="6" t="s">
        <v>158</v>
      </c>
      <c r="O4" s="13">
        <f ca="1">TODAY()</f>
        <v>42957</v>
      </c>
    </row>
    <row r="5" spans="1:19" s="9" customFormat="1" x14ac:dyDescent="0.25">
      <c r="A5" s="1" t="s">
        <v>0</v>
      </c>
      <c r="B5" t="s">
        <v>189</v>
      </c>
    </row>
    <row r="6" spans="1:19" s="7" customFormat="1" x14ac:dyDescent="0.25">
      <c r="A6" s="1" t="s">
        <v>13</v>
      </c>
      <c r="B6" t="s">
        <v>189</v>
      </c>
      <c r="C6"/>
      <c r="D6"/>
      <c r="E6" s="16"/>
      <c r="F6" s="35"/>
      <c r="G6" s="35"/>
      <c r="H6" s="35"/>
    </row>
    <row r="7" spans="1:19" x14ac:dyDescent="0.25">
      <c r="A7" s="1" t="s">
        <v>11</v>
      </c>
      <c r="B7" t="s">
        <v>189</v>
      </c>
      <c r="F7" s="35"/>
      <c r="G7" s="35"/>
      <c r="H7" s="35"/>
      <c r="I7" s="35"/>
    </row>
    <row r="8" spans="1:19" x14ac:dyDescent="0.25">
      <c r="A8" s="1" t="s">
        <v>161</v>
      </c>
      <c r="B8" t="s">
        <v>187</v>
      </c>
      <c r="C8"/>
      <c r="D8"/>
      <c r="E8"/>
    </row>
    <row r="9" spans="1:19" x14ac:dyDescent="0.25">
      <c r="A9" s="1" t="s">
        <v>164</v>
      </c>
      <c r="B9" t="s">
        <v>189</v>
      </c>
    </row>
    <row r="10" spans="1:19" x14ac:dyDescent="0.25">
      <c r="A10" s="1" t="s">
        <v>169</v>
      </c>
      <c r="B10" t="s">
        <v>187</v>
      </c>
      <c r="C10"/>
      <c r="D10"/>
      <c r="E10"/>
    </row>
    <row r="11" spans="1:19" x14ac:dyDescent="0.25">
      <c r="A11" s="1" t="s">
        <v>168</v>
      </c>
      <c r="B11" t="s">
        <v>187</v>
      </c>
      <c r="C11"/>
      <c r="D11"/>
      <c r="E11"/>
    </row>
    <row r="12" spans="1:19" x14ac:dyDescent="0.25">
      <c r="A12" s="1" t="s">
        <v>171</v>
      </c>
      <c r="B12" t="s">
        <v>189</v>
      </c>
    </row>
    <row r="13" spans="1:19" s="10" customFormat="1" ht="15.75" x14ac:dyDescent="0.25">
      <c r="A13"/>
      <c r="B13"/>
      <c r="C13" s="130" t="s">
        <v>30</v>
      </c>
      <c r="D13" s="131"/>
      <c r="E13" s="132"/>
      <c r="F13" s="130" t="s">
        <v>121</v>
      </c>
      <c r="G13" s="131"/>
      <c r="H13" s="131"/>
      <c r="I13" s="132"/>
      <c r="J13" s="130" t="s">
        <v>122</v>
      </c>
      <c r="K13" s="131"/>
      <c r="L13" s="132"/>
      <c r="M13" s="128" t="s">
        <v>135</v>
      </c>
      <c r="N13" s="129"/>
      <c r="O13" s="129"/>
      <c r="P13" s="129"/>
      <c r="Q13" s="133"/>
      <c r="R13" s="128" t="s">
        <v>124</v>
      </c>
      <c r="S13" s="129"/>
    </row>
    <row r="14" spans="1:19" s="44" customFormat="1" ht="30" x14ac:dyDescent="0.25">
      <c r="A14" s="45" t="s">
        <v>32</v>
      </c>
      <c r="B14" s="32" t="s">
        <v>31</v>
      </c>
      <c r="C14" s="59" t="s">
        <v>25</v>
      </c>
      <c r="D14" s="60" t="s">
        <v>127</v>
      </c>
      <c r="E14" s="61" t="s">
        <v>126</v>
      </c>
      <c r="F14" s="60" t="s">
        <v>33</v>
      </c>
      <c r="G14" s="60" t="s">
        <v>34</v>
      </c>
      <c r="H14" s="60" t="s">
        <v>125</v>
      </c>
      <c r="I14" s="61" t="s">
        <v>35</v>
      </c>
      <c r="J14" s="60" t="s">
        <v>123</v>
      </c>
      <c r="K14" s="60" t="s">
        <v>10</v>
      </c>
      <c r="L14" s="61" t="s">
        <v>120</v>
      </c>
      <c r="M14" s="32" t="s">
        <v>4</v>
      </c>
      <c r="N14" s="32" t="s">
        <v>136</v>
      </c>
      <c r="O14" s="60" t="s">
        <v>55</v>
      </c>
      <c r="P14" s="60" t="s">
        <v>128</v>
      </c>
      <c r="Q14" s="60" t="s">
        <v>74</v>
      </c>
      <c r="R14" s="59" t="s">
        <v>39</v>
      </c>
      <c r="S14" s="61" t="s">
        <v>38</v>
      </c>
    </row>
    <row r="15" spans="1:19" s="7" customFormat="1" x14ac:dyDescent="0.25">
      <c r="A15" s="2" t="s">
        <v>187</v>
      </c>
      <c r="B15" s="8"/>
      <c r="C15" s="52"/>
      <c r="D15" s="53"/>
      <c r="E15" s="54"/>
      <c r="F15" s="47"/>
      <c r="G15" s="40"/>
      <c r="H15" s="47"/>
      <c r="I15" s="41"/>
      <c r="J15" s="47"/>
      <c r="K15" s="47"/>
      <c r="L15" s="48"/>
      <c r="M15" s="4"/>
      <c r="N15" s="25"/>
      <c r="O15" s="29"/>
      <c r="P15" s="58"/>
      <c r="Q15" s="29"/>
      <c r="R15" s="46"/>
      <c r="S15" s="48"/>
    </row>
    <row r="16" spans="1:19" s="7" customFormat="1" x14ac:dyDescent="0.25">
      <c r="A16" s="117" t="s">
        <v>187</v>
      </c>
      <c r="B16" s="8">
        <v>0</v>
      </c>
      <c r="C16" s="52">
        <v>0</v>
      </c>
      <c r="D16" s="53">
        <v>0</v>
      </c>
      <c r="E16" s="54">
        <v>0</v>
      </c>
      <c r="F16" s="47">
        <v>0</v>
      </c>
      <c r="G16" s="40" t="e">
        <v>#DIV/0!</v>
      </c>
      <c r="H16" s="47">
        <v>0</v>
      </c>
      <c r="I16" s="41" t="e">
        <v>#DIV/0!</v>
      </c>
      <c r="J16" s="47">
        <v>0</v>
      </c>
      <c r="K16" s="47">
        <v>0</v>
      </c>
      <c r="L16" s="48">
        <v>0</v>
      </c>
      <c r="M16" s="4">
        <v>0</v>
      </c>
      <c r="N16" s="25">
        <v>0</v>
      </c>
      <c r="O16" s="29">
        <v>0</v>
      </c>
      <c r="P16" s="58">
        <v>0</v>
      </c>
      <c r="Q16" s="29">
        <v>0</v>
      </c>
      <c r="R16" s="46">
        <v>0</v>
      </c>
      <c r="S16" s="48">
        <v>0</v>
      </c>
    </row>
    <row r="17" spans="1:19" s="7" customFormat="1" x14ac:dyDescent="0.25">
      <c r="A17" s="118" t="s">
        <v>187</v>
      </c>
      <c r="B17" s="8">
        <v>0</v>
      </c>
      <c r="C17" s="52">
        <v>0</v>
      </c>
      <c r="D17" s="53">
        <v>0</v>
      </c>
      <c r="E17" s="54">
        <v>0</v>
      </c>
      <c r="F17" s="47">
        <v>0</v>
      </c>
      <c r="G17" s="40" t="e">
        <v>#DIV/0!</v>
      </c>
      <c r="H17" s="47">
        <v>0</v>
      </c>
      <c r="I17" s="41" t="e">
        <v>#DIV/0!</v>
      </c>
      <c r="J17" s="47">
        <v>0</v>
      </c>
      <c r="K17" s="47">
        <v>0</v>
      </c>
      <c r="L17" s="48">
        <v>0</v>
      </c>
      <c r="M17" s="4">
        <v>0</v>
      </c>
      <c r="N17" s="25">
        <v>0</v>
      </c>
      <c r="O17" s="29">
        <v>0</v>
      </c>
      <c r="P17" s="58">
        <v>0</v>
      </c>
      <c r="Q17" s="29">
        <v>0</v>
      </c>
      <c r="R17" s="46">
        <v>0</v>
      </c>
      <c r="S17" s="48">
        <v>0</v>
      </c>
    </row>
    <row r="18" spans="1:19" s="7" customFormat="1" x14ac:dyDescent="0.25">
      <c r="A18" s="122" t="s">
        <v>187</v>
      </c>
      <c r="B18" s="8">
        <v>0</v>
      </c>
      <c r="C18" s="52">
        <v>0</v>
      </c>
      <c r="D18" s="53">
        <v>0</v>
      </c>
      <c r="E18" s="54">
        <v>0</v>
      </c>
      <c r="F18" s="47">
        <v>0</v>
      </c>
      <c r="G18" s="40" t="e">
        <v>#DIV/0!</v>
      </c>
      <c r="H18" s="47">
        <v>0</v>
      </c>
      <c r="I18" s="41" t="e">
        <v>#DIV/0!</v>
      </c>
      <c r="J18" s="47">
        <v>0</v>
      </c>
      <c r="K18" s="47">
        <v>0</v>
      </c>
      <c r="L18" s="48">
        <v>0</v>
      </c>
      <c r="M18" s="4">
        <v>0</v>
      </c>
      <c r="N18" s="25">
        <v>0</v>
      </c>
      <c r="O18" s="29">
        <v>0</v>
      </c>
      <c r="P18" s="58">
        <v>0</v>
      </c>
      <c r="Q18" s="29">
        <v>0</v>
      </c>
      <c r="R18" s="46">
        <v>0</v>
      </c>
      <c r="S18" s="48">
        <v>0</v>
      </c>
    </row>
    <row r="19" spans="1:19" x14ac:dyDescent="0.25">
      <c r="A19" s="123" t="s">
        <v>187</v>
      </c>
      <c r="B19" s="8">
        <v>0</v>
      </c>
      <c r="C19" s="52">
        <v>0</v>
      </c>
      <c r="D19" s="53">
        <v>0</v>
      </c>
      <c r="E19" s="54">
        <v>0</v>
      </c>
      <c r="F19" s="47">
        <v>0</v>
      </c>
      <c r="G19" s="40" t="e">
        <v>#DIV/0!</v>
      </c>
      <c r="H19" s="47">
        <v>0</v>
      </c>
      <c r="I19" s="41" t="e">
        <v>#DIV/0!</v>
      </c>
      <c r="J19" s="47">
        <v>0</v>
      </c>
      <c r="K19" s="47">
        <v>0</v>
      </c>
      <c r="L19" s="48">
        <v>0</v>
      </c>
      <c r="M19" s="4">
        <v>0</v>
      </c>
      <c r="N19" s="25">
        <v>0</v>
      </c>
      <c r="O19" s="29">
        <v>0</v>
      </c>
      <c r="P19" s="58">
        <v>0</v>
      </c>
      <c r="Q19" s="29">
        <v>0</v>
      </c>
      <c r="R19" s="46">
        <v>0</v>
      </c>
      <c r="S19" s="48">
        <v>0</v>
      </c>
    </row>
    <row r="20" spans="1:19" x14ac:dyDescent="0.25">
      <c r="A20" s="2" t="s">
        <v>188</v>
      </c>
      <c r="B20" s="8">
        <v>0</v>
      </c>
      <c r="C20" s="55">
        <v>0</v>
      </c>
      <c r="D20" s="56">
        <v>0</v>
      </c>
      <c r="E20" s="57">
        <v>0</v>
      </c>
      <c r="F20" s="50">
        <v>0</v>
      </c>
      <c r="G20" s="42" t="e">
        <v>#DIV/0!</v>
      </c>
      <c r="H20" s="50">
        <v>0</v>
      </c>
      <c r="I20" s="43" t="e">
        <v>#DIV/0!</v>
      </c>
      <c r="J20" s="50">
        <v>0</v>
      </c>
      <c r="K20" s="50">
        <v>0</v>
      </c>
      <c r="L20" s="51">
        <v>0</v>
      </c>
      <c r="M20" s="4">
        <v>0</v>
      </c>
      <c r="N20" s="25">
        <v>0</v>
      </c>
      <c r="O20" s="29">
        <v>0</v>
      </c>
      <c r="P20" s="58">
        <v>0</v>
      </c>
      <c r="Q20" s="29">
        <v>0</v>
      </c>
      <c r="R20" s="49">
        <v>0</v>
      </c>
      <c r="S20" s="51">
        <v>0</v>
      </c>
    </row>
    <row r="21" spans="1:19" x14ac:dyDescent="0.25">
      <c r="C21"/>
      <c r="D21"/>
      <c r="E21"/>
    </row>
    <row r="22" spans="1:19" x14ac:dyDescent="0.25">
      <c r="C22"/>
      <c r="D22"/>
      <c r="E22"/>
    </row>
    <row r="23" spans="1:19" x14ac:dyDescent="0.25">
      <c r="C23"/>
      <c r="D23"/>
      <c r="E23"/>
    </row>
    <row r="24" spans="1:19" x14ac:dyDescent="0.25">
      <c r="C24"/>
      <c r="D24"/>
      <c r="E24"/>
    </row>
    <row r="25" spans="1:19" x14ac:dyDescent="0.25">
      <c r="C25"/>
      <c r="D25"/>
      <c r="E25"/>
    </row>
    <row r="26" spans="1:19" x14ac:dyDescent="0.25">
      <c r="C26"/>
      <c r="D26"/>
      <c r="E26"/>
    </row>
    <row r="27" spans="1:19" x14ac:dyDescent="0.25">
      <c r="C27"/>
      <c r="D27"/>
      <c r="E27"/>
    </row>
    <row r="28" spans="1:19" x14ac:dyDescent="0.25">
      <c r="C28"/>
      <c r="D28"/>
      <c r="E28"/>
    </row>
    <row r="29" spans="1:19" x14ac:dyDescent="0.25">
      <c r="C29"/>
      <c r="D29"/>
      <c r="E29"/>
    </row>
    <row r="30" spans="1:19" x14ac:dyDescent="0.25">
      <c r="C30"/>
      <c r="D30"/>
      <c r="E30"/>
    </row>
    <row r="31" spans="1:19" x14ac:dyDescent="0.25">
      <c r="C31"/>
      <c r="D31"/>
      <c r="E31"/>
    </row>
    <row r="32" spans="1:19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</sheetData>
  <mergeCells count="5">
    <mergeCell ref="R13:S13"/>
    <mergeCell ref="C13:E13"/>
    <mergeCell ref="F13:I13"/>
    <mergeCell ref="J13:L13"/>
    <mergeCell ref="M13:Q13"/>
  </mergeCells>
  <conditionalFormatting pivot="1" sqref="B15:B20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{6C35DFCC-6450-425D-BAAC-CD7782D31A0C}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JiraData">
                <anchor moveWithCells="1" sizeWithCells="1">
                  <from>
                    <xdr:col>3</xdr:col>
                    <xdr:colOff>266700</xdr:colOff>
                    <xdr:row>2</xdr:row>
                    <xdr:rowOff>28575</xdr:rowOff>
                  </from>
                  <to>
                    <xdr:col>4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C35DFCC-6450-425D-BAAC-CD7782D31A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B15:B20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2060"/>
  </sheetPr>
  <dimension ref="A1:G837"/>
  <sheetViews>
    <sheetView zoomScaleNormal="100" zoomScalePageLayoutView="130" workbookViewId="0">
      <selection activeCell="A6" sqref="A6"/>
    </sheetView>
  </sheetViews>
  <sheetFormatPr defaultColWidth="10.7109375" defaultRowHeight="15" x14ac:dyDescent="0.25"/>
  <cols>
    <col min="1" max="1" width="40" bestFit="1" customWidth="1"/>
    <col min="2" max="2" width="18.28515625" style="37" bestFit="1" customWidth="1"/>
    <col min="3" max="3" width="10.7109375" style="37" bestFit="1" customWidth="1"/>
    <col min="4" max="4" width="42.7109375" style="37" bestFit="1" customWidth="1"/>
    <col min="5" max="5" width="45" style="37" bestFit="1" customWidth="1"/>
    <col min="6" max="6" width="11.7109375" style="37" customWidth="1"/>
    <col min="7" max="7" width="5.5703125" style="37" customWidth="1"/>
    <col min="8" max="8" width="11.28515625" customWidth="1"/>
    <col min="9" max="9" width="11.85546875" customWidth="1"/>
    <col min="10" max="10" width="11.28515625" customWidth="1"/>
    <col min="11" max="11" width="11.28515625" bestFit="1" customWidth="1"/>
    <col min="12" max="12" width="36.140625" bestFit="1" customWidth="1"/>
    <col min="13" max="13" width="17.7109375" bestFit="1" customWidth="1"/>
    <col min="14" max="14" width="66.85546875" bestFit="1" customWidth="1"/>
    <col min="15" max="15" width="43.85546875" bestFit="1" customWidth="1"/>
    <col min="16" max="17" width="57.42578125" bestFit="1" customWidth="1"/>
    <col min="18" max="18" width="63.42578125" bestFit="1" customWidth="1"/>
    <col min="19" max="19" width="72.42578125" bestFit="1" customWidth="1"/>
    <col min="20" max="20" width="46.7109375" bestFit="1" customWidth="1"/>
    <col min="21" max="21" width="52.42578125" bestFit="1" customWidth="1"/>
    <col min="22" max="22" width="50.85546875" bestFit="1" customWidth="1"/>
    <col min="23" max="23" width="51.85546875" bestFit="1" customWidth="1"/>
    <col min="24" max="24" width="63.42578125" bestFit="1" customWidth="1"/>
    <col min="25" max="25" width="54.85546875" bestFit="1" customWidth="1"/>
    <col min="26" max="26" width="40" bestFit="1" customWidth="1"/>
    <col min="27" max="27" width="62.85546875" bestFit="1" customWidth="1"/>
    <col min="28" max="28" width="68.85546875" bestFit="1" customWidth="1"/>
    <col min="29" max="29" width="54.28515625" bestFit="1" customWidth="1"/>
    <col min="30" max="30" width="55.42578125" bestFit="1" customWidth="1"/>
    <col min="31" max="31" width="67.140625" bestFit="1" customWidth="1"/>
    <col min="32" max="32" width="58.28515625" bestFit="1" customWidth="1"/>
    <col min="33" max="33" width="43.42578125" bestFit="1" customWidth="1"/>
    <col min="34" max="34" width="66.28515625" bestFit="1" customWidth="1"/>
    <col min="35" max="35" width="72.28515625" bestFit="1" customWidth="1"/>
    <col min="36" max="36" width="64.85546875" bestFit="1" customWidth="1"/>
    <col min="37" max="37" width="57.7109375" bestFit="1" customWidth="1"/>
    <col min="38" max="38" width="65.42578125" bestFit="1" customWidth="1"/>
    <col min="39" max="39" width="60.140625" bestFit="1" customWidth="1"/>
    <col min="40" max="40" width="73.140625" bestFit="1" customWidth="1"/>
    <col min="41" max="41" width="61.42578125" bestFit="1" customWidth="1"/>
    <col min="42" max="42" width="53.28515625" bestFit="1" customWidth="1"/>
    <col min="43" max="43" width="52.85546875" bestFit="1" customWidth="1"/>
    <col min="44" max="44" width="56.28515625" bestFit="1" customWidth="1"/>
    <col min="45" max="45" width="40.42578125" bestFit="1" customWidth="1"/>
    <col min="46" max="46" width="35.42578125" bestFit="1" customWidth="1"/>
    <col min="47" max="47" width="40.28515625" bestFit="1" customWidth="1"/>
    <col min="48" max="48" width="6.42578125" bestFit="1" customWidth="1"/>
    <col min="49" max="49" width="10" bestFit="1" customWidth="1"/>
  </cols>
  <sheetData>
    <row r="1" spans="1:7" x14ac:dyDescent="0.25">
      <c r="B1"/>
    </row>
    <row r="2" spans="1:7" x14ac:dyDescent="0.25">
      <c r="A2" s="1" t="s">
        <v>0</v>
      </c>
      <c r="B2" s="125" t="s">
        <v>189</v>
      </c>
    </row>
    <row r="3" spans="1:7" x14ac:dyDescent="0.25">
      <c r="A3" s="1" t="s">
        <v>12</v>
      </c>
      <c r="B3" t="s">
        <v>189</v>
      </c>
    </row>
    <row r="4" spans="1:7" x14ac:dyDescent="0.25">
      <c r="B4"/>
      <c r="C4"/>
      <c r="D4"/>
      <c r="E4"/>
      <c r="F4"/>
      <c r="G4"/>
    </row>
    <row r="5" spans="1:7" x14ac:dyDescent="0.25">
      <c r="A5" s="38" t="s">
        <v>191</v>
      </c>
      <c r="B5" s="38" t="s">
        <v>117</v>
      </c>
      <c r="C5" s="125"/>
      <c r="D5"/>
      <c r="E5"/>
      <c r="F5"/>
      <c r="G5"/>
    </row>
    <row r="6" spans="1:7" x14ac:dyDescent="0.25">
      <c r="A6" s="38" t="s">
        <v>186</v>
      </c>
      <c r="B6" s="32" t="s">
        <v>187</v>
      </c>
      <c r="C6" s="32" t="s">
        <v>188</v>
      </c>
      <c r="D6"/>
      <c r="E6"/>
      <c r="F6"/>
      <c r="G6"/>
    </row>
    <row r="7" spans="1:7" x14ac:dyDescent="0.25">
      <c r="A7" s="2" t="s">
        <v>187</v>
      </c>
      <c r="B7" s="39">
        <v>0</v>
      </c>
      <c r="C7" s="39">
        <v>0</v>
      </c>
      <c r="D7"/>
      <c r="E7"/>
      <c r="F7"/>
      <c r="G7"/>
    </row>
    <row r="8" spans="1:7" x14ac:dyDescent="0.25">
      <c r="A8" s="2" t="s">
        <v>188</v>
      </c>
      <c r="B8" s="39">
        <v>0</v>
      </c>
      <c r="C8" s="39">
        <v>0</v>
      </c>
      <c r="D8"/>
      <c r="E8"/>
      <c r="F8"/>
      <c r="G8"/>
    </row>
    <row r="9" spans="1:7" x14ac:dyDescent="0.25">
      <c r="B9"/>
      <c r="C9"/>
      <c r="D9"/>
      <c r="E9"/>
      <c r="F9"/>
      <c r="G9"/>
    </row>
    <row r="10" spans="1:7" x14ac:dyDescent="0.25">
      <c r="B10"/>
      <c r="C10"/>
      <c r="D10"/>
      <c r="E10"/>
      <c r="F10"/>
      <c r="G10"/>
    </row>
    <row r="11" spans="1:7" x14ac:dyDescent="0.25">
      <c r="B11"/>
      <c r="C11"/>
      <c r="D11"/>
      <c r="E11"/>
      <c r="F11"/>
      <c r="G11"/>
    </row>
    <row r="12" spans="1:7" x14ac:dyDescent="0.25">
      <c r="B12"/>
      <c r="C12"/>
      <c r="D12"/>
      <c r="E12"/>
      <c r="F12"/>
      <c r="G12"/>
    </row>
    <row r="13" spans="1:7" x14ac:dyDescent="0.25">
      <c r="B13"/>
      <c r="C13"/>
      <c r="D13"/>
      <c r="E13"/>
      <c r="F13"/>
      <c r="G13"/>
    </row>
    <row r="14" spans="1:7" x14ac:dyDescent="0.25">
      <c r="B14"/>
      <c r="C14"/>
      <c r="D14"/>
      <c r="E14"/>
      <c r="F14"/>
      <c r="G14"/>
    </row>
    <row r="15" spans="1:7" x14ac:dyDescent="0.25">
      <c r="B15"/>
      <c r="C15"/>
      <c r="D15"/>
      <c r="E15"/>
      <c r="F15"/>
      <c r="G15"/>
    </row>
    <row r="16" spans="1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  <row r="273" spans="2:7" x14ac:dyDescent="0.25">
      <c r="B273"/>
      <c r="C273"/>
      <c r="D273"/>
      <c r="E273"/>
      <c r="F273"/>
      <c r="G273"/>
    </row>
    <row r="274" spans="2:7" x14ac:dyDescent="0.25">
      <c r="B274"/>
      <c r="C274"/>
      <c r="D274"/>
      <c r="E274"/>
      <c r="F274"/>
      <c r="G274"/>
    </row>
    <row r="275" spans="2:7" x14ac:dyDescent="0.25">
      <c r="B275"/>
      <c r="C275"/>
      <c r="D275"/>
      <c r="E275"/>
      <c r="F275"/>
      <c r="G275"/>
    </row>
    <row r="276" spans="2:7" x14ac:dyDescent="0.25">
      <c r="B276"/>
      <c r="C276"/>
      <c r="D276"/>
      <c r="E276"/>
      <c r="F276"/>
      <c r="G276"/>
    </row>
    <row r="277" spans="2:7" x14ac:dyDescent="0.25">
      <c r="B277"/>
      <c r="C277"/>
      <c r="D277"/>
      <c r="E277"/>
      <c r="F277"/>
      <c r="G277"/>
    </row>
    <row r="278" spans="2:7" x14ac:dyDescent="0.25">
      <c r="B278"/>
      <c r="C278"/>
      <c r="D278"/>
      <c r="E278"/>
      <c r="F278"/>
      <c r="G278"/>
    </row>
    <row r="279" spans="2:7" x14ac:dyDescent="0.25">
      <c r="B279"/>
      <c r="C279"/>
      <c r="D279"/>
      <c r="E279"/>
      <c r="F279"/>
      <c r="G279"/>
    </row>
    <row r="280" spans="2:7" x14ac:dyDescent="0.25">
      <c r="B280"/>
      <c r="C280"/>
      <c r="D280"/>
      <c r="E280"/>
      <c r="F280"/>
      <c r="G280"/>
    </row>
    <row r="281" spans="2:7" x14ac:dyDescent="0.25">
      <c r="B281"/>
      <c r="C281"/>
      <c r="D281"/>
      <c r="E281"/>
      <c r="F281"/>
      <c r="G281"/>
    </row>
    <row r="282" spans="2:7" x14ac:dyDescent="0.25">
      <c r="B282"/>
      <c r="C282"/>
      <c r="D282"/>
      <c r="E282"/>
      <c r="F282"/>
      <c r="G282"/>
    </row>
    <row r="283" spans="2:7" x14ac:dyDescent="0.25">
      <c r="B283"/>
      <c r="C283"/>
      <c r="D283"/>
      <c r="E283"/>
      <c r="F283"/>
      <c r="G283"/>
    </row>
    <row r="284" spans="2:7" x14ac:dyDescent="0.25">
      <c r="B284"/>
      <c r="C284"/>
      <c r="D284"/>
      <c r="E284"/>
      <c r="F284"/>
      <c r="G284"/>
    </row>
    <row r="285" spans="2:7" x14ac:dyDescent="0.25">
      <c r="B285"/>
      <c r="C285"/>
      <c r="D285"/>
      <c r="E285"/>
      <c r="F285"/>
      <c r="G285"/>
    </row>
    <row r="286" spans="2:7" x14ac:dyDescent="0.25">
      <c r="B286"/>
      <c r="C286"/>
      <c r="D286"/>
      <c r="E286"/>
      <c r="F286"/>
      <c r="G286"/>
    </row>
    <row r="287" spans="2:7" x14ac:dyDescent="0.25">
      <c r="B287"/>
      <c r="C287"/>
      <c r="D287"/>
      <c r="E287"/>
      <c r="F287"/>
      <c r="G287"/>
    </row>
    <row r="288" spans="2:7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  <row r="512" spans="2:7" x14ac:dyDescent="0.25">
      <c r="B512"/>
      <c r="C512"/>
      <c r="D512"/>
      <c r="E512"/>
      <c r="F512"/>
      <c r="G512"/>
    </row>
    <row r="513" spans="2:7" x14ac:dyDescent="0.25">
      <c r="B513"/>
      <c r="C513"/>
      <c r="D513"/>
      <c r="E513"/>
      <c r="F513"/>
      <c r="G513"/>
    </row>
    <row r="514" spans="2:7" x14ac:dyDescent="0.25">
      <c r="B514"/>
      <c r="C514"/>
      <c r="D514"/>
      <c r="E514"/>
      <c r="F514"/>
      <c r="G514"/>
    </row>
    <row r="515" spans="2:7" x14ac:dyDescent="0.25">
      <c r="B515"/>
      <c r="C515"/>
      <c r="D515"/>
      <c r="E515"/>
      <c r="F515"/>
      <c r="G515"/>
    </row>
    <row r="516" spans="2:7" x14ac:dyDescent="0.25">
      <c r="B516"/>
      <c r="C516"/>
      <c r="D516"/>
      <c r="E516"/>
      <c r="F516"/>
      <c r="G516"/>
    </row>
    <row r="517" spans="2:7" x14ac:dyDescent="0.25">
      <c r="B517"/>
      <c r="C517"/>
      <c r="D517"/>
      <c r="E517"/>
      <c r="F517"/>
      <c r="G517"/>
    </row>
    <row r="518" spans="2:7" x14ac:dyDescent="0.25">
      <c r="B518"/>
      <c r="C518"/>
      <c r="D518"/>
      <c r="E518"/>
      <c r="F518"/>
      <c r="G518"/>
    </row>
    <row r="519" spans="2:7" x14ac:dyDescent="0.25">
      <c r="B519"/>
      <c r="C519"/>
      <c r="D519"/>
      <c r="E519"/>
      <c r="F519"/>
      <c r="G519"/>
    </row>
    <row r="520" spans="2:7" x14ac:dyDescent="0.25">
      <c r="B520"/>
      <c r="C520"/>
      <c r="D520"/>
      <c r="E520"/>
      <c r="F520"/>
      <c r="G520"/>
    </row>
    <row r="521" spans="2:7" x14ac:dyDescent="0.25">
      <c r="B521"/>
      <c r="C521"/>
      <c r="D521"/>
      <c r="E521"/>
      <c r="F521"/>
      <c r="G521"/>
    </row>
    <row r="522" spans="2:7" x14ac:dyDescent="0.25">
      <c r="B522"/>
      <c r="C522"/>
      <c r="D522"/>
      <c r="E522"/>
      <c r="F522"/>
      <c r="G522"/>
    </row>
    <row r="523" spans="2:7" x14ac:dyDescent="0.25">
      <c r="B523"/>
      <c r="C523"/>
      <c r="D523"/>
      <c r="E523"/>
      <c r="F523"/>
      <c r="G523"/>
    </row>
    <row r="524" spans="2:7" x14ac:dyDescent="0.25">
      <c r="B524"/>
      <c r="C524"/>
      <c r="D524"/>
      <c r="E524"/>
      <c r="F524"/>
      <c r="G524"/>
    </row>
    <row r="525" spans="2:7" x14ac:dyDescent="0.25">
      <c r="B525"/>
      <c r="C525"/>
      <c r="D525"/>
      <c r="E525"/>
      <c r="F525"/>
      <c r="G525"/>
    </row>
    <row r="526" spans="2:7" x14ac:dyDescent="0.25">
      <c r="B526"/>
      <c r="C526"/>
      <c r="D526"/>
      <c r="E526"/>
      <c r="F526"/>
      <c r="G526"/>
    </row>
    <row r="527" spans="2:7" x14ac:dyDescent="0.25">
      <c r="B527"/>
      <c r="C527"/>
      <c r="D527"/>
      <c r="E527"/>
      <c r="F527"/>
      <c r="G527"/>
    </row>
    <row r="528" spans="2:7" x14ac:dyDescent="0.25">
      <c r="B528"/>
      <c r="C528"/>
      <c r="D528"/>
      <c r="E528"/>
      <c r="F528"/>
      <c r="G528"/>
    </row>
    <row r="529" spans="2:7" x14ac:dyDescent="0.25">
      <c r="B529"/>
      <c r="C529"/>
      <c r="D529"/>
      <c r="E529"/>
      <c r="F529"/>
      <c r="G529"/>
    </row>
    <row r="530" spans="2:7" x14ac:dyDescent="0.25">
      <c r="B530"/>
      <c r="C530"/>
      <c r="D530"/>
      <c r="E530"/>
      <c r="F530"/>
      <c r="G530"/>
    </row>
    <row r="531" spans="2:7" x14ac:dyDescent="0.25">
      <c r="B531"/>
      <c r="C531"/>
      <c r="D531"/>
      <c r="E531"/>
      <c r="F531"/>
      <c r="G531"/>
    </row>
    <row r="532" spans="2:7" x14ac:dyDescent="0.25">
      <c r="B532"/>
      <c r="C532"/>
      <c r="D532"/>
      <c r="E532"/>
      <c r="F532"/>
      <c r="G532"/>
    </row>
    <row r="533" spans="2:7" x14ac:dyDescent="0.25">
      <c r="B533"/>
      <c r="C533"/>
      <c r="D533"/>
      <c r="E533"/>
      <c r="F533"/>
      <c r="G533"/>
    </row>
    <row r="534" spans="2:7" x14ac:dyDescent="0.25">
      <c r="B534"/>
      <c r="C534"/>
      <c r="D534"/>
      <c r="E534"/>
      <c r="F534"/>
      <c r="G534"/>
    </row>
    <row r="535" spans="2:7" x14ac:dyDescent="0.25">
      <c r="B535"/>
      <c r="C535"/>
      <c r="D535"/>
      <c r="E535"/>
      <c r="F535"/>
      <c r="G535"/>
    </row>
    <row r="536" spans="2:7" x14ac:dyDescent="0.25">
      <c r="B536"/>
      <c r="C536"/>
      <c r="D536"/>
      <c r="E536"/>
      <c r="F536"/>
      <c r="G536"/>
    </row>
    <row r="537" spans="2:7" x14ac:dyDescent="0.25">
      <c r="B537"/>
      <c r="C537"/>
      <c r="D537"/>
      <c r="E537"/>
      <c r="F537"/>
      <c r="G537"/>
    </row>
    <row r="538" spans="2:7" x14ac:dyDescent="0.25">
      <c r="B538"/>
      <c r="C538"/>
      <c r="D538"/>
      <c r="E538"/>
      <c r="F538"/>
      <c r="G538"/>
    </row>
    <row r="539" spans="2:7" x14ac:dyDescent="0.25">
      <c r="B539"/>
      <c r="C539"/>
      <c r="D539"/>
      <c r="E539"/>
      <c r="F539"/>
      <c r="G539"/>
    </row>
    <row r="540" spans="2:7" x14ac:dyDescent="0.25">
      <c r="B540"/>
      <c r="C540"/>
      <c r="D540"/>
      <c r="E540"/>
      <c r="F540"/>
      <c r="G540"/>
    </row>
    <row r="541" spans="2:7" x14ac:dyDescent="0.25">
      <c r="B541"/>
      <c r="C541"/>
      <c r="D541"/>
      <c r="E541"/>
      <c r="F541"/>
      <c r="G541"/>
    </row>
    <row r="542" spans="2:7" x14ac:dyDescent="0.25">
      <c r="B542"/>
      <c r="C542"/>
      <c r="D542"/>
      <c r="E542"/>
      <c r="F542"/>
      <c r="G542"/>
    </row>
    <row r="543" spans="2:7" x14ac:dyDescent="0.25">
      <c r="B543"/>
      <c r="C543"/>
      <c r="D543"/>
      <c r="E543"/>
      <c r="F543"/>
      <c r="G543"/>
    </row>
    <row r="544" spans="2:7" x14ac:dyDescent="0.25">
      <c r="B544"/>
      <c r="C544"/>
      <c r="D544"/>
      <c r="E544"/>
      <c r="F544"/>
      <c r="G544"/>
    </row>
    <row r="545" spans="2:7" x14ac:dyDescent="0.25">
      <c r="B545"/>
      <c r="C545"/>
      <c r="D545"/>
      <c r="E545"/>
      <c r="F545"/>
      <c r="G545"/>
    </row>
    <row r="546" spans="2:7" x14ac:dyDescent="0.25">
      <c r="B546"/>
      <c r="C546"/>
      <c r="D546"/>
      <c r="E546"/>
      <c r="F546"/>
      <c r="G546"/>
    </row>
    <row r="547" spans="2:7" x14ac:dyDescent="0.25">
      <c r="B547"/>
      <c r="C547"/>
      <c r="D547"/>
      <c r="E547"/>
      <c r="F547"/>
      <c r="G547"/>
    </row>
    <row r="548" spans="2:7" x14ac:dyDescent="0.25">
      <c r="B548"/>
      <c r="C548"/>
      <c r="D548"/>
      <c r="E548"/>
      <c r="F548"/>
      <c r="G548"/>
    </row>
    <row r="549" spans="2:7" x14ac:dyDescent="0.25">
      <c r="B549"/>
      <c r="C549"/>
      <c r="D549"/>
      <c r="E549"/>
      <c r="F549"/>
      <c r="G549"/>
    </row>
    <row r="550" spans="2:7" x14ac:dyDescent="0.25">
      <c r="B550"/>
      <c r="C550"/>
      <c r="D550"/>
      <c r="E550"/>
      <c r="F550"/>
      <c r="G550"/>
    </row>
    <row r="551" spans="2:7" x14ac:dyDescent="0.25">
      <c r="B551"/>
      <c r="C551"/>
      <c r="D551"/>
      <c r="E551"/>
      <c r="F551"/>
      <c r="G551"/>
    </row>
    <row r="552" spans="2:7" x14ac:dyDescent="0.25">
      <c r="B552"/>
      <c r="C552"/>
      <c r="D552"/>
      <c r="E552"/>
      <c r="F552"/>
      <c r="G552"/>
    </row>
    <row r="553" spans="2:7" x14ac:dyDescent="0.25">
      <c r="B553"/>
      <c r="C553"/>
      <c r="D553"/>
      <c r="E553"/>
      <c r="F553"/>
      <c r="G553"/>
    </row>
    <row r="554" spans="2:7" x14ac:dyDescent="0.25">
      <c r="B554"/>
      <c r="C554"/>
      <c r="D554"/>
      <c r="E554"/>
      <c r="F554"/>
      <c r="G554"/>
    </row>
    <row r="555" spans="2:7" x14ac:dyDescent="0.25">
      <c r="B555"/>
      <c r="C555"/>
      <c r="D555"/>
      <c r="E555"/>
      <c r="F555"/>
      <c r="G555"/>
    </row>
    <row r="556" spans="2:7" x14ac:dyDescent="0.25">
      <c r="B556"/>
      <c r="C556"/>
      <c r="D556"/>
      <c r="E556"/>
      <c r="F556"/>
      <c r="G556"/>
    </row>
    <row r="557" spans="2:7" x14ac:dyDescent="0.25">
      <c r="B557"/>
      <c r="C557"/>
      <c r="D557"/>
      <c r="E557"/>
      <c r="F557"/>
      <c r="G557"/>
    </row>
    <row r="558" spans="2:7" x14ac:dyDescent="0.25">
      <c r="B558"/>
      <c r="C558"/>
      <c r="D558"/>
      <c r="E558"/>
      <c r="F558"/>
      <c r="G558"/>
    </row>
    <row r="559" spans="2:7" x14ac:dyDescent="0.25">
      <c r="B559"/>
      <c r="C559"/>
      <c r="D559"/>
      <c r="E559"/>
      <c r="F559"/>
      <c r="G559"/>
    </row>
    <row r="560" spans="2:7" x14ac:dyDescent="0.25">
      <c r="B560"/>
      <c r="C560"/>
      <c r="D560"/>
      <c r="E560"/>
      <c r="F560"/>
      <c r="G560"/>
    </row>
    <row r="561" spans="2:7" x14ac:dyDescent="0.25">
      <c r="B561"/>
      <c r="C561"/>
      <c r="D561"/>
      <c r="E561"/>
      <c r="F561"/>
      <c r="G561"/>
    </row>
    <row r="562" spans="2:7" x14ac:dyDescent="0.25">
      <c r="B562"/>
      <c r="C562"/>
      <c r="D562"/>
      <c r="E562"/>
      <c r="F562"/>
      <c r="G562"/>
    </row>
    <row r="563" spans="2:7" x14ac:dyDescent="0.25">
      <c r="B563"/>
      <c r="C563"/>
      <c r="D563"/>
      <c r="E563"/>
      <c r="F563"/>
      <c r="G563"/>
    </row>
    <row r="564" spans="2:7" x14ac:dyDescent="0.25">
      <c r="B564"/>
      <c r="C564"/>
      <c r="D564"/>
      <c r="E564"/>
      <c r="F564"/>
      <c r="G564"/>
    </row>
    <row r="565" spans="2:7" x14ac:dyDescent="0.25">
      <c r="B565"/>
      <c r="C565"/>
      <c r="D565"/>
      <c r="E565"/>
      <c r="F565"/>
      <c r="G565"/>
    </row>
    <row r="566" spans="2:7" x14ac:dyDescent="0.25">
      <c r="B566"/>
      <c r="C566"/>
      <c r="D566"/>
      <c r="E566"/>
      <c r="F566"/>
      <c r="G566"/>
    </row>
    <row r="567" spans="2:7" x14ac:dyDescent="0.25">
      <c r="B567"/>
      <c r="C567"/>
      <c r="D567"/>
      <c r="E567"/>
      <c r="F567"/>
      <c r="G567"/>
    </row>
    <row r="568" spans="2:7" x14ac:dyDescent="0.25">
      <c r="B568"/>
      <c r="C568"/>
      <c r="D568"/>
      <c r="E568"/>
      <c r="F568"/>
      <c r="G568"/>
    </row>
    <row r="569" spans="2:7" x14ac:dyDescent="0.25">
      <c r="B569"/>
      <c r="C569"/>
      <c r="D569"/>
      <c r="E569"/>
      <c r="F569"/>
      <c r="G569"/>
    </row>
    <row r="570" spans="2:7" x14ac:dyDescent="0.25">
      <c r="B570"/>
      <c r="C570"/>
      <c r="D570"/>
      <c r="E570"/>
      <c r="F570"/>
      <c r="G570"/>
    </row>
    <row r="571" spans="2:7" x14ac:dyDescent="0.25">
      <c r="B571"/>
      <c r="C571"/>
      <c r="D571"/>
      <c r="E571"/>
      <c r="F571"/>
      <c r="G571"/>
    </row>
    <row r="572" spans="2:7" x14ac:dyDescent="0.25">
      <c r="B572"/>
      <c r="C572"/>
      <c r="D572"/>
      <c r="E572"/>
      <c r="F572"/>
      <c r="G572"/>
    </row>
    <row r="573" spans="2:7" x14ac:dyDescent="0.25">
      <c r="B573"/>
      <c r="C573"/>
      <c r="D573"/>
      <c r="E573"/>
      <c r="F573"/>
      <c r="G573"/>
    </row>
    <row r="574" spans="2:7" x14ac:dyDescent="0.25">
      <c r="B574"/>
      <c r="C574"/>
      <c r="D574"/>
      <c r="E574"/>
      <c r="F574"/>
      <c r="G574"/>
    </row>
    <row r="575" spans="2:7" x14ac:dyDescent="0.25">
      <c r="B575"/>
      <c r="C575"/>
      <c r="D575"/>
      <c r="E575"/>
      <c r="F575"/>
      <c r="G575"/>
    </row>
    <row r="576" spans="2:7" x14ac:dyDescent="0.25">
      <c r="B576"/>
      <c r="C576"/>
      <c r="D576"/>
      <c r="E576"/>
      <c r="F576"/>
      <c r="G576"/>
    </row>
    <row r="577" spans="2:7" x14ac:dyDescent="0.25">
      <c r="B577"/>
      <c r="C577"/>
      <c r="D577"/>
      <c r="E577"/>
      <c r="F577"/>
      <c r="G577"/>
    </row>
    <row r="578" spans="2:7" x14ac:dyDescent="0.25">
      <c r="B578"/>
      <c r="C578"/>
      <c r="D578"/>
      <c r="E578"/>
      <c r="F578"/>
      <c r="G578"/>
    </row>
    <row r="579" spans="2:7" x14ac:dyDescent="0.25">
      <c r="B579"/>
      <c r="C579"/>
      <c r="D579"/>
      <c r="E579"/>
      <c r="F579"/>
      <c r="G579"/>
    </row>
    <row r="580" spans="2:7" x14ac:dyDescent="0.25">
      <c r="B580"/>
      <c r="C580"/>
      <c r="D580"/>
      <c r="E580"/>
      <c r="F580"/>
      <c r="G580"/>
    </row>
    <row r="581" spans="2:7" x14ac:dyDescent="0.25">
      <c r="B581"/>
      <c r="C581"/>
      <c r="D581"/>
      <c r="E581"/>
      <c r="F581"/>
      <c r="G581"/>
    </row>
    <row r="582" spans="2:7" x14ac:dyDescent="0.25">
      <c r="B582"/>
      <c r="C582"/>
      <c r="D582"/>
      <c r="E582"/>
      <c r="F582"/>
      <c r="G582"/>
    </row>
    <row r="583" spans="2:7" x14ac:dyDescent="0.25">
      <c r="B583"/>
      <c r="C583"/>
      <c r="D583"/>
      <c r="E583"/>
      <c r="F583"/>
      <c r="G583"/>
    </row>
    <row r="584" spans="2:7" x14ac:dyDescent="0.25">
      <c r="B584"/>
      <c r="C584"/>
      <c r="D584"/>
      <c r="E584"/>
      <c r="F584"/>
      <c r="G584"/>
    </row>
    <row r="585" spans="2:7" x14ac:dyDescent="0.25">
      <c r="B585"/>
      <c r="C585"/>
      <c r="D585"/>
      <c r="E585"/>
      <c r="F585"/>
      <c r="G585"/>
    </row>
    <row r="586" spans="2:7" x14ac:dyDescent="0.25">
      <c r="B586"/>
      <c r="C586"/>
      <c r="D586"/>
      <c r="E586"/>
      <c r="F586"/>
      <c r="G586"/>
    </row>
    <row r="587" spans="2:7" x14ac:dyDescent="0.25">
      <c r="B587"/>
      <c r="C587"/>
      <c r="D587"/>
      <c r="E587"/>
      <c r="F587"/>
      <c r="G587"/>
    </row>
    <row r="588" spans="2:7" x14ac:dyDescent="0.25">
      <c r="B588"/>
      <c r="C588"/>
      <c r="D588"/>
      <c r="E588"/>
      <c r="F588"/>
      <c r="G588"/>
    </row>
    <row r="589" spans="2:7" x14ac:dyDescent="0.25">
      <c r="B589"/>
      <c r="C589"/>
      <c r="D589"/>
      <c r="E589"/>
      <c r="F589"/>
      <c r="G589"/>
    </row>
    <row r="590" spans="2:7" x14ac:dyDescent="0.25">
      <c r="B590"/>
      <c r="C590"/>
      <c r="D590"/>
      <c r="E590"/>
      <c r="F590"/>
      <c r="G590"/>
    </row>
    <row r="591" spans="2:7" x14ac:dyDescent="0.25">
      <c r="B591"/>
      <c r="C591"/>
      <c r="D591"/>
      <c r="E591"/>
      <c r="F591"/>
      <c r="G591"/>
    </row>
    <row r="592" spans="2:7" x14ac:dyDescent="0.25">
      <c r="B592"/>
      <c r="C592"/>
      <c r="D592"/>
      <c r="E592"/>
      <c r="F592"/>
      <c r="G592"/>
    </row>
    <row r="593" spans="2:7" x14ac:dyDescent="0.25">
      <c r="B593"/>
      <c r="C593"/>
      <c r="D593"/>
      <c r="E593"/>
      <c r="F593"/>
      <c r="G593"/>
    </row>
    <row r="594" spans="2:7" x14ac:dyDescent="0.25">
      <c r="B594"/>
      <c r="C594"/>
      <c r="D594"/>
      <c r="E594"/>
      <c r="F594"/>
      <c r="G594"/>
    </row>
    <row r="595" spans="2:7" x14ac:dyDescent="0.25">
      <c r="B595"/>
      <c r="C595"/>
      <c r="D595"/>
      <c r="E595"/>
      <c r="F595"/>
      <c r="G595"/>
    </row>
    <row r="596" spans="2:7" x14ac:dyDescent="0.25">
      <c r="B596"/>
      <c r="C596"/>
      <c r="D596"/>
      <c r="E596"/>
      <c r="F596"/>
      <c r="G596"/>
    </row>
    <row r="597" spans="2:7" x14ac:dyDescent="0.25">
      <c r="B597"/>
      <c r="C597"/>
      <c r="D597"/>
      <c r="E597"/>
      <c r="F597"/>
      <c r="G597"/>
    </row>
    <row r="598" spans="2:7" x14ac:dyDescent="0.25">
      <c r="B598"/>
      <c r="C598"/>
      <c r="D598"/>
      <c r="E598"/>
      <c r="F598"/>
      <c r="G598"/>
    </row>
    <row r="599" spans="2:7" x14ac:dyDescent="0.25">
      <c r="B599"/>
      <c r="C599"/>
      <c r="D599"/>
      <c r="E599"/>
      <c r="F599"/>
      <c r="G599"/>
    </row>
    <row r="600" spans="2:7" x14ac:dyDescent="0.25">
      <c r="B600"/>
      <c r="C600"/>
      <c r="D600"/>
      <c r="E600"/>
      <c r="F600"/>
      <c r="G600"/>
    </row>
    <row r="601" spans="2:7" x14ac:dyDescent="0.25">
      <c r="B601"/>
      <c r="C601"/>
      <c r="D601"/>
      <c r="E601"/>
      <c r="F601"/>
      <c r="G601"/>
    </row>
    <row r="602" spans="2:7" x14ac:dyDescent="0.25">
      <c r="B602"/>
      <c r="C602"/>
      <c r="D602"/>
      <c r="E602"/>
      <c r="F602"/>
      <c r="G602"/>
    </row>
    <row r="603" spans="2:7" x14ac:dyDescent="0.25">
      <c r="B603"/>
      <c r="C603"/>
      <c r="D603"/>
      <c r="E603"/>
      <c r="F603"/>
      <c r="G603"/>
    </row>
    <row r="604" spans="2:7" x14ac:dyDescent="0.25">
      <c r="B604"/>
      <c r="C604"/>
      <c r="D604"/>
      <c r="E604"/>
      <c r="F604"/>
      <c r="G604"/>
    </row>
    <row r="605" spans="2:7" x14ac:dyDescent="0.25">
      <c r="B605"/>
      <c r="C605"/>
      <c r="D605"/>
      <c r="E605"/>
      <c r="F605"/>
      <c r="G605"/>
    </row>
    <row r="606" spans="2:7" x14ac:dyDescent="0.25">
      <c r="B606"/>
      <c r="C606"/>
      <c r="D606"/>
      <c r="E606"/>
      <c r="F606"/>
      <c r="G606"/>
    </row>
    <row r="607" spans="2:7" x14ac:dyDescent="0.25">
      <c r="B607"/>
      <c r="C607"/>
      <c r="D607"/>
      <c r="E607"/>
      <c r="F607"/>
      <c r="G607"/>
    </row>
    <row r="608" spans="2:7" x14ac:dyDescent="0.25">
      <c r="B608"/>
      <c r="C608"/>
      <c r="D608"/>
      <c r="E608"/>
      <c r="F608"/>
      <c r="G608"/>
    </row>
    <row r="609" spans="2:7" x14ac:dyDescent="0.25">
      <c r="B609"/>
      <c r="C609"/>
      <c r="D609"/>
      <c r="E609"/>
      <c r="F609"/>
      <c r="G609"/>
    </row>
    <row r="610" spans="2:7" x14ac:dyDescent="0.25">
      <c r="B610"/>
      <c r="C610"/>
      <c r="D610"/>
      <c r="E610"/>
      <c r="F610"/>
      <c r="G610"/>
    </row>
    <row r="611" spans="2:7" x14ac:dyDescent="0.25">
      <c r="B611"/>
      <c r="C611"/>
      <c r="D611"/>
      <c r="E611"/>
      <c r="F611"/>
      <c r="G611"/>
    </row>
    <row r="612" spans="2:7" x14ac:dyDescent="0.25">
      <c r="B612"/>
      <c r="C612"/>
      <c r="D612"/>
      <c r="E612"/>
      <c r="F612"/>
      <c r="G612"/>
    </row>
    <row r="613" spans="2:7" x14ac:dyDescent="0.25">
      <c r="B613"/>
      <c r="C613"/>
      <c r="D613"/>
      <c r="E613"/>
      <c r="F613"/>
      <c r="G613"/>
    </row>
    <row r="614" spans="2:7" x14ac:dyDescent="0.25">
      <c r="B614"/>
      <c r="C614"/>
      <c r="D614"/>
      <c r="E614"/>
      <c r="F614"/>
      <c r="G614"/>
    </row>
    <row r="615" spans="2:7" x14ac:dyDescent="0.25">
      <c r="B615"/>
      <c r="C615"/>
      <c r="D615"/>
      <c r="E615"/>
      <c r="F615"/>
      <c r="G615"/>
    </row>
    <row r="616" spans="2:7" x14ac:dyDescent="0.25">
      <c r="B616"/>
      <c r="C616"/>
      <c r="D616"/>
      <c r="E616"/>
      <c r="F616"/>
      <c r="G616"/>
    </row>
    <row r="617" spans="2:7" x14ac:dyDescent="0.25">
      <c r="B617"/>
      <c r="C617"/>
      <c r="D617"/>
      <c r="E617"/>
      <c r="F617"/>
      <c r="G617"/>
    </row>
    <row r="618" spans="2:7" x14ac:dyDescent="0.25">
      <c r="B618"/>
      <c r="C618"/>
      <c r="D618"/>
      <c r="E618"/>
      <c r="F618"/>
      <c r="G618"/>
    </row>
    <row r="619" spans="2:7" x14ac:dyDescent="0.25">
      <c r="B619"/>
      <c r="C619"/>
      <c r="D619"/>
      <c r="E619"/>
      <c r="F619"/>
      <c r="G619"/>
    </row>
    <row r="620" spans="2:7" x14ac:dyDescent="0.25">
      <c r="B620"/>
      <c r="C620"/>
      <c r="D620"/>
      <c r="E620"/>
      <c r="F620"/>
      <c r="G620"/>
    </row>
    <row r="621" spans="2:7" x14ac:dyDescent="0.25">
      <c r="B621"/>
      <c r="C621"/>
      <c r="D621"/>
      <c r="E621"/>
      <c r="F621"/>
      <c r="G621"/>
    </row>
    <row r="622" spans="2:7" x14ac:dyDescent="0.25">
      <c r="B622"/>
      <c r="C622"/>
      <c r="D622"/>
      <c r="E622"/>
      <c r="F622"/>
      <c r="G622"/>
    </row>
    <row r="623" spans="2:7" x14ac:dyDescent="0.25">
      <c r="B623"/>
      <c r="C623"/>
      <c r="D623"/>
      <c r="E623"/>
      <c r="F623"/>
      <c r="G623"/>
    </row>
    <row r="624" spans="2:7" x14ac:dyDescent="0.25">
      <c r="B624"/>
      <c r="C624"/>
      <c r="D624"/>
      <c r="E624"/>
      <c r="F624"/>
      <c r="G624"/>
    </row>
    <row r="625" spans="2:7" x14ac:dyDescent="0.25">
      <c r="B625"/>
      <c r="C625"/>
      <c r="D625"/>
      <c r="E625"/>
      <c r="F625"/>
      <c r="G625"/>
    </row>
    <row r="626" spans="2:7" x14ac:dyDescent="0.25">
      <c r="B626"/>
      <c r="C626"/>
      <c r="D626"/>
      <c r="E626"/>
      <c r="F626"/>
      <c r="G626"/>
    </row>
    <row r="627" spans="2:7" x14ac:dyDescent="0.25">
      <c r="B627"/>
      <c r="C627"/>
      <c r="D627"/>
      <c r="E627"/>
      <c r="F627"/>
      <c r="G627"/>
    </row>
    <row r="628" spans="2:7" x14ac:dyDescent="0.25">
      <c r="B628"/>
      <c r="C628"/>
      <c r="D628"/>
      <c r="E628"/>
      <c r="F628"/>
      <c r="G628"/>
    </row>
    <row r="629" spans="2:7" x14ac:dyDescent="0.25">
      <c r="B629"/>
      <c r="C629"/>
      <c r="D629"/>
      <c r="E629"/>
      <c r="F629"/>
      <c r="G629"/>
    </row>
    <row r="630" spans="2:7" x14ac:dyDescent="0.25">
      <c r="B630"/>
      <c r="C630"/>
      <c r="D630"/>
      <c r="E630"/>
      <c r="F630"/>
      <c r="G630"/>
    </row>
    <row r="631" spans="2:7" x14ac:dyDescent="0.25">
      <c r="B631"/>
      <c r="C631"/>
      <c r="D631"/>
      <c r="E631"/>
      <c r="F631"/>
      <c r="G631"/>
    </row>
    <row r="632" spans="2:7" x14ac:dyDescent="0.25">
      <c r="B632"/>
      <c r="C632"/>
      <c r="D632"/>
      <c r="E632"/>
      <c r="F632"/>
      <c r="G632"/>
    </row>
    <row r="633" spans="2:7" x14ac:dyDescent="0.25">
      <c r="B633"/>
      <c r="C633"/>
      <c r="D633"/>
      <c r="E633"/>
      <c r="F633"/>
      <c r="G633"/>
    </row>
    <row r="634" spans="2:7" x14ac:dyDescent="0.25">
      <c r="B634"/>
      <c r="C634"/>
      <c r="D634"/>
      <c r="E634"/>
      <c r="F634"/>
      <c r="G634"/>
    </row>
    <row r="635" spans="2:7" x14ac:dyDescent="0.25">
      <c r="B635"/>
      <c r="C635"/>
      <c r="D635"/>
      <c r="E635"/>
      <c r="F635"/>
      <c r="G635"/>
    </row>
    <row r="636" spans="2:7" x14ac:dyDescent="0.25">
      <c r="B636"/>
      <c r="C636"/>
      <c r="D636"/>
      <c r="E636"/>
      <c r="F636"/>
      <c r="G636"/>
    </row>
    <row r="637" spans="2:7" x14ac:dyDescent="0.25">
      <c r="B637"/>
      <c r="C637"/>
      <c r="D637"/>
      <c r="E637"/>
      <c r="F637"/>
      <c r="G637"/>
    </row>
    <row r="638" spans="2:7" x14ac:dyDescent="0.25">
      <c r="B638"/>
      <c r="C638"/>
      <c r="D638"/>
      <c r="E638"/>
      <c r="F638"/>
      <c r="G638"/>
    </row>
    <row r="639" spans="2:7" x14ac:dyDescent="0.25">
      <c r="B639"/>
      <c r="C639"/>
      <c r="D639"/>
      <c r="E639"/>
      <c r="F639"/>
      <c r="G639"/>
    </row>
    <row r="640" spans="2:7" x14ac:dyDescent="0.25">
      <c r="B640"/>
      <c r="C640"/>
      <c r="D640"/>
      <c r="E640"/>
      <c r="F640"/>
      <c r="G640"/>
    </row>
    <row r="641" spans="2:7" x14ac:dyDescent="0.25">
      <c r="B641"/>
      <c r="C641"/>
      <c r="D641"/>
      <c r="E641"/>
      <c r="F641"/>
      <c r="G641"/>
    </row>
    <row r="642" spans="2:7" x14ac:dyDescent="0.25">
      <c r="B642"/>
      <c r="C642"/>
      <c r="D642"/>
      <c r="E642"/>
      <c r="F642"/>
      <c r="G642"/>
    </row>
    <row r="643" spans="2:7" x14ac:dyDescent="0.25">
      <c r="B643"/>
      <c r="C643"/>
      <c r="D643"/>
      <c r="E643"/>
      <c r="F643"/>
      <c r="G643"/>
    </row>
    <row r="644" spans="2:7" x14ac:dyDescent="0.25">
      <c r="B644"/>
      <c r="C644"/>
      <c r="D644"/>
      <c r="E644"/>
      <c r="F644"/>
      <c r="G644"/>
    </row>
    <row r="645" spans="2:7" x14ac:dyDescent="0.25">
      <c r="B645"/>
      <c r="C645"/>
      <c r="D645"/>
      <c r="E645"/>
      <c r="F645"/>
      <c r="G645"/>
    </row>
    <row r="646" spans="2:7" x14ac:dyDescent="0.25">
      <c r="B646"/>
      <c r="C646"/>
      <c r="D646"/>
      <c r="E646"/>
      <c r="F646"/>
      <c r="G646"/>
    </row>
    <row r="647" spans="2:7" x14ac:dyDescent="0.25">
      <c r="B647"/>
      <c r="C647"/>
      <c r="D647"/>
      <c r="E647"/>
      <c r="F647"/>
      <c r="G647"/>
    </row>
    <row r="648" spans="2:7" x14ac:dyDescent="0.25">
      <c r="B648"/>
      <c r="C648"/>
      <c r="D648"/>
      <c r="E648"/>
      <c r="F648"/>
      <c r="G648"/>
    </row>
    <row r="649" spans="2:7" x14ac:dyDescent="0.25">
      <c r="B649"/>
      <c r="C649"/>
      <c r="D649"/>
      <c r="E649"/>
      <c r="F649"/>
      <c r="G649"/>
    </row>
    <row r="650" spans="2:7" x14ac:dyDescent="0.25">
      <c r="B650"/>
      <c r="C650"/>
      <c r="D650"/>
      <c r="E650"/>
      <c r="F650"/>
      <c r="G650"/>
    </row>
    <row r="651" spans="2:7" x14ac:dyDescent="0.25">
      <c r="B651"/>
      <c r="C651"/>
      <c r="D651"/>
      <c r="E651"/>
      <c r="F651"/>
      <c r="G651"/>
    </row>
    <row r="652" spans="2:7" x14ac:dyDescent="0.25">
      <c r="B652"/>
      <c r="C652"/>
      <c r="D652"/>
      <c r="E652"/>
      <c r="F652"/>
      <c r="G652"/>
    </row>
    <row r="653" spans="2:7" x14ac:dyDescent="0.25">
      <c r="B653"/>
      <c r="C653"/>
      <c r="D653"/>
      <c r="E653"/>
      <c r="F653"/>
      <c r="G653"/>
    </row>
    <row r="654" spans="2:7" x14ac:dyDescent="0.25">
      <c r="B654"/>
      <c r="C654"/>
      <c r="D654"/>
      <c r="E654"/>
      <c r="F654"/>
      <c r="G654"/>
    </row>
    <row r="655" spans="2:7" x14ac:dyDescent="0.25">
      <c r="B655"/>
      <c r="C655"/>
      <c r="D655"/>
      <c r="E655"/>
      <c r="F655"/>
      <c r="G655"/>
    </row>
    <row r="656" spans="2:7" x14ac:dyDescent="0.25">
      <c r="B656"/>
      <c r="C656"/>
      <c r="D656"/>
      <c r="E656"/>
      <c r="F656"/>
      <c r="G656"/>
    </row>
    <row r="657" spans="2:7" x14ac:dyDescent="0.25">
      <c r="B657"/>
      <c r="C657"/>
      <c r="D657"/>
      <c r="E657"/>
      <c r="F657"/>
      <c r="G657"/>
    </row>
    <row r="658" spans="2:7" x14ac:dyDescent="0.25">
      <c r="B658"/>
      <c r="C658"/>
      <c r="D658"/>
      <c r="E658"/>
      <c r="F658"/>
      <c r="G658"/>
    </row>
    <row r="659" spans="2:7" x14ac:dyDescent="0.25">
      <c r="B659"/>
      <c r="C659"/>
      <c r="D659"/>
      <c r="E659"/>
      <c r="F659"/>
      <c r="G659"/>
    </row>
    <row r="660" spans="2:7" x14ac:dyDescent="0.25">
      <c r="B660"/>
      <c r="C660"/>
      <c r="D660"/>
      <c r="E660"/>
      <c r="F660"/>
      <c r="G660"/>
    </row>
    <row r="661" spans="2:7" x14ac:dyDescent="0.25">
      <c r="B661"/>
      <c r="C661"/>
      <c r="D661"/>
      <c r="E661"/>
      <c r="F661"/>
      <c r="G661"/>
    </row>
    <row r="662" spans="2:7" x14ac:dyDescent="0.25">
      <c r="B662"/>
      <c r="C662"/>
      <c r="D662"/>
      <c r="E662"/>
      <c r="F662"/>
      <c r="G662"/>
    </row>
    <row r="663" spans="2:7" x14ac:dyDescent="0.25">
      <c r="B663"/>
      <c r="C663"/>
      <c r="D663"/>
      <c r="E663"/>
      <c r="F663"/>
      <c r="G663"/>
    </row>
    <row r="664" spans="2:7" x14ac:dyDescent="0.25">
      <c r="B664"/>
      <c r="C664"/>
      <c r="D664"/>
      <c r="E664"/>
      <c r="F664"/>
      <c r="G664"/>
    </row>
    <row r="665" spans="2:7" x14ac:dyDescent="0.25">
      <c r="B665"/>
      <c r="C665"/>
      <c r="D665"/>
      <c r="E665"/>
      <c r="F665"/>
      <c r="G665"/>
    </row>
    <row r="666" spans="2:7" x14ac:dyDescent="0.25">
      <c r="B666"/>
      <c r="C666"/>
      <c r="D666"/>
      <c r="E666"/>
      <c r="F666"/>
      <c r="G666"/>
    </row>
    <row r="667" spans="2:7" x14ac:dyDescent="0.25">
      <c r="B667"/>
      <c r="C667"/>
      <c r="D667"/>
      <c r="E667"/>
      <c r="F667"/>
      <c r="G667"/>
    </row>
    <row r="668" spans="2:7" x14ac:dyDescent="0.25">
      <c r="B668"/>
      <c r="C668"/>
      <c r="D668"/>
      <c r="E668"/>
      <c r="F668"/>
      <c r="G668"/>
    </row>
    <row r="669" spans="2:7" x14ac:dyDescent="0.25">
      <c r="B669"/>
      <c r="C669"/>
      <c r="D669"/>
      <c r="E669"/>
      <c r="F669"/>
      <c r="G669"/>
    </row>
    <row r="670" spans="2:7" x14ac:dyDescent="0.25">
      <c r="B670"/>
      <c r="C670"/>
      <c r="D670"/>
      <c r="E670"/>
      <c r="F670"/>
      <c r="G670"/>
    </row>
    <row r="671" spans="2:7" x14ac:dyDescent="0.25">
      <c r="B671"/>
      <c r="C671"/>
      <c r="D671"/>
      <c r="E671"/>
      <c r="F671"/>
      <c r="G671"/>
    </row>
    <row r="672" spans="2:7" x14ac:dyDescent="0.25">
      <c r="B672"/>
      <c r="C672"/>
      <c r="D672"/>
      <c r="E672"/>
      <c r="F672"/>
      <c r="G672"/>
    </row>
    <row r="673" spans="2:7" x14ac:dyDescent="0.25">
      <c r="B673"/>
      <c r="C673"/>
      <c r="D673"/>
      <c r="E673"/>
      <c r="F673"/>
      <c r="G673"/>
    </row>
    <row r="674" spans="2:7" x14ac:dyDescent="0.25">
      <c r="B674"/>
      <c r="C674"/>
      <c r="D674"/>
      <c r="E674"/>
      <c r="F674"/>
      <c r="G674"/>
    </row>
    <row r="675" spans="2:7" x14ac:dyDescent="0.25">
      <c r="B675"/>
      <c r="C675"/>
      <c r="D675"/>
      <c r="E675"/>
      <c r="F675"/>
      <c r="G675"/>
    </row>
    <row r="676" spans="2:7" x14ac:dyDescent="0.25">
      <c r="B676"/>
      <c r="C676"/>
      <c r="D676"/>
      <c r="E676"/>
      <c r="F676"/>
      <c r="G676"/>
    </row>
    <row r="677" spans="2:7" x14ac:dyDescent="0.25">
      <c r="B677"/>
      <c r="C677"/>
      <c r="D677"/>
      <c r="E677"/>
      <c r="F677"/>
      <c r="G677"/>
    </row>
    <row r="678" spans="2:7" x14ac:dyDescent="0.25">
      <c r="B678"/>
      <c r="C678"/>
      <c r="D678"/>
      <c r="E678"/>
      <c r="F678"/>
      <c r="G678"/>
    </row>
    <row r="679" spans="2:7" x14ac:dyDescent="0.25">
      <c r="B679"/>
      <c r="C679"/>
      <c r="D679"/>
      <c r="E679"/>
      <c r="F679"/>
      <c r="G679"/>
    </row>
    <row r="680" spans="2:7" x14ac:dyDescent="0.25">
      <c r="B680"/>
      <c r="C680"/>
      <c r="D680"/>
      <c r="E680"/>
      <c r="F680"/>
      <c r="G680"/>
    </row>
    <row r="681" spans="2:7" x14ac:dyDescent="0.25">
      <c r="B681"/>
      <c r="C681"/>
      <c r="D681"/>
      <c r="E681"/>
      <c r="F681"/>
      <c r="G681"/>
    </row>
    <row r="682" spans="2:7" x14ac:dyDescent="0.25">
      <c r="B682"/>
      <c r="C682"/>
      <c r="D682"/>
      <c r="E682"/>
      <c r="F682"/>
      <c r="G682"/>
    </row>
    <row r="683" spans="2:7" x14ac:dyDescent="0.25">
      <c r="B683"/>
      <c r="C683"/>
      <c r="D683"/>
      <c r="E683"/>
      <c r="F683"/>
      <c r="G683"/>
    </row>
    <row r="684" spans="2:7" x14ac:dyDescent="0.25">
      <c r="B684"/>
      <c r="C684"/>
      <c r="D684"/>
      <c r="E684"/>
      <c r="F684"/>
      <c r="G684"/>
    </row>
    <row r="685" spans="2:7" x14ac:dyDescent="0.25">
      <c r="B685"/>
      <c r="C685"/>
      <c r="D685"/>
      <c r="E685"/>
      <c r="F685"/>
      <c r="G685"/>
    </row>
    <row r="686" spans="2:7" x14ac:dyDescent="0.25">
      <c r="B686"/>
      <c r="C686"/>
      <c r="D686"/>
      <c r="E686"/>
      <c r="F686"/>
      <c r="G686"/>
    </row>
    <row r="687" spans="2:7" x14ac:dyDescent="0.25">
      <c r="B687"/>
      <c r="C687"/>
      <c r="D687"/>
      <c r="E687"/>
      <c r="F687"/>
      <c r="G687"/>
    </row>
    <row r="688" spans="2:7" x14ac:dyDescent="0.25">
      <c r="B688"/>
      <c r="C688"/>
      <c r="D688"/>
      <c r="E688"/>
      <c r="F688"/>
      <c r="G688"/>
    </row>
    <row r="689" spans="2:7" x14ac:dyDescent="0.25">
      <c r="B689"/>
      <c r="C689"/>
      <c r="D689"/>
      <c r="E689"/>
      <c r="F689"/>
      <c r="G689"/>
    </row>
    <row r="690" spans="2:7" x14ac:dyDescent="0.25">
      <c r="B690"/>
      <c r="C690"/>
      <c r="D690"/>
      <c r="E690"/>
      <c r="F690"/>
      <c r="G690"/>
    </row>
    <row r="691" spans="2:7" x14ac:dyDescent="0.25">
      <c r="B691"/>
      <c r="C691"/>
      <c r="D691"/>
      <c r="E691"/>
      <c r="F691"/>
      <c r="G691"/>
    </row>
    <row r="692" spans="2:7" x14ac:dyDescent="0.25">
      <c r="B692"/>
      <c r="C692"/>
      <c r="D692"/>
      <c r="E692"/>
      <c r="F692"/>
      <c r="G692"/>
    </row>
    <row r="693" spans="2:7" x14ac:dyDescent="0.25">
      <c r="B693"/>
      <c r="C693"/>
      <c r="D693"/>
      <c r="E693"/>
      <c r="F693"/>
      <c r="G693"/>
    </row>
    <row r="694" spans="2:7" x14ac:dyDescent="0.25">
      <c r="B694"/>
      <c r="C694"/>
      <c r="D694"/>
      <c r="E694"/>
      <c r="F694"/>
      <c r="G694"/>
    </row>
    <row r="695" spans="2:7" x14ac:dyDescent="0.25">
      <c r="B695"/>
      <c r="C695"/>
      <c r="D695"/>
      <c r="E695"/>
      <c r="F695"/>
      <c r="G695"/>
    </row>
    <row r="696" spans="2:7" x14ac:dyDescent="0.25">
      <c r="B696"/>
      <c r="C696"/>
      <c r="D696"/>
      <c r="E696"/>
      <c r="F696"/>
      <c r="G696"/>
    </row>
    <row r="697" spans="2:7" x14ac:dyDescent="0.25">
      <c r="B697"/>
      <c r="C697"/>
      <c r="D697"/>
      <c r="E697"/>
      <c r="F697"/>
      <c r="G697"/>
    </row>
    <row r="698" spans="2:7" x14ac:dyDescent="0.25">
      <c r="B698"/>
      <c r="C698"/>
      <c r="D698"/>
      <c r="E698"/>
      <c r="F698"/>
      <c r="G698"/>
    </row>
    <row r="699" spans="2:7" x14ac:dyDescent="0.25">
      <c r="B699"/>
      <c r="C699"/>
      <c r="D699"/>
      <c r="E699"/>
      <c r="F699"/>
      <c r="G699"/>
    </row>
    <row r="700" spans="2:7" x14ac:dyDescent="0.25">
      <c r="B700"/>
      <c r="C700"/>
      <c r="D700"/>
      <c r="E700"/>
      <c r="F700"/>
      <c r="G700"/>
    </row>
    <row r="701" spans="2:7" x14ac:dyDescent="0.25">
      <c r="B701"/>
      <c r="C701"/>
      <c r="D701"/>
      <c r="E701"/>
      <c r="F701"/>
      <c r="G701"/>
    </row>
    <row r="702" spans="2:7" x14ac:dyDescent="0.25">
      <c r="B702"/>
      <c r="C702"/>
      <c r="D702"/>
      <c r="E702"/>
      <c r="F702"/>
      <c r="G702"/>
    </row>
    <row r="703" spans="2:7" x14ac:dyDescent="0.25">
      <c r="B703"/>
      <c r="C703"/>
      <c r="D703"/>
      <c r="E703"/>
      <c r="F703"/>
      <c r="G703"/>
    </row>
    <row r="704" spans="2:7" x14ac:dyDescent="0.25">
      <c r="B704"/>
      <c r="C704"/>
      <c r="D704"/>
      <c r="E704"/>
      <c r="F704"/>
      <c r="G704"/>
    </row>
    <row r="705" spans="2:7" x14ac:dyDescent="0.25">
      <c r="B705"/>
      <c r="C705"/>
      <c r="D705"/>
      <c r="E705"/>
      <c r="F705"/>
      <c r="G705"/>
    </row>
    <row r="706" spans="2:7" x14ac:dyDescent="0.25">
      <c r="B706"/>
      <c r="C706"/>
      <c r="D706"/>
      <c r="E706"/>
      <c r="F706"/>
      <c r="G706"/>
    </row>
    <row r="707" spans="2:7" x14ac:dyDescent="0.25">
      <c r="B707"/>
      <c r="C707"/>
      <c r="D707"/>
      <c r="E707"/>
      <c r="F707"/>
      <c r="G707"/>
    </row>
    <row r="708" spans="2:7" x14ac:dyDescent="0.25">
      <c r="B708"/>
      <c r="C708"/>
      <c r="D708"/>
      <c r="E708"/>
      <c r="F708"/>
      <c r="G708"/>
    </row>
    <row r="709" spans="2:7" x14ac:dyDescent="0.25">
      <c r="B709"/>
      <c r="C709"/>
      <c r="D709"/>
      <c r="E709"/>
      <c r="F709"/>
      <c r="G709"/>
    </row>
    <row r="710" spans="2:7" x14ac:dyDescent="0.25">
      <c r="B710"/>
      <c r="C710"/>
      <c r="D710"/>
      <c r="E710"/>
      <c r="F710"/>
      <c r="G710"/>
    </row>
    <row r="711" spans="2:7" x14ac:dyDescent="0.25">
      <c r="B711"/>
      <c r="C711"/>
      <c r="D711"/>
      <c r="E711"/>
      <c r="F711"/>
      <c r="G711"/>
    </row>
    <row r="712" spans="2:7" x14ac:dyDescent="0.25">
      <c r="B712"/>
      <c r="C712"/>
      <c r="D712"/>
      <c r="E712"/>
      <c r="F712"/>
      <c r="G712"/>
    </row>
    <row r="713" spans="2:7" x14ac:dyDescent="0.25">
      <c r="B713"/>
      <c r="C713"/>
      <c r="D713"/>
      <c r="E713"/>
      <c r="F713"/>
      <c r="G713"/>
    </row>
    <row r="714" spans="2:7" x14ac:dyDescent="0.25">
      <c r="B714"/>
      <c r="C714"/>
      <c r="D714"/>
      <c r="E714"/>
      <c r="F714"/>
      <c r="G714"/>
    </row>
    <row r="715" spans="2:7" x14ac:dyDescent="0.25">
      <c r="B715"/>
      <c r="C715"/>
      <c r="D715"/>
      <c r="E715"/>
      <c r="F715"/>
      <c r="G715"/>
    </row>
    <row r="716" spans="2:7" x14ac:dyDescent="0.25">
      <c r="B716"/>
      <c r="C716"/>
      <c r="D716"/>
      <c r="E716"/>
      <c r="F716"/>
      <c r="G716"/>
    </row>
    <row r="717" spans="2:7" x14ac:dyDescent="0.25">
      <c r="B717"/>
      <c r="C717"/>
      <c r="D717"/>
      <c r="E717"/>
      <c r="F717"/>
      <c r="G717"/>
    </row>
    <row r="718" spans="2:7" x14ac:dyDescent="0.25">
      <c r="B718"/>
      <c r="C718"/>
      <c r="D718"/>
      <c r="E718"/>
      <c r="F718"/>
      <c r="G718"/>
    </row>
    <row r="719" spans="2:7" x14ac:dyDescent="0.25">
      <c r="B719"/>
      <c r="C719"/>
      <c r="D719"/>
      <c r="E719"/>
      <c r="F719"/>
      <c r="G719"/>
    </row>
    <row r="720" spans="2:7" x14ac:dyDescent="0.25">
      <c r="B720"/>
      <c r="C720"/>
      <c r="D720"/>
      <c r="E720"/>
      <c r="F720"/>
      <c r="G720"/>
    </row>
    <row r="721" spans="2:7" x14ac:dyDescent="0.25">
      <c r="B721"/>
      <c r="C721"/>
      <c r="D721"/>
      <c r="E721"/>
      <c r="F721"/>
      <c r="G721"/>
    </row>
    <row r="722" spans="2:7" x14ac:dyDescent="0.25">
      <c r="B722"/>
      <c r="C722"/>
      <c r="D722"/>
      <c r="E722"/>
      <c r="F722"/>
      <c r="G722"/>
    </row>
    <row r="723" spans="2:7" x14ac:dyDescent="0.25">
      <c r="B723"/>
      <c r="C723"/>
      <c r="D723"/>
      <c r="E723"/>
      <c r="F723"/>
      <c r="G723"/>
    </row>
    <row r="724" spans="2:7" x14ac:dyDescent="0.25">
      <c r="B724"/>
      <c r="C724"/>
      <c r="D724"/>
      <c r="E724"/>
      <c r="F724"/>
      <c r="G724"/>
    </row>
    <row r="725" spans="2:7" x14ac:dyDescent="0.25">
      <c r="B725"/>
      <c r="C725"/>
      <c r="D725"/>
      <c r="E725"/>
      <c r="F725"/>
      <c r="G725"/>
    </row>
    <row r="726" spans="2:7" x14ac:dyDescent="0.25">
      <c r="B726"/>
      <c r="C726"/>
      <c r="D726"/>
      <c r="E726"/>
      <c r="F726"/>
      <c r="G726"/>
    </row>
    <row r="727" spans="2:7" x14ac:dyDescent="0.25">
      <c r="B727"/>
      <c r="C727"/>
      <c r="D727"/>
      <c r="E727"/>
      <c r="F727"/>
      <c r="G727"/>
    </row>
    <row r="728" spans="2:7" x14ac:dyDescent="0.25">
      <c r="B728"/>
      <c r="C728"/>
      <c r="D728"/>
      <c r="E728"/>
      <c r="F728"/>
      <c r="G728"/>
    </row>
    <row r="729" spans="2:7" x14ac:dyDescent="0.25">
      <c r="B729"/>
      <c r="C729"/>
      <c r="D729"/>
      <c r="E729"/>
      <c r="F729"/>
      <c r="G729"/>
    </row>
    <row r="730" spans="2:7" x14ac:dyDescent="0.25">
      <c r="B730"/>
      <c r="C730"/>
      <c r="D730"/>
      <c r="E730"/>
      <c r="F730"/>
      <c r="G730"/>
    </row>
    <row r="731" spans="2:7" x14ac:dyDescent="0.25">
      <c r="B731"/>
      <c r="C731"/>
      <c r="D731"/>
      <c r="E731"/>
      <c r="F731"/>
      <c r="G731"/>
    </row>
    <row r="732" spans="2:7" x14ac:dyDescent="0.25">
      <c r="B732"/>
      <c r="C732"/>
      <c r="D732"/>
      <c r="E732"/>
      <c r="F732"/>
      <c r="G732"/>
    </row>
    <row r="733" spans="2:7" x14ac:dyDescent="0.25">
      <c r="B733"/>
      <c r="C733"/>
      <c r="D733"/>
      <c r="E733"/>
      <c r="F733"/>
      <c r="G733"/>
    </row>
    <row r="734" spans="2:7" x14ac:dyDescent="0.25">
      <c r="B734"/>
      <c r="C734"/>
      <c r="D734"/>
      <c r="E734"/>
      <c r="F734"/>
      <c r="G734"/>
    </row>
    <row r="735" spans="2:7" x14ac:dyDescent="0.25">
      <c r="B735"/>
      <c r="C735"/>
      <c r="D735"/>
      <c r="E735"/>
      <c r="F735"/>
      <c r="G735"/>
    </row>
    <row r="736" spans="2:7" x14ac:dyDescent="0.25">
      <c r="B736"/>
      <c r="C736"/>
      <c r="D736"/>
      <c r="E736"/>
      <c r="F736"/>
      <c r="G736"/>
    </row>
    <row r="737" spans="2:7" x14ac:dyDescent="0.25">
      <c r="B737"/>
      <c r="C737"/>
      <c r="D737"/>
      <c r="E737"/>
      <c r="F737"/>
      <c r="G737"/>
    </row>
    <row r="738" spans="2:7" x14ac:dyDescent="0.25">
      <c r="B738"/>
      <c r="C738"/>
      <c r="D738"/>
      <c r="E738"/>
      <c r="F738"/>
      <c r="G738"/>
    </row>
    <row r="739" spans="2:7" x14ac:dyDescent="0.25">
      <c r="B739"/>
      <c r="C739"/>
      <c r="D739"/>
      <c r="E739"/>
      <c r="F739"/>
      <c r="G739"/>
    </row>
    <row r="740" spans="2:7" x14ac:dyDescent="0.25">
      <c r="B740"/>
      <c r="C740"/>
      <c r="D740"/>
      <c r="E740"/>
      <c r="F740"/>
      <c r="G740"/>
    </row>
    <row r="741" spans="2:7" x14ac:dyDescent="0.25">
      <c r="B741"/>
      <c r="C741"/>
      <c r="D741"/>
      <c r="E741"/>
      <c r="F741"/>
      <c r="G741"/>
    </row>
    <row r="742" spans="2:7" x14ac:dyDescent="0.25">
      <c r="B742"/>
      <c r="C742"/>
      <c r="D742"/>
      <c r="E742"/>
      <c r="F742"/>
      <c r="G742"/>
    </row>
    <row r="743" spans="2:7" x14ac:dyDescent="0.25">
      <c r="B743"/>
      <c r="C743"/>
      <c r="D743"/>
      <c r="E743"/>
      <c r="F743"/>
      <c r="G743"/>
    </row>
    <row r="744" spans="2:7" x14ac:dyDescent="0.25">
      <c r="B744"/>
      <c r="C744"/>
      <c r="D744"/>
      <c r="E744"/>
      <c r="F744"/>
      <c r="G744"/>
    </row>
    <row r="745" spans="2:7" x14ac:dyDescent="0.25">
      <c r="B745"/>
      <c r="C745"/>
      <c r="D745"/>
      <c r="E745"/>
      <c r="F745"/>
      <c r="G745"/>
    </row>
    <row r="746" spans="2:7" x14ac:dyDescent="0.25">
      <c r="B746"/>
      <c r="C746"/>
      <c r="D746"/>
      <c r="E746"/>
      <c r="F746"/>
      <c r="G746"/>
    </row>
    <row r="747" spans="2:7" x14ac:dyDescent="0.25">
      <c r="B747"/>
      <c r="C747"/>
      <c r="D747"/>
      <c r="E747"/>
      <c r="F747"/>
      <c r="G747"/>
    </row>
    <row r="748" spans="2:7" x14ac:dyDescent="0.25">
      <c r="B748"/>
      <c r="C748"/>
      <c r="D748"/>
      <c r="E748"/>
      <c r="F748"/>
      <c r="G748"/>
    </row>
    <row r="749" spans="2:7" x14ac:dyDescent="0.25">
      <c r="B749"/>
      <c r="C749"/>
      <c r="D749"/>
      <c r="E749"/>
      <c r="F749"/>
      <c r="G749"/>
    </row>
    <row r="750" spans="2:7" x14ac:dyDescent="0.25">
      <c r="B750"/>
      <c r="C750"/>
      <c r="D750"/>
      <c r="E750"/>
      <c r="F750"/>
      <c r="G750"/>
    </row>
    <row r="751" spans="2:7" x14ac:dyDescent="0.25">
      <c r="B751"/>
      <c r="C751"/>
      <c r="D751"/>
      <c r="E751"/>
      <c r="F751"/>
      <c r="G751"/>
    </row>
    <row r="752" spans="2:7" x14ac:dyDescent="0.25">
      <c r="B752"/>
      <c r="C752"/>
      <c r="D752"/>
      <c r="E752"/>
      <c r="F752"/>
      <c r="G752"/>
    </row>
    <row r="753" spans="2:7" x14ac:dyDescent="0.25">
      <c r="B753"/>
      <c r="C753"/>
      <c r="D753"/>
      <c r="E753"/>
      <c r="F753"/>
      <c r="G753"/>
    </row>
    <row r="754" spans="2:7" x14ac:dyDescent="0.25">
      <c r="B754"/>
      <c r="C754"/>
      <c r="D754"/>
      <c r="E754"/>
      <c r="F754"/>
      <c r="G754"/>
    </row>
    <row r="755" spans="2:7" x14ac:dyDescent="0.25">
      <c r="B755"/>
      <c r="C755"/>
      <c r="D755"/>
      <c r="E755"/>
      <c r="F755"/>
      <c r="G755"/>
    </row>
    <row r="756" spans="2:7" x14ac:dyDescent="0.25">
      <c r="B756"/>
      <c r="C756"/>
      <c r="D756"/>
      <c r="E756"/>
      <c r="F756"/>
      <c r="G756"/>
    </row>
    <row r="757" spans="2:7" x14ac:dyDescent="0.25">
      <c r="B757"/>
      <c r="C757"/>
      <c r="D757"/>
      <c r="E757"/>
      <c r="F757"/>
      <c r="G757"/>
    </row>
    <row r="758" spans="2:7" x14ac:dyDescent="0.25">
      <c r="B758"/>
      <c r="C758"/>
      <c r="D758"/>
      <c r="E758"/>
      <c r="F758"/>
      <c r="G758"/>
    </row>
    <row r="759" spans="2:7" x14ac:dyDescent="0.25">
      <c r="B759"/>
      <c r="C759"/>
      <c r="D759"/>
      <c r="E759"/>
      <c r="F759"/>
      <c r="G759"/>
    </row>
    <row r="760" spans="2:7" x14ac:dyDescent="0.25">
      <c r="B760"/>
      <c r="C760"/>
      <c r="D760"/>
      <c r="E760"/>
      <c r="F760"/>
      <c r="G760"/>
    </row>
    <row r="761" spans="2:7" x14ac:dyDescent="0.25">
      <c r="B761"/>
      <c r="C761"/>
      <c r="D761"/>
      <c r="E761"/>
      <c r="F761"/>
      <c r="G761"/>
    </row>
    <row r="762" spans="2:7" x14ac:dyDescent="0.25">
      <c r="B762"/>
      <c r="C762"/>
      <c r="D762"/>
      <c r="E762"/>
      <c r="F762"/>
      <c r="G762"/>
    </row>
    <row r="763" spans="2:7" x14ac:dyDescent="0.25">
      <c r="B763"/>
      <c r="C763"/>
      <c r="D763"/>
      <c r="E763"/>
      <c r="F763"/>
      <c r="G763"/>
    </row>
    <row r="764" spans="2:7" x14ac:dyDescent="0.25">
      <c r="B764"/>
      <c r="C764"/>
      <c r="D764"/>
      <c r="E764"/>
      <c r="F764"/>
      <c r="G764"/>
    </row>
    <row r="765" spans="2:7" x14ac:dyDescent="0.25">
      <c r="B765"/>
      <c r="C765"/>
      <c r="D765"/>
      <c r="E765"/>
      <c r="F765"/>
      <c r="G765"/>
    </row>
    <row r="766" spans="2:7" x14ac:dyDescent="0.25">
      <c r="B766"/>
      <c r="C766"/>
      <c r="D766"/>
      <c r="E766"/>
      <c r="F766"/>
      <c r="G766"/>
    </row>
    <row r="767" spans="2:7" x14ac:dyDescent="0.25">
      <c r="B767"/>
      <c r="C767"/>
      <c r="D767"/>
      <c r="E767"/>
      <c r="F767"/>
      <c r="G767"/>
    </row>
    <row r="768" spans="2:7" x14ac:dyDescent="0.25">
      <c r="B768"/>
      <c r="C768"/>
      <c r="D768"/>
      <c r="E768"/>
      <c r="F768"/>
      <c r="G768"/>
    </row>
    <row r="769" spans="2:7" x14ac:dyDescent="0.25">
      <c r="B769"/>
      <c r="C769"/>
      <c r="D769"/>
      <c r="E769"/>
      <c r="F769"/>
      <c r="G769"/>
    </row>
    <row r="770" spans="2:7" x14ac:dyDescent="0.25">
      <c r="B770"/>
      <c r="C770"/>
      <c r="D770"/>
      <c r="E770"/>
      <c r="F770"/>
      <c r="G770"/>
    </row>
    <row r="771" spans="2:7" x14ac:dyDescent="0.25">
      <c r="B771"/>
      <c r="C771"/>
      <c r="D771"/>
      <c r="E771"/>
      <c r="F771"/>
      <c r="G771"/>
    </row>
    <row r="772" spans="2:7" x14ac:dyDescent="0.25">
      <c r="B772"/>
      <c r="C772"/>
      <c r="D772"/>
      <c r="E772"/>
      <c r="F772"/>
      <c r="G772"/>
    </row>
    <row r="773" spans="2:7" x14ac:dyDescent="0.25">
      <c r="B773"/>
      <c r="C773"/>
      <c r="D773"/>
      <c r="E773"/>
      <c r="F773"/>
      <c r="G773"/>
    </row>
    <row r="774" spans="2:7" x14ac:dyDescent="0.25">
      <c r="B774"/>
      <c r="C774"/>
      <c r="D774"/>
      <c r="E774"/>
      <c r="F774"/>
      <c r="G774"/>
    </row>
    <row r="775" spans="2:7" x14ac:dyDescent="0.25">
      <c r="B775"/>
      <c r="C775"/>
      <c r="D775"/>
      <c r="E775"/>
      <c r="F775"/>
      <c r="G775"/>
    </row>
    <row r="776" spans="2:7" x14ac:dyDescent="0.25">
      <c r="B776"/>
      <c r="C776"/>
      <c r="D776"/>
      <c r="E776"/>
      <c r="F776"/>
      <c r="G776"/>
    </row>
    <row r="777" spans="2:7" x14ac:dyDescent="0.25">
      <c r="B777"/>
      <c r="C777"/>
      <c r="D777"/>
      <c r="E777"/>
      <c r="F777"/>
      <c r="G777"/>
    </row>
    <row r="778" spans="2:7" x14ac:dyDescent="0.25">
      <c r="B778"/>
      <c r="C778"/>
      <c r="D778"/>
      <c r="E778"/>
      <c r="F778"/>
      <c r="G778"/>
    </row>
    <row r="779" spans="2:7" x14ac:dyDescent="0.25">
      <c r="B779"/>
      <c r="C779"/>
      <c r="D779"/>
      <c r="E779"/>
      <c r="F779"/>
      <c r="G779"/>
    </row>
    <row r="780" spans="2:7" x14ac:dyDescent="0.25">
      <c r="B780"/>
      <c r="C780"/>
      <c r="D780"/>
      <c r="E780"/>
      <c r="F780"/>
      <c r="G780"/>
    </row>
    <row r="781" spans="2:7" x14ac:dyDescent="0.25">
      <c r="B781"/>
      <c r="C781"/>
      <c r="D781"/>
      <c r="E781"/>
      <c r="F781"/>
      <c r="G781"/>
    </row>
    <row r="782" spans="2:7" x14ac:dyDescent="0.25">
      <c r="B782"/>
      <c r="C782"/>
      <c r="D782"/>
      <c r="E782"/>
      <c r="F782"/>
      <c r="G782"/>
    </row>
    <row r="783" spans="2:7" x14ac:dyDescent="0.25">
      <c r="B783"/>
      <c r="C783"/>
      <c r="D783"/>
      <c r="E783"/>
      <c r="F783"/>
      <c r="G783"/>
    </row>
    <row r="784" spans="2:7" x14ac:dyDescent="0.25">
      <c r="B784"/>
      <c r="C784"/>
      <c r="D784"/>
      <c r="E784"/>
      <c r="F784"/>
      <c r="G784"/>
    </row>
    <row r="785" spans="2:7" x14ac:dyDescent="0.25">
      <c r="B785"/>
      <c r="C785"/>
      <c r="D785"/>
      <c r="E785"/>
      <c r="F785"/>
      <c r="G785"/>
    </row>
    <row r="786" spans="2:7" x14ac:dyDescent="0.25">
      <c r="B786"/>
      <c r="C786"/>
      <c r="D786"/>
      <c r="E786"/>
      <c r="F786"/>
      <c r="G786"/>
    </row>
    <row r="787" spans="2:7" x14ac:dyDescent="0.25">
      <c r="B787"/>
      <c r="C787"/>
      <c r="D787"/>
      <c r="E787"/>
      <c r="F787"/>
      <c r="G787"/>
    </row>
    <row r="788" spans="2:7" x14ac:dyDescent="0.25">
      <c r="B788"/>
      <c r="C788"/>
      <c r="D788"/>
      <c r="E788"/>
      <c r="F788"/>
      <c r="G788"/>
    </row>
    <row r="789" spans="2:7" x14ac:dyDescent="0.25">
      <c r="B789"/>
      <c r="C789"/>
      <c r="D789"/>
      <c r="E789"/>
      <c r="F789"/>
      <c r="G789"/>
    </row>
    <row r="790" spans="2:7" x14ac:dyDescent="0.25">
      <c r="B790"/>
      <c r="C790"/>
      <c r="D790"/>
      <c r="E790"/>
      <c r="F790"/>
      <c r="G790"/>
    </row>
    <row r="791" spans="2:7" x14ac:dyDescent="0.25">
      <c r="B791"/>
      <c r="C791"/>
      <c r="D791"/>
      <c r="E791"/>
      <c r="F791"/>
      <c r="G791"/>
    </row>
    <row r="792" spans="2:7" x14ac:dyDescent="0.25">
      <c r="B792"/>
      <c r="C792"/>
      <c r="D792"/>
      <c r="E792"/>
      <c r="F792"/>
      <c r="G792"/>
    </row>
    <row r="793" spans="2:7" x14ac:dyDescent="0.25">
      <c r="B793"/>
      <c r="C793"/>
      <c r="D793"/>
      <c r="E793"/>
      <c r="F793"/>
      <c r="G793"/>
    </row>
    <row r="794" spans="2:7" x14ac:dyDescent="0.25">
      <c r="B794"/>
      <c r="C794"/>
      <c r="D794"/>
      <c r="E794"/>
      <c r="F794"/>
      <c r="G794"/>
    </row>
    <row r="795" spans="2:7" x14ac:dyDescent="0.25">
      <c r="B795"/>
      <c r="C795"/>
      <c r="D795"/>
      <c r="E795"/>
      <c r="F795"/>
      <c r="G795"/>
    </row>
    <row r="796" spans="2:7" x14ac:dyDescent="0.25">
      <c r="B796"/>
      <c r="C796"/>
      <c r="D796"/>
      <c r="E796"/>
      <c r="F796"/>
      <c r="G796"/>
    </row>
    <row r="797" spans="2:7" x14ac:dyDescent="0.25">
      <c r="B797"/>
      <c r="C797"/>
      <c r="D797"/>
      <c r="E797"/>
      <c r="F797"/>
      <c r="G797"/>
    </row>
    <row r="798" spans="2:7" x14ac:dyDescent="0.25">
      <c r="B798"/>
      <c r="C798"/>
      <c r="D798"/>
      <c r="E798"/>
      <c r="F798"/>
      <c r="G798"/>
    </row>
    <row r="799" spans="2:7" x14ac:dyDescent="0.25">
      <c r="B799"/>
      <c r="C799"/>
      <c r="D799"/>
      <c r="E799"/>
      <c r="F799"/>
      <c r="G799"/>
    </row>
    <row r="800" spans="2:7" x14ac:dyDescent="0.25">
      <c r="B800"/>
      <c r="C800"/>
      <c r="D800"/>
      <c r="E800"/>
      <c r="F800"/>
      <c r="G800"/>
    </row>
    <row r="801" spans="2:7" x14ac:dyDescent="0.25">
      <c r="B801"/>
      <c r="C801"/>
      <c r="D801"/>
      <c r="E801"/>
      <c r="F801"/>
      <c r="G801"/>
    </row>
    <row r="802" spans="2:7" x14ac:dyDescent="0.25">
      <c r="B802"/>
      <c r="C802"/>
      <c r="D802"/>
      <c r="E802"/>
      <c r="F802"/>
      <c r="G802"/>
    </row>
    <row r="803" spans="2:7" x14ac:dyDescent="0.25">
      <c r="B803"/>
      <c r="C803"/>
      <c r="D803"/>
      <c r="E803"/>
      <c r="F803"/>
      <c r="G803"/>
    </row>
    <row r="804" spans="2:7" x14ac:dyDescent="0.25">
      <c r="B804"/>
      <c r="C804"/>
      <c r="D804"/>
      <c r="E804"/>
      <c r="F804"/>
      <c r="G804"/>
    </row>
    <row r="805" spans="2:7" x14ac:dyDescent="0.25">
      <c r="B805"/>
      <c r="C805"/>
      <c r="D805"/>
      <c r="E805"/>
      <c r="F805"/>
      <c r="G805"/>
    </row>
    <row r="806" spans="2:7" x14ac:dyDescent="0.25">
      <c r="B806"/>
      <c r="C806"/>
      <c r="D806"/>
      <c r="E806"/>
      <c r="F806"/>
      <c r="G806"/>
    </row>
    <row r="807" spans="2:7" x14ac:dyDescent="0.25">
      <c r="B807"/>
      <c r="C807"/>
      <c r="D807"/>
      <c r="E807"/>
      <c r="F807"/>
      <c r="G807"/>
    </row>
    <row r="808" spans="2:7" x14ac:dyDescent="0.25">
      <c r="B808"/>
      <c r="C808"/>
      <c r="D808"/>
      <c r="E808"/>
      <c r="F808"/>
      <c r="G808"/>
    </row>
    <row r="809" spans="2:7" x14ac:dyDescent="0.25">
      <c r="B809"/>
      <c r="C809"/>
      <c r="D809"/>
      <c r="E809"/>
      <c r="F809"/>
      <c r="G809"/>
    </row>
    <row r="810" spans="2:7" x14ac:dyDescent="0.25">
      <c r="B810"/>
      <c r="C810"/>
      <c r="D810"/>
      <c r="E810"/>
      <c r="F810"/>
      <c r="G810"/>
    </row>
    <row r="811" spans="2:7" x14ac:dyDescent="0.25">
      <c r="B811"/>
      <c r="C811"/>
      <c r="D811"/>
      <c r="E811"/>
      <c r="F811"/>
      <c r="G811"/>
    </row>
    <row r="812" spans="2:7" x14ac:dyDescent="0.25">
      <c r="B812"/>
      <c r="C812"/>
      <c r="D812"/>
      <c r="E812"/>
      <c r="F812"/>
      <c r="G812"/>
    </row>
    <row r="813" spans="2:7" x14ac:dyDescent="0.25">
      <c r="B813"/>
      <c r="C813"/>
      <c r="D813"/>
      <c r="E813"/>
      <c r="F813"/>
      <c r="G813"/>
    </row>
    <row r="814" spans="2:7" x14ac:dyDescent="0.25">
      <c r="B814"/>
      <c r="C814"/>
      <c r="D814"/>
      <c r="E814"/>
      <c r="F814"/>
      <c r="G814"/>
    </row>
    <row r="815" spans="2:7" x14ac:dyDescent="0.25">
      <c r="B815"/>
      <c r="C815"/>
      <c r="D815"/>
      <c r="E815"/>
      <c r="F815"/>
      <c r="G815"/>
    </row>
    <row r="816" spans="2:7" x14ac:dyDescent="0.25">
      <c r="B816"/>
      <c r="C816"/>
      <c r="D816"/>
      <c r="E816"/>
      <c r="F816"/>
      <c r="G816"/>
    </row>
    <row r="817" spans="2:7" x14ac:dyDescent="0.25">
      <c r="B817"/>
      <c r="C817"/>
      <c r="D817"/>
      <c r="E817"/>
      <c r="F817"/>
      <c r="G817"/>
    </row>
    <row r="818" spans="2:7" x14ac:dyDescent="0.25">
      <c r="B818"/>
      <c r="C818"/>
      <c r="D818"/>
      <c r="E818"/>
      <c r="F818"/>
      <c r="G818"/>
    </row>
    <row r="819" spans="2:7" x14ac:dyDescent="0.25">
      <c r="B819"/>
      <c r="C819"/>
      <c r="D819"/>
      <c r="E819"/>
      <c r="F819"/>
      <c r="G819"/>
    </row>
    <row r="820" spans="2:7" x14ac:dyDescent="0.25">
      <c r="B820"/>
      <c r="C820"/>
      <c r="D820"/>
      <c r="E820"/>
      <c r="F820"/>
      <c r="G820"/>
    </row>
    <row r="821" spans="2:7" x14ac:dyDescent="0.25">
      <c r="B821"/>
      <c r="C821"/>
      <c r="D821"/>
      <c r="E821"/>
      <c r="F821"/>
      <c r="G821"/>
    </row>
    <row r="822" spans="2:7" x14ac:dyDescent="0.25">
      <c r="B822"/>
      <c r="C822"/>
      <c r="D822"/>
      <c r="E822"/>
      <c r="F822"/>
      <c r="G822"/>
    </row>
    <row r="823" spans="2:7" x14ac:dyDescent="0.25">
      <c r="B823"/>
      <c r="C823"/>
      <c r="D823"/>
      <c r="E823"/>
      <c r="F823"/>
      <c r="G823"/>
    </row>
    <row r="824" spans="2:7" x14ac:dyDescent="0.25">
      <c r="B824"/>
      <c r="C824"/>
      <c r="D824"/>
      <c r="E824"/>
      <c r="F824"/>
      <c r="G824"/>
    </row>
    <row r="825" spans="2:7" x14ac:dyDescent="0.25">
      <c r="B825"/>
      <c r="C825"/>
      <c r="D825"/>
      <c r="E825"/>
      <c r="F825"/>
      <c r="G825"/>
    </row>
    <row r="826" spans="2:7" x14ac:dyDescent="0.25">
      <c r="B826"/>
      <c r="C826"/>
      <c r="D826"/>
      <c r="E826"/>
      <c r="F826"/>
      <c r="G826"/>
    </row>
    <row r="827" spans="2:7" x14ac:dyDescent="0.25">
      <c r="B827"/>
      <c r="C827"/>
      <c r="D827"/>
      <c r="E827"/>
      <c r="F827"/>
      <c r="G827"/>
    </row>
    <row r="828" spans="2:7" x14ac:dyDescent="0.25">
      <c r="B828"/>
      <c r="C828"/>
      <c r="D828"/>
      <c r="E828"/>
      <c r="F828"/>
      <c r="G828"/>
    </row>
    <row r="829" spans="2:7" x14ac:dyDescent="0.25">
      <c r="B829"/>
      <c r="C829"/>
      <c r="D829"/>
      <c r="E829"/>
      <c r="F829"/>
      <c r="G829"/>
    </row>
    <row r="830" spans="2:7" x14ac:dyDescent="0.25">
      <c r="B830"/>
      <c r="C830"/>
      <c r="D830"/>
      <c r="E830"/>
      <c r="F830"/>
      <c r="G830"/>
    </row>
    <row r="831" spans="2:7" x14ac:dyDescent="0.25">
      <c r="B831"/>
      <c r="C831"/>
      <c r="D831"/>
      <c r="E831"/>
      <c r="F831"/>
      <c r="G831"/>
    </row>
    <row r="832" spans="2:7" x14ac:dyDescent="0.25">
      <c r="B832"/>
      <c r="C832"/>
      <c r="D832"/>
      <c r="E832"/>
      <c r="F832"/>
      <c r="G832"/>
    </row>
    <row r="833" spans="2:7" x14ac:dyDescent="0.25">
      <c r="B833"/>
      <c r="C833"/>
      <c r="D833"/>
      <c r="E833"/>
      <c r="F833"/>
      <c r="G833"/>
    </row>
    <row r="834" spans="2:7" x14ac:dyDescent="0.25">
      <c r="B834"/>
      <c r="C834"/>
      <c r="D834"/>
      <c r="E834"/>
      <c r="F834"/>
      <c r="G834"/>
    </row>
    <row r="835" spans="2:7" x14ac:dyDescent="0.25">
      <c r="B835"/>
      <c r="C835"/>
      <c r="D835"/>
      <c r="E835"/>
      <c r="F835"/>
      <c r="G835"/>
    </row>
    <row r="836" spans="2:7" x14ac:dyDescent="0.25">
      <c r="B836"/>
      <c r="C836"/>
      <c r="D836"/>
      <c r="E836"/>
      <c r="F836"/>
      <c r="G836"/>
    </row>
    <row r="837" spans="2:7" x14ac:dyDescent="0.25">
      <c r="B837"/>
      <c r="C837"/>
      <c r="D837"/>
      <c r="E837"/>
      <c r="F837"/>
      <c r="G837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UpdateJiraData">
                <anchor moveWithCells="1" sizeWithCells="1">
                  <from>
                    <xdr:col>2</xdr:col>
                    <xdr:colOff>457200</xdr:colOff>
                    <xdr:row>0</xdr:row>
                    <xdr:rowOff>123825</xdr:rowOff>
                  </from>
                  <to>
                    <xdr:col>4</xdr:col>
                    <xdr:colOff>466725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2060"/>
  </sheetPr>
  <dimension ref="A1:AR133"/>
  <sheetViews>
    <sheetView workbookViewId="0">
      <selection activeCell="I17" sqref="I17"/>
    </sheetView>
  </sheetViews>
  <sheetFormatPr defaultColWidth="8.7109375" defaultRowHeight="15" x14ac:dyDescent="0.25"/>
  <cols>
    <col min="1" max="1" width="15.140625" bestFit="1" customWidth="1"/>
    <col min="2" max="2" width="32.42578125" bestFit="1" customWidth="1"/>
    <col min="3" max="3" width="12.85546875" bestFit="1" customWidth="1"/>
    <col min="4" max="4" width="12.42578125" customWidth="1"/>
    <col min="5" max="5" width="10.85546875" customWidth="1"/>
    <col min="6" max="6" width="8.140625" customWidth="1"/>
    <col min="7" max="8" width="8.85546875" customWidth="1"/>
    <col min="9" max="9" width="34.5703125" bestFit="1" customWidth="1"/>
    <col min="10" max="10" width="8.7109375" bestFit="1" customWidth="1"/>
    <col min="11" max="11" width="12.7109375" style="13" bestFit="1" customWidth="1"/>
    <col min="12" max="12" width="10" bestFit="1" customWidth="1"/>
    <col min="13" max="13" width="5.7109375" style="13" customWidth="1"/>
    <col min="14" max="15" width="35.7109375" style="74" bestFit="1" customWidth="1"/>
    <col min="16" max="16" width="15.7109375" customWidth="1"/>
    <col min="17" max="17" width="9.140625" customWidth="1"/>
    <col min="18" max="18" width="7" style="85" customWidth="1"/>
    <col min="19" max="19" width="8.140625" customWidth="1"/>
    <col min="20" max="20" width="11.140625" bestFit="1" customWidth="1"/>
    <col min="21" max="21" width="8.85546875" bestFit="1" customWidth="1"/>
    <col min="22" max="22" width="13.28515625" bestFit="1" customWidth="1"/>
    <col min="23" max="23" width="12.140625" bestFit="1" customWidth="1"/>
    <col min="24" max="40" width="11" bestFit="1" customWidth="1"/>
    <col min="41" max="41" width="6.7109375" bestFit="1" customWidth="1"/>
    <col min="42" max="42" width="8.7109375" bestFit="1" customWidth="1"/>
    <col min="43" max="43" width="8.28515625" bestFit="1" customWidth="1"/>
    <col min="44" max="44" width="9.42578125" bestFit="1" customWidth="1"/>
  </cols>
  <sheetData>
    <row r="1" spans="1:26" x14ac:dyDescent="0.25">
      <c r="A1" s="67" t="s">
        <v>77</v>
      </c>
      <c r="B1" s="68">
        <v>0.2</v>
      </c>
      <c r="K1" s="21" t="s">
        <v>42</v>
      </c>
      <c r="L1" s="22" t="s">
        <v>43</v>
      </c>
      <c r="N1" s="75" t="s">
        <v>93</v>
      </c>
      <c r="O1" s="75" t="s">
        <v>86</v>
      </c>
      <c r="P1" t="s">
        <v>92</v>
      </c>
      <c r="T1" t="s">
        <v>87</v>
      </c>
      <c r="U1" t="s">
        <v>48</v>
      </c>
      <c r="V1" t="s">
        <v>88</v>
      </c>
      <c r="W1" t="s">
        <v>56</v>
      </c>
    </row>
    <row r="2" spans="1:26" x14ac:dyDescent="0.25">
      <c r="A2" s="16" t="s">
        <v>145</v>
      </c>
      <c r="B2" s="69">
        <v>42912</v>
      </c>
      <c r="K2" s="66"/>
      <c r="L2" s="113"/>
      <c r="N2" s="114">
        <v>42923</v>
      </c>
      <c r="O2" s="114">
        <f>Releases[[#This Row],[Release Date]]-WEEKDAY(Releases[[#This Row],[Release Date]],3)</f>
        <v>42919</v>
      </c>
      <c r="P2" s="115" t="s">
        <v>180</v>
      </c>
      <c r="T2" t="s">
        <v>154</v>
      </c>
      <c r="U2" t="s">
        <v>151</v>
      </c>
      <c r="V2" s="13">
        <v>42912</v>
      </c>
      <c r="W2">
        <v>0</v>
      </c>
    </row>
    <row r="3" spans="1:26" x14ac:dyDescent="0.25">
      <c r="A3" s="70" t="s">
        <v>45</v>
      </c>
      <c r="B3" s="71">
        <f>COUNTA(Holydays[Holyday])</f>
        <v>0</v>
      </c>
      <c r="K3" s="110"/>
      <c r="L3" s="31"/>
      <c r="N3" s="114">
        <v>42937</v>
      </c>
      <c r="O3" s="114">
        <f>Releases[[#This Row],[Release Date]]-WEEKDAY(Releases[[#This Row],[Release Date]],3)</f>
        <v>42933</v>
      </c>
      <c r="P3" s="115" t="s">
        <v>181</v>
      </c>
      <c r="T3" t="s">
        <v>184</v>
      </c>
      <c r="U3" t="s">
        <v>151</v>
      </c>
      <c r="V3" s="13">
        <v>42912</v>
      </c>
      <c r="W3">
        <v>0</v>
      </c>
    </row>
    <row r="4" spans="1:26" x14ac:dyDescent="0.25">
      <c r="A4" s="16" t="s">
        <v>44</v>
      </c>
      <c r="B4" s="72">
        <f>Timeline[[#Totals],[Working Days]]</f>
        <v>0</v>
      </c>
      <c r="K4" s="111"/>
      <c r="L4" s="112"/>
      <c r="N4" s="114"/>
      <c r="O4" s="114"/>
      <c r="P4" s="115"/>
      <c r="T4" t="s">
        <v>85</v>
      </c>
      <c r="U4" t="s">
        <v>54</v>
      </c>
      <c r="V4" s="13">
        <v>42912</v>
      </c>
      <c r="W4">
        <v>0</v>
      </c>
    </row>
    <row r="5" spans="1:26" x14ac:dyDescent="0.25">
      <c r="A5" s="16" t="s">
        <v>46</v>
      </c>
      <c r="B5" s="69">
        <f>Timeline[[#Totals],[Last Day of Work]]</f>
        <v>42912</v>
      </c>
      <c r="K5" s="19"/>
      <c r="L5" s="15"/>
      <c r="N5" s="114"/>
      <c r="O5" s="114"/>
      <c r="P5" s="115"/>
    </row>
    <row r="6" spans="1:26" x14ac:dyDescent="0.25">
      <c r="A6" s="16" t="s">
        <v>47</v>
      </c>
      <c r="B6" s="73">
        <f>(B5-B2)/30</f>
        <v>0</v>
      </c>
      <c r="K6" s="20"/>
      <c r="L6" s="16"/>
      <c r="N6" s="114"/>
      <c r="O6" s="114"/>
      <c r="P6" s="115"/>
    </row>
    <row r="7" spans="1:26" x14ac:dyDescent="0.25">
      <c r="N7" s="114"/>
      <c r="O7" s="114"/>
      <c r="P7" s="115"/>
    </row>
    <row r="8" spans="1:26" x14ac:dyDescent="0.25">
      <c r="A8" s="17"/>
      <c r="B8" s="17"/>
      <c r="C8" s="17"/>
      <c r="D8" s="17"/>
      <c r="E8" s="94">
        <f>SUM(Activities!L:L)-Timeline[[#Totals],[Cycle Hours  on Backlog]]</f>
        <v>0</v>
      </c>
      <c r="F8" s="94"/>
      <c r="G8" s="94">
        <f>Timeline[[#Totals],[Total]]-SUM(Activities!N:N)</f>
        <v>0</v>
      </c>
      <c r="H8" s="94"/>
      <c r="I8" s="18"/>
      <c r="J8" s="15"/>
      <c r="N8" s="114"/>
      <c r="O8" s="114"/>
      <c r="P8" s="115"/>
    </row>
    <row r="9" spans="1:26" s="7" customFormat="1" ht="45" x14ac:dyDescent="0.25">
      <c r="A9" s="32" t="s">
        <v>48</v>
      </c>
      <c r="B9" s="32" t="s">
        <v>49</v>
      </c>
      <c r="C9" s="32" t="s">
        <v>50</v>
      </c>
      <c r="D9" s="32" t="s">
        <v>51</v>
      </c>
      <c r="E9" s="32" t="s">
        <v>132</v>
      </c>
      <c r="F9" s="32" t="s">
        <v>77</v>
      </c>
      <c r="G9" s="32" t="s">
        <v>55</v>
      </c>
      <c r="H9" s="32" t="s">
        <v>52</v>
      </c>
      <c r="I9" s="32" t="s">
        <v>53</v>
      </c>
      <c r="J9" s="62"/>
      <c r="K9" s="63"/>
      <c r="L9" s="63"/>
      <c r="M9" s="64"/>
      <c r="N9" s="114"/>
      <c r="O9" s="114"/>
      <c r="P9" s="116"/>
      <c r="R9" s="86"/>
      <c r="S9"/>
      <c r="T9"/>
      <c r="U9"/>
      <c r="V9"/>
      <c r="W9"/>
      <c r="X9"/>
      <c r="Y9"/>
      <c r="Z9"/>
    </row>
    <row r="10" spans="1:26" x14ac:dyDescent="0.25">
      <c r="A10" t="s">
        <v>151</v>
      </c>
      <c r="B10" s="28">
        <v>1</v>
      </c>
      <c r="C10" s="28">
        <v>8</v>
      </c>
      <c r="D10" s="28">
        <f>B10*C10</f>
        <v>8</v>
      </c>
      <c r="E10" s="28">
        <f>SUMIFS(IssueTypeVsRoleMapping[Cycle on Backlog],IssueTypeVsRoleMapping[Role],Timeline[[#This Row],[Role]])</f>
        <v>0</v>
      </c>
      <c r="F10" s="28">
        <f>Timeline[[#This Row],[Cycle Hours  on Backlog]]*$B$1</f>
        <v>0</v>
      </c>
      <c r="G10" s="28">
        <f>Timeline[[#This Row],[Cycle Hours  on Backlog]]+Timeline[[#This Row],[Risk]]</f>
        <v>0</v>
      </c>
      <c r="H10" s="28">
        <f t="shared" ref="H10:H15" si="0">IF(D10=0,0,G10/D10)</f>
        <v>0</v>
      </c>
      <c r="I10" s="66">
        <f>IF(Timeline[[#This Row],[People]]&lt;=0,"",WORKDAY($B$2,Timeline[[#This Row],[Working Days]],Holydays[Holyday]))</f>
        <v>42912</v>
      </c>
      <c r="J10" s="15"/>
      <c r="K10"/>
      <c r="M10"/>
      <c r="N10" s="114"/>
      <c r="O10" s="114"/>
      <c r="P10" s="115"/>
    </row>
    <row r="11" spans="1:26" x14ac:dyDescent="0.25">
      <c r="A11" t="s">
        <v>54</v>
      </c>
      <c r="B11" s="28">
        <v>2</v>
      </c>
      <c r="C11" s="28">
        <v>8</v>
      </c>
      <c r="D11" s="28">
        <f t="shared" ref="D11" si="1">B11*C11</f>
        <v>16</v>
      </c>
      <c r="E11" s="28">
        <f>SUMIFS(IssueTypeVsRoleMapping[Cycle on Backlog],IssueTypeVsRoleMapping[Role],Timeline[[#This Row],[Role]])</f>
        <v>0</v>
      </c>
      <c r="F11" s="28">
        <f>Timeline[[#This Row],[Cycle Hours  on Backlog]]*$B$1</f>
        <v>0</v>
      </c>
      <c r="G11" s="28">
        <f>Timeline[[#This Row],[Cycle Hours  on Backlog]]+Timeline[[#This Row],[Risk]]</f>
        <v>0</v>
      </c>
      <c r="H11" s="28">
        <f t="shared" si="0"/>
        <v>0</v>
      </c>
      <c r="I11" s="66">
        <f>IF(Timeline[[#This Row],[People]]&lt;=0,"",WORKDAY($B$2,Timeline[[#This Row],[Working Days]],Holydays[Holyday]))</f>
        <v>42912</v>
      </c>
      <c r="J11" s="15"/>
      <c r="K11"/>
      <c r="M11"/>
    </row>
    <row r="12" spans="1:26" x14ac:dyDescent="0.25">
      <c r="B12" s="28"/>
      <c r="C12" s="28"/>
      <c r="D12" s="28">
        <f t="shared" ref="D12:D15" si="2">B12*C12</f>
        <v>0</v>
      </c>
      <c r="E12" s="28">
        <f>SUMIFS(IssueTypeVsRoleMapping[Cycle on Backlog],IssueTypeVsRoleMapping[Role],Timeline[[#This Row],[Role]])</f>
        <v>0</v>
      </c>
      <c r="F12" s="28">
        <f>Timeline[[#This Row],[Cycle Hours  on Backlog]]*$B$1</f>
        <v>0</v>
      </c>
      <c r="G12" s="28">
        <f>Timeline[[#This Row],[Cycle Hours  on Backlog]]+Timeline[[#This Row],[Risk]]</f>
        <v>0</v>
      </c>
      <c r="H12" s="28">
        <f t="shared" si="0"/>
        <v>0</v>
      </c>
      <c r="I12" s="66" t="str">
        <f>IF(Timeline[[#This Row],[People]]&lt;=0,"",WORKDAY($B$2,Timeline[[#This Row],[Working Days]],Holydays[Holyday]))</f>
        <v/>
      </c>
      <c r="J12" s="15"/>
      <c r="K12"/>
      <c r="M12"/>
    </row>
    <row r="13" spans="1:26" x14ac:dyDescent="0.25">
      <c r="B13" s="28"/>
      <c r="C13" s="28"/>
      <c r="D13" s="28">
        <f t="shared" si="2"/>
        <v>0</v>
      </c>
      <c r="E13" s="28">
        <f>SUMIFS(IssueTypeVsRoleMapping[Cycle on Backlog],IssueTypeVsRoleMapping[Role],Timeline[[#This Row],[Role]])</f>
        <v>0</v>
      </c>
      <c r="F13" s="28">
        <f>Timeline[[#This Row],[Cycle Hours  on Backlog]]*$B$1</f>
        <v>0</v>
      </c>
      <c r="G13" s="28">
        <f>Timeline[[#This Row],[Cycle Hours  on Backlog]]+Timeline[[#This Row],[Risk]]</f>
        <v>0</v>
      </c>
      <c r="H13" s="28">
        <f t="shared" si="0"/>
        <v>0</v>
      </c>
      <c r="I13" s="66" t="str">
        <f>IF(Timeline[[#This Row],[People]]&lt;=0,"",WORKDAY($B$2,Timeline[[#This Row],[Working Days]],Holydays[Holyday]))</f>
        <v/>
      </c>
      <c r="J13" s="15"/>
      <c r="K13"/>
      <c r="M13"/>
    </row>
    <row r="14" spans="1:26" x14ac:dyDescent="0.25">
      <c r="B14" s="28"/>
      <c r="C14" s="28"/>
      <c r="D14" s="28">
        <f t="shared" si="2"/>
        <v>0</v>
      </c>
      <c r="E14" s="28">
        <f>SUMIFS(IssueTypeVsRoleMapping[Cycle on Backlog],IssueTypeVsRoleMapping[Role],Timeline[[#This Row],[Role]])</f>
        <v>0</v>
      </c>
      <c r="F14" s="28">
        <f>Timeline[[#This Row],[Cycle Hours  on Backlog]]*$B$1</f>
        <v>0</v>
      </c>
      <c r="G14" s="28">
        <f>Timeline[[#This Row],[Cycle Hours  on Backlog]]+Timeline[[#This Row],[Risk]]</f>
        <v>0</v>
      </c>
      <c r="H14" s="28">
        <f t="shared" si="0"/>
        <v>0</v>
      </c>
      <c r="I14" s="66" t="str">
        <f>IF(Timeline[[#This Row],[People]]&lt;=0,"",WORKDAY($B$2,Timeline[[#This Row],[Working Days]],Holydays[Holyday]))</f>
        <v/>
      </c>
      <c r="J14" s="15"/>
      <c r="K14"/>
      <c r="M14"/>
    </row>
    <row r="15" spans="1:26" x14ac:dyDescent="0.25">
      <c r="B15" s="28"/>
      <c r="C15" s="28"/>
      <c r="D15" s="28">
        <f t="shared" si="2"/>
        <v>0</v>
      </c>
      <c r="E15" s="28">
        <f>SUMIFS(IssueTypeVsRoleMapping[Cycle on Backlog],IssueTypeVsRoleMapping[Role],Timeline[[#This Row],[Role]])</f>
        <v>0</v>
      </c>
      <c r="F15" s="28">
        <f>Timeline[[#This Row],[Cycle Hours  on Backlog]]*$B$1</f>
        <v>0</v>
      </c>
      <c r="G15" s="28">
        <f>Timeline[[#This Row],[Cycle Hours  on Backlog]]+Timeline[[#This Row],[Risk]]</f>
        <v>0</v>
      </c>
      <c r="H15" s="28">
        <f t="shared" si="0"/>
        <v>0</v>
      </c>
      <c r="I15" s="66" t="str">
        <f>IF(Timeline[[#This Row],[People]]&lt;=0,"",WORKDAY($B$2,Timeline[[#This Row],[Working Days]],Holydays[Holyday]))</f>
        <v/>
      </c>
      <c r="J15" s="15"/>
      <c r="K15"/>
      <c r="M15"/>
    </row>
    <row r="16" spans="1:26" ht="15.75" thickBot="1" x14ac:dyDescent="0.3">
      <c r="A16" t="s">
        <v>2</v>
      </c>
      <c r="B16" s="65">
        <f>SUBTOTAL(109,Timeline[People])</f>
        <v>3</v>
      </c>
      <c r="C16" s="65"/>
      <c r="D16" s="65">
        <f>SUBTOTAL(109,Timeline[Team Daily Capability])</f>
        <v>24</v>
      </c>
      <c r="E16" s="65">
        <f>SUBTOTAL(109,Timeline[Cycle Hours  on Backlog])</f>
        <v>0</v>
      </c>
      <c r="F16" s="65">
        <f>SUBTOTAL(109,Timeline[Risk])</f>
        <v>0</v>
      </c>
      <c r="G16" s="65">
        <f>SUBTOTAL(109,Timeline[Total])</f>
        <v>0</v>
      </c>
      <c r="H16" s="65">
        <f>SUBTOTAL(104,Timeline[Working Days])</f>
        <v>0</v>
      </c>
      <c r="I16" s="66">
        <f>SUBTOTAL(104,Timeline[Last Day of Work])</f>
        <v>42912</v>
      </c>
      <c r="J16" s="16"/>
      <c r="K16"/>
      <c r="M16"/>
    </row>
    <row r="17" spans="5:44" ht="15.75" thickTop="1" x14ac:dyDescent="0.25">
      <c r="E17" s="30"/>
      <c r="H17" s="126" t="s">
        <v>185</v>
      </c>
      <c r="I17" s="127">
        <v>42942</v>
      </c>
      <c r="K17"/>
      <c r="M17"/>
    </row>
    <row r="18" spans="5:44" x14ac:dyDescent="0.25">
      <c r="K18"/>
      <c r="M18"/>
      <c r="N18" s="76"/>
      <c r="O18" s="76"/>
      <c r="P18" s="34"/>
    </row>
    <row r="19" spans="5:44" x14ac:dyDescent="0.25">
      <c r="K19"/>
    </row>
    <row r="20" spans="5:44" s="34" customFormat="1" x14ac:dyDescent="0.25">
      <c r="K20"/>
      <c r="L20"/>
      <c r="N20" s="74"/>
      <c r="O20" s="74"/>
      <c r="P20"/>
      <c r="R20" s="87"/>
      <c r="S20"/>
      <c r="T20"/>
      <c r="U20"/>
      <c r="V20"/>
      <c r="W20"/>
      <c r="X20"/>
      <c r="Y20"/>
      <c r="Z20"/>
    </row>
    <row r="21" spans="5:44" x14ac:dyDescent="0.25">
      <c r="K21"/>
      <c r="M21"/>
      <c r="N21"/>
      <c r="O21"/>
      <c r="R21"/>
    </row>
    <row r="22" spans="5:44" s="77" customFormat="1" x14ac:dyDescent="0.25">
      <c r="K22"/>
      <c r="L22"/>
      <c r="M22"/>
      <c r="N22"/>
      <c r="O22"/>
      <c r="P22"/>
      <c r="Q22"/>
      <c r="R22" s="85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78"/>
      <c r="AR22" s="78"/>
    </row>
    <row r="23" spans="5:44" x14ac:dyDescent="0.25">
      <c r="K23"/>
      <c r="M23"/>
      <c r="N23"/>
      <c r="O23"/>
    </row>
    <row r="24" spans="5:44" x14ac:dyDescent="0.25">
      <c r="K24"/>
      <c r="M24"/>
      <c r="N24"/>
      <c r="O24"/>
    </row>
    <row r="25" spans="5:44" x14ac:dyDescent="0.25">
      <c r="K25"/>
      <c r="M25"/>
      <c r="N25"/>
      <c r="O25"/>
    </row>
    <row r="26" spans="5:44" x14ac:dyDescent="0.25">
      <c r="K26"/>
      <c r="M26"/>
      <c r="N26"/>
      <c r="O26"/>
    </row>
    <row r="27" spans="5:44" x14ac:dyDescent="0.25">
      <c r="K27"/>
      <c r="M27"/>
      <c r="N27"/>
      <c r="O27"/>
    </row>
    <row r="28" spans="5:44" x14ac:dyDescent="0.25">
      <c r="K28"/>
      <c r="M28"/>
      <c r="N28"/>
      <c r="O28"/>
    </row>
    <row r="29" spans="5:44" x14ac:dyDescent="0.25">
      <c r="K29"/>
      <c r="M29"/>
      <c r="N29"/>
      <c r="O29"/>
    </row>
    <row r="30" spans="5:44" x14ac:dyDescent="0.25">
      <c r="K30"/>
      <c r="M30"/>
      <c r="N30"/>
      <c r="O30"/>
    </row>
    <row r="31" spans="5:44" x14ac:dyDescent="0.25">
      <c r="K31"/>
      <c r="M31"/>
      <c r="N31"/>
      <c r="O31"/>
    </row>
    <row r="32" spans="5:44" x14ac:dyDescent="0.25">
      <c r="K32"/>
      <c r="M32"/>
      <c r="N32"/>
      <c r="O32"/>
    </row>
    <row r="33" spans="11:15" x14ac:dyDescent="0.25">
      <c r="K33"/>
      <c r="M33"/>
      <c r="N33"/>
      <c r="O33"/>
    </row>
    <row r="34" spans="11:15" x14ac:dyDescent="0.25">
      <c r="K34"/>
      <c r="M34"/>
      <c r="N34"/>
      <c r="O34"/>
    </row>
    <row r="35" spans="11:15" x14ac:dyDescent="0.25">
      <c r="K35"/>
      <c r="M35"/>
      <c r="N35"/>
      <c r="O35"/>
    </row>
    <row r="36" spans="11:15" x14ac:dyDescent="0.25">
      <c r="K36"/>
      <c r="M36"/>
      <c r="N36"/>
      <c r="O36"/>
    </row>
    <row r="37" spans="11:15" x14ac:dyDescent="0.25">
      <c r="K37"/>
      <c r="M37"/>
      <c r="N37"/>
      <c r="O37"/>
    </row>
    <row r="38" spans="11:15" x14ac:dyDescent="0.25">
      <c r="K38"/>
      <c r="M38"/>
      <c r="N38"/>
      <c r="O38"/>
    </row>
    <row r="39" spans="11:15" x14ac:dyDescent="0.25">
      <c r="K39"/>
      <c r="M39"/>
      <c r="N39"/>
      <c r="O39"/>
    </row>
    <row r="40" spans="11:15" x14ac:dyDescent="0.25">
      <c r="K40"/>
      <c r="M40"/>
      <c r="N40"/>
      <c r="O40"/>
    </row>
    <row r="41" spans="11:15" x14ac:dyDescent="0.25">
      <c r="K41"/>
      <c r="M41"/>
      <c r="N41"/>
      <c r="O41"/>
    </row>
    <row r="42" spans="11:15" x14ac:dyDescent="0.25">
      <c r="K42"/>
      <c r="M42"/>
      <c r="N42"/>
      <c r="O42"/>
    </row>
    <row r="43" spans="11:15" x14ac:dyDescent="0.25">
      <c r="K43"/>
      <c r="M43"/>
      <c r="N43"/>
      <c r="O43"/>
    </row>
    <row r="44" spans="11:15" x14ac:dyDescent="0.25">
      <c r="K44"/>
      <c r="M44"/>
      <c r="N44"/>
      <c r="O44"/>
    </row>
    <row r="45" spans="11:15" x14ac:dyDescent="0.25">
      <c r="K45"/>
      <c r="M45"/>
      <c r="N45"/>
      <c r="O45"/>
    </row>
    <row r="46" spans="11:15" x14ac:dyDescent="0.25">
      <c r="K46"/>
      <c r="M46"/>
      <c r="N46"/>
      <c r="O46"/>
    </row>
    <row r="47" spans="11:15" x14ac:dyDescent="0.25">
      <c r="K47"/>
      <c r="M47"/>
      <c r="N47"/>
      <c r="O47"/>
    </row>
    <row r="48" spans="11:15" x14ac:dyDescent="0.25">
      <c r="K48"/>
      <c r="M48"/>
      <c r="N48"/>
      <c r="O48"/>
    </row>
    <row r="49" spans="11:15" x14ac:dyDescent="0.25">
      <c r="K49"/>
      <c r="M49"/>
      <c r="N49"/>
      <c r="O49"/>
    </row>
    <row r="50" spans="11:15" x14ac:dyDescent="0.25">
      <c r="K50"/>
      <c r="M50"/>
      <c r="N50"/>
      <c r="O50"/>
    </row>
    <row r="51" spans="11:15" x14ac:dyDescent="0.25">
      <c r="K51"/>
      <c r="M51"/>
      <c r="N51"/>
      <c r="O51"/>
    </row>
    <row r="52" spans="11:15" x14ac:dyDescent="0.25">
      <c r="K52"/>
      <c r="M52"/>
      <c r="N52"/>
      <c r="O52"/>
    </row>
    <row r="53" spans="11:15" x14ac:dyDescent="0.25">
      <c r="K53"/>
      <c r="M53"/>
      <c r="N53"/>
      <c r="O53"/>
    </row>
    <row r="54" spans="11:15" x14ac:dyDescent="0.25">
      <c r="K54"/>
      <c r="M54"/>
      <c r="N54"/>
      <c r="O54"/>
    </row>
    <row r="55" spans="11:15" x14ac:dyDescent="0.25">
      <c r="K55"/>
      <c r="M55"/>
      <c r="N55"/>
      <c r="O55"/>
    </row>
    <row r="56" spans="11:15" x14ac:dyDescent="0.25">
      <c r="K56"/>
      <c r="M56"/>
      <c r="N56"/>
      <c r="O56"/>
    </row>
    <row r="57" spans="11:15" x14ac:dyDescent="0.25">
      <c r="K57"/>
      <c r="M57"/>
      <c r="N57"/>
      <c r="O57"/>
    </row>
    <row r="58" spans="11:15" x14ac:dyDescent="0.25">
      <c r="K58"/>
      <c r="M58"/>
      <c r="N58"/>
      <c r="O58"/>
    </row>
    <row r="59" spans="11:15" x14ac:dyDescent="0.25">
      <c r="K59"/>
      <c r="M59"/>
      <c r="N59"/>
      <c r="O59"/>
    </row>
    <row r="60" spans="11:15" x14ac:dyDescent="0.25">
      <c r="K60"/>
      <c r="M60"/>
      <c r="N60"/>
      <c r="O60"/>
    </row>
    <row r="61" spans="11:15" x14ac:dyDescent="0.25">
      <c r="K61"/>
      <c r="M61"/>
      <c r="N61"/>
      <c r="O61"/>
    </row>
    <row r="62" spans="11:15" x14ac:dyDescent="0.25">
      <c r="K62"/>
      <c r="M62"/>
      <c r="N62"/>
      <c r="O62"/>
    </row>
    <row r="63" spans="11:15" x14ac:dyDescent="0.25">
      <c r="K63"/>
      <c r="M63"/>
      <c r="N63"/>
      <c r="O63"/>
    </row>
    <row r="64" spans="11:15" x14ac:dyDescent="0.25">
      <c r="K64"/>
      <c r="M64"/>
      <c r="N64"/>
      <c r="O64"/>
    </row>
    <row r="65" spans="11:15" x14ac:dyDescent="0.25">
      <c r="K65"/>
      <c r="M65"/>
      <c r="N65"/>
      <c r="O65"/>
    </row>
    <row r="66" spans="11:15" x14ac:dyDescent="0.25">
      <c r="K66"/>
      <c r="M66"/>
      <c r="N66"/>
      <c r="O66"/>
    </row>
    <row r="67" spans="11:15" x14ac:dyDescent="0.25">
      <c r="K67"/>
      <c r="M67"/>
      <c r="N67"/>
      <c r="O67"/>
    </row>
    <row r="68" spans="11:15" x14ac:dyDescent="0.25">
      <c r="K68"/>
      <c r="M68"/>
      <c r="N68"/>
      <c r="O68"/>
    </row>
    <row r="69" spans="11:15" x14ac:dyDescent="0.25">
      <c r="K69"/>
      <c r="M69"/>
      <c r="N69"/>
      <c r="O69"/>
    </row>
    <row r="70" spans="11:15" x14ac:dyDescent="0.25">
      <c r="K70"/>
      <c r="M70"/>
      <c r="N70"/>
      <c r="O70"/>
    </row>
    <row r="71" spans="11:15" x14ac:dyDescent="0.25">
      <c r="K71"/>
      <c r="M71"/>
      <c r="N71"/>
      <c r="O71"/>
    </row>
    <row r="72" spans="11:15" x14ac:dyDescent="0.25">
      <c r="K72"/>
      <c r="M72"/>
      <c r="N72"/>
      <c r="O72"/>
    </row>
    <row r="73" spans="11:15" x14ac:dyDescent="0.25">
      <c r="K73"/>
      <c r="M73"/>
      <c r="N73"/>
      <c r="O73"/>
    </row>
    <row r="74" spans="11:15" x14ac:dyDescent="0.25">
      <c r="K74"/>
      <c r="M74"/>
      <c r="N74"/>
      <c r="O74"/>
    </row>
    <row r="75" spans="11:15" x14ac:dyDescent="0.25">
      <c r="K75"/>
      <c r="M75"/>
      <c r="N75"/>
      <c r="O75"/>
    </row>
    <row r="76" spans="11:15" x14ac:dyDescent="0.25">
      <c r="K76"/>
      <c r="M76"/>
      <c r="N76"/>
      <c r="O76"/>
    </row>
    <row r="77" spans="11:15" x14ac:dyDescent="0.25">
      <c r="K77"/>
      <c r="M77"/>
      <c r="N77"/>
      <c r="O77"/>
    </row>
    <row r="78" spans="11:15" x14ac:dyDescent="0.25">
      <c r="K78"/>
      <c r="M78"/>
      <c r="N78"/>
      <c r="O78"/>
    </row>
    <row r="79" spans="11:15" x14ac:dyDescent="0.25">
      <c r="K79"/>
      <c r="M79"/>
      <c r="N79"/>
      <c r="O79"/>
    </row>
    <row r="80" spans="11:15" x14ac:dyDescent="0.25">
      <c r="K80"/>
      <c r="M80"/>
      <c r="N80"/>
      <c r="O80"/>
    </row>
    <row r="81" spans="11:15" x14ac:dyDescent="0.25">
      <c r="K81"/>
      <c r="M81"/>
      <c r="N81"/>
      <c r="O81"/>
    </row>
    <row r="82" spans="11:15" x14ac:dyDescent="0.25">
      <c r="K82"/>
      <c r="M82"/>
      <c r="N82"/>
      <c r="O82"/>
    </row>
    <row r="83" spans="11:15" x14ac:dyDescent="0.25">
      <c r="K83"/>
      <c r="M83"/>
      <c r="N83"/>
      <c r="O83"/>
    </row>
    <row r="84" spans="11:15" x14ac:dyDescent="0.25">
      <c r="K84"/>
      <c r="M84"/>
      <c r="N84"/>
      <c r="O84"/>
    </row>
    <row r="85" spans="11:15" x14ac:dyDescent="0.25">
      <c r="K85"/>
      <c r="M85"/>
      <c r="N85"/>
      <c r="O85"/>
    </row>
    <row r="86" spans="11:15" x14ac:dyDescent="0.25">
      <c r="K86"/>
      <c r="M86"/>
      <c r="N86"/>
      <c r="O86"/>
    </row>
    <row r="87" spans="11:15" x14ac:dyDescent="0.25">
      <c r="K87"/>
      <c r="M87"/>
      <c r="N87"/>
      <c r="O87"/>
    </row>
    <row r="88" spans="11:15" x14ac:dyDescent="0.25">
      <c r="K88"/>
      <c r="M88"/>
      <c r="N88"/>
      <c r="O88"/>
    </row>
    <row r="89" spans="11:15" x14ac:dyDescent="0.25">
      <c r="K89"/>
      <c r="M89"/>
      <c r="N89"/>
      <c r="O89"/>
    </row>
    <row r="90" spans="11:15" x14ac:dyDescent="0.25">
      <c r="K90"/>
      <c r="M90"/>
      <c r="N90"/>
      <c r="O90"/>
    </row>
    <row r="91" spans="11:15" x14ac:dyDescent="0.25">
      <c r="K91"/>
      <c r="M91"/>
      <c r="N91"/>
      <c r="O91"/>
    </row>
    <row r="92" spans="11:15" x14ac:dyDescent="0.25">
      <c r="K92"/>
      <c r="M92"/>
      <c r="N92"/>
      <c r="O92"/>
    </row>
    <row r="93" spans="11:15" x14ac:dyDescent="0.25">
      <c r="K93"/>
      <c r="M93"/>
      <c r="N93"/>
      <c r="O93"/>
    </row>
    <row r="94" spans="11:15" x14ac:dyDescent="0.25">
      <c r="K94"/>
      <c r="M94"/>
      <c r="N94"/>
      <c r="O94"/>
    </row>
    <row r="95" spans="11:15" x14ac:dyDescent="0.25">
      <c r="K95"/>
      <c r="M95"/>
      <c r="N95"/>
      <c r="O95"/>
    </row>
    <row r="96" spans="11:15" x14ac:dyDescent="0.25">
      <c r="K96"/>
      <c r="M96"/>
      <c r="N96"/>
      <c r="O96"/>
    </row>
    <row r="97" spans="11:15" x14ac:dyDescent="0.25">
      <c r="K97"/>
      <c r="M97"/>
      <c r="N97"/>
      <c r="O97"/>
    </row>
    <row r="98" spans="11:15" x14ac:dyDescent="0.25">
      <c r="K98"/>
      <c r="M98"/>
      <c r="N98"/>
      <c r="O98"/>
    </row>
    <row r="99" spans="11:15" x14ac:dyDescent="0.25">
      <c r="K99"/>
      <c r="M99"/>
      <c r="N99"/>
      <c r="O99"/>
    </row>
    <row r="100" spans="11:15" x14ac:dyDescent="0.25">
      <c r="K100"/>
      <c r="M100"/>
      <c r="N100"/>
      <c r="O100"/>
    </row>
    <row r="101" spans="11:15" x14ac:dyDescent="0.25">
      <c r="K101"/>
      <c r="M101"/>
      <c r="N101"/>
      <c r="O101"/>
    </row>
    <row r="102" spans="11:15" x14ac:dyDescent="0.25">
      <c r="K102"/>
      <c r="M102"/>
      <c r="N102"/>
      <c r="O102"/>
    </row>
    <row r="103" spans="11:15" x14ac:dyDescent="0.25">
      <c r="K103"/>
      <c r="M103"/>
      <c r="N103"/>
      <c r="O103"/>
    </row>
    <row r="104" spans="11:15" x14ac:dyDescent="0.25">
      <c r="K104"/>
      <c r="M104"/>
      <c r="N104"/>
      <c r="O104"/>
    </row>
    <row r="105" spans="11:15" x14ac:dyDescent="0.25">
      <c r="K105"/>
      <c r="M105"/>
      <c r="N105"/>
      <c r="O105"/>
    </row>
    <row r="106" spans="11:15" x14ac:dyDescent="0.25">
      <c r="K106"/>
      <c r="M106"/>
      <c r="N106"/>
      <c r="O106"/>
    </row>
    <row r="107" spans="11:15" x14ac:dyDescent="0.25">
      <c r="K107"/>
      <c r="M107"/>
      <c r="N107"/>
      <c r="O107"/>
    </row>
    <row r="108" spans="11:15" x14ac:dyDescent="0.25">
      <c r="K108"/>
      <c r="M108"/>
      <c r="N108"/>
      <c r="O108"/>
    </row>
    <row r="109" spans="11:15" x14ac:dyDescent="0.25">
      <c r="K109"/>
      <c r="M109"/>
      <c r="N109"/>
      <c r="O109"/>
    </row>
    <row r="110" spans="11:15" x14ac:dyDescent="0.25">
      <c r="K110"/>
      <c r="M110"/>
      <c r="N110"/>
      <c r="O110"/>
    </row>
    <row r="111" spans="11:15" x14ac:dyDescent="0.25">
      <c r="K111"/>
      <c r="M111"/>
      <c r="N111"/>
      <c r="O111"/>
    </row>
    <row r="112" spans="11:15" x14ac:dyDescent="0.25">
      <c r="K112"/>
      <c r="M112"/>
      <c r="N112"/>
      <c r="O112"/>
    </row>
    <row r="113" spans="11:15" x14ac:dyDescent="0.25">
      <c r="K113"/>
      <c r="M113"/>
      <c r="N113"/>
      <c r="O113"/>
    </row>
    <row r="114" spans="11:15" x14ac:dyDescent="0.25">
      <c r="K114"/>
      <c r="M114"/>
      <c r="N114"/>
      <c r="O114"/>
    </row>
    <row r="115" spans="11:15" x14ac:dyDescent="0.25">
      <c r="K115"/>
      <c r="M115"/>
      <c r="N115"/>
      <c r="O115"/>
    </row>
    <row r="116" spans="11:15" x14ac:dyDescent="0.25">
      <c r="K116"/>
      <c r="M116"/>
      <c r="N116"/>
      <c r="O116"/>
    </row>
    <row r="117" spans="11:15" x14ac:dyDescent="0.25">
      <c r="K117"/>
      <c r="M117"/>
      <c r="N117"/>
      <c r="O117"/>
    </row>
    <row r="118" spans="11:15" x14ac:dyDescent="0.25">
      <c r="K118"/>
      <c r="M118"/>
      <c r="N118"/>
      <c r="O118"/>
    </row>
    <row r="119" spans="11:15" x14ac:dyDescent="0.25">
      <c r="K119"/>
      <c r="M119"/>
      <c r="N119"/>
      <c r="O119"/>
    </row>
    <row r="120" spans="11:15" x14ac:dyDescent="0.25">
      <c r="K120"/>
      <c r="M120"/>
      <c r="N120"/>
      <c r="O120"/>
    </row>
    <row r="121" spans="11:15" x14ac:dyDescent="0.25">
      <c r="K121"/>
      <c r="M121"/>
      <c r="N121"/>
      <c r="O121"/>
    </row>
    <row r="122" spans="11:15" x14ac:dyDescent="0.25">
      <c r="K122"/>
      <c r="M122"/>
      <c r="N122"/>
      <c r="O122"/>
    </row>
    <row r="123" spans="11:15" x14ac:dyDescent="0.25">
      <c r="K123"/>
      <c r="M123"/>
      <c r="N123"/>
      <c r="O123"/>
    </row>
    <row r="124" spans="11:15" x14ac:dyDescent="0.25">
      <c r="K124"/>
      <c r="M124"/>
      <c r="N124"/>
      <c r="O124"/>
    </row>
    <row r="125" spans="11:15" x14ac:dyDescent="0.25">
      <c r="K125"/>
      <c r="M125"/>
      <c r="N125"/>
      <c r="O125"/>
    </row>
    <row r="126" spans="11:15" x14ac:dyDescent="0.25">
      <c r="K126"/>
      <c r="M126"/>
      <c r="N126"/>
      <c r="O126"/>
    </row>
    <row r="127" spans="11:15" x14ac:dyDescent="0.25">
      <c r="K127"/>
      <c r="M127"/>
      <c r="N127"/>
      <c r="O127"/>
    </row>
    <row r="128" spans="11:15" x14ac:dyDescent="0.25">
      <c r="K128"/>
      <c r="M128"/>
      <c r="N128"/>
      <c r="O128"/>
    </row>
    <row r="129" spans="11:15" x14ac:dyDescent="0.25">
      <c r="K129"/>
      <c r="M129"/>
      <c r="N129"/>
      <c r="O129"/>
    </row>
    <row r="130" spans="11:15" x14ac:dyDescent="0.25">
      <c r="K130"/>
      <c r="M130"/>
      <c r="N130"/>
      <c r="O130"/>
    </row>
    <row r="131" spans="11:15" x14ac:dyDescent="0.25">
      <c r="K131"/>
      <c r="M131"/>
      <c r="N131"/>
      <c r="O131"/>
    </row>
    <row r="132" spans="11:15" x14ac:dyDescent="0.25">
      <c r="K132"/>
      <c r="M132"/>
      <c r="N132"/>
      <c r="O132"/>
    </row>
    <row r="133" spans="11:15" x14ac:dyDescent="0.25">
      <c r="K133"/>
      <c r="M133"/>
      <c r="N133"/>
      <c r="O133"/>
    </row>
  </sheetData>
  <conditionalFormatting sqref="I17">
    <cfRule type="cellIs" dxfId="33" priority="1" operator="lessThan">
      <formula>$I$16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Gantt">
                <anchor moveWithCells="1" sizeWithCells="1">
                  <from>
                    <xdr:col>2</xdr:col>
                    <xdr:colOff>276225</xdr:colOff>
                    <xdr:row>2</xdr:row>
                    <xdr:rowOff>9525</xdr:rowOff>
                  </from>
                  <to>
                    <xdr:col>3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8" tint="-0.499984740745262"/>
  </sheetPr>
  <dimension ref="A1:AV8"/>
  <sheetViews>
    <sheetView zoomScale="115" zoomScaleNormal="115" zoomScalePageLayoutView="115" workbookViewId="0">
      <selection activeCell="B7" sqref="B7"/>
    </sheetView>
  </sheetViews>
  <sheetFormatPr defaultColWidth="8.85546875" defaultRowHeight="15" x14ac:dyDescent="0.25"/>
  <cols>
    <col min="1" max="1" width="20.28515625" bestFit="1" customWidth="1"/>
    <col min="2" max="2" width="21.85546875" bestFit="1" customWidth="1"/>
    <col min="3" max="3" width="8.85546875" bestFit="1" customWidth="1"/>
    <col min="4" max="4" width="5.28515625" bestFit="1" customWidth="1"/>
    <col min="5" max="8" width="6.28515625" bestFit="1" customWidth="1"/>
    <col min="9" max="10" width="9.5703125" bestFit="1" customWidth="1"/>
    <col min="11" max="11" width="7.28515625" bestFit="1" customWidth="1"/>
    <col min="12" max="12" width="9.5703125" bestFit="1" customWidth="1"/>
    <col min="13" max="13" width="7" bestFit="1" customWidth="1"/>
    <col min="14" max="14" width="5.28515625" bestFit="1" customWidth="1"/>
    <col min="15" max="18" width="6.28515625" customWidth="1"/>
    <col min="19" max="19" width="6.28515625" bestFit="1" customWidth="1"/>
    <col min="20" max="22" width="7.28515625" bestFit="1" customWidth="1"/>
    <col min="23" max="23" width="6.140625" bestFit="1" customWidth="1"/>
    <col min="24" max="26" width="7.28515625" bestFit="1" customWidth="1"/>
    <col min="27" max="27" width="6" customWidth="1"/>
    <col min="28" max="28" width="6" bestFit="1" customWidth="1"/>
    <col min="29" max="29" width="7.140625" bestFit="1" customWidth="1"/>
    <col min="30" max="30" width="7.140625" customWidth="1"/>
    <col min="31" max="31" width="7.140625" bestFit="1" customWidth="1"/>
    <col min="32" max="32" width="6.28515625" bestFit="1" customWidth="1"/>
    <col min="33" max="34" width="7.42578125" bestFit="1" customWidth="1"/>
    <col min="35" max="35" width="9.5703125" bestFit="1" customWidth="1"/>
    <col min="36" max="36" width="7.28515625" bestFit="1" customWidth="1"/>
    <col min="37" max="38" width="6" bestFit="1" customWidth="1"/>
    <col min="39" max="41" width="7.140625" bestFit="1" customWidth="1"/>
    <col min="42" max="42" width="6.28515625" bestFit="1" customWidth="1"/>
    <col min="43" max="45" width="7.42578125" bestFit="1" customWidth="1"/>
    <col min="46" max="46" width="6.28515625" bestFit="1" customWidth="1"/>
    <col min="47" max="47" width="7.28515625" bestFit="1" customWidth="1"/>
    <col min="48" max="48" width="9.5703125" bestFit="1" customWidth="1"/>
    <col min="49" max="72" width="6.28515625" customWidth="1"/>
  </cols>
  <sheetData>
    <row r="1" spans="1:48" x14ac:dyDescent="0.25">
      <c r="A1" s="1" t="s">
        <v>15</v>
      </c>
      <c r="B1" t="s">
        <v>189</v>
      </c>
    </row>
    <row r="2" spans="1:48" x14ac:dyDescent="0.25">
      <c r="A2" s="1" t="s">
        <v>48</v>
      </c>
      <c r="B2" t="s">
        <v>189</v>
      </c>
      <c r="J2" s="34"/>
    </row>
    <row r="3" spans="1:48" s="88" customFormat="1" x14ac:dyDescent="0.25">
      <c r="A3" s="1" t="s">
        <v>84</v>
      </c>
      <c r="B3" t="s">
        <v>189</v>
      </c>
    </row>
    <row r="4" spans="1:48" s="88" customFormat="1" ht="40.5" x14ac:dyDescent="0.25">
      <c r="D4" s="88" t="s">
        <v>180</v>
      </c>
      <c r="F4" s="88" t="s">
        <v>181</v>
      </c>
    </row>
    <row r="5" spans="1:48" x14ac:dyDescent="0.25">
      <c r="A5" s="99" t="s">
        <v>150</v>
      </c>
      <c r="B5" s="38" t="s">
        <v>190</v>
      </c>
      <c r="C5" s="78"/>
    </row>
    <row r="6" spans="1:48" s="96" customFormat="1" x14ac:dyDescent="0.25">
      <c r="A6" s="95" t="s">
        <v>186</v>
      </c>
      <c r="B6" s="97" t="s">
        <v>187</v>
      </c>
      <c r="C6" s="98" t="s">
        <v>188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2" t="s">
        <v>187</v>
      </c>
      <c r="B7" s="25"/>
      <c r="C7" s="25"/>
    </row>
    <row r="8" spans="1:48" x14ac:dyDescent="0.25">
      <c r="A8" s="2" t="s">
        <v>188</v>
      </c>
      <c r="B8" s="25"/>
      <c r="C8" s="25"/>
    </row>
  </sheetData>
  <conditionalFormatting pivot="1" sqref="B7:C8">
    <cfRule type="cellIs" dxfId="32" priority="1" stopIfTrue="1" operator="greater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6" r:id="rId4" name="Button 6">
              <controlPr defaultSize="0" print="0" autoFill="0" autoPict="0" macro="[0]!UpdateGantt">
                <anchor moveWithCells="1" sizeWithCells="1">
                  <from>
                    <xdr:col>2</xdr:col>
                    <xdr:colOff>66675</xdr:colOff>
                    <xdr:row>0</xdr:row>
                    <xdr:rowOff>142875</xdr:rowOff>
                  </from>
                  <to>
                    <xdr:col>3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</sheetPr>
  <dimension ref="A1:L42"/>
  <sheetViews>
    <sheetView zoomScale="115" zoomScaleNormal="115" zoomScalePageLayoutView="130" workbookViewId="0">
      <selection activeCell="E33" sqref="E33"/>
    </sheetView>
  </sheetViews>
  <sheetFormatPr defaultColWidth="29" defaultRowHeight="15" x14ac:dyDescent="0.25"/>
  <cols>
    <col min="1" max="1" width="23.28515625" customWidth="1"/>
    <col min="2" max="2" width="10.7109375" customWidth="1"/>
    <col min="3" max="3" width="28.85546875" customWidth="1"/>
    <col min="4" max="4" width="16.5703125" bestFit="1" customWidth="1"/>
    <col min="5" max="5" width="14.5703125" bestFit="1" customWidth="1"/>
    <col min="6" max="6" width="20" style="24" bestFit="1" customWidth="1"/>
    <col min="7" max="7" width="17.28515625" style="30" bestFit="1" customWidth="1"/>
    <col min="8" max="8" width="17.5703125" style="30" bestFit="1" customWidth="1"/>
    <col min="9" max="9" width="8.5703125" bestFit="1" customWidth="1"/>
    <col min="11" max="11" width="33.140625" customWidth="1"/>
    <col min="12" max="12" width="16.7109375" customWidth="1"/>
  </cols>
  <sheetData>
    <row r="1" spans="1:12" s="78" customFormat="1" x14ac:dyDescent="0.25">
      <c r="A1" s="78" t="s">
        <v>60</v>
      </c>
      <c r="B1" s="78" t="s">
        <v>101</v>
      </c>
      <c r="C1" s="78" t="s">
        <v>59</v>
      </c>
      <c r="D1" s="78" t="s">
        <v>48</v>
      </c>
      <c r="E1" s="78" t="s">
        <v>75</v>
      </c>
      <c r="F1" s="100" t="s">
        <v>76</v>
      </c>
      <c r="G1" s="101" t="s">
        <v>129</v>
      </c>
      <c r="H1" s="101" t="s">
        <v>130</v>
      </c>
      <c r="I1" s="78" t="s">
        <v>110</v>
      </c>
      <c r="K1" s="99" t="s">
        <v>60</v>
      </c>
      <c r="L1" s="78" t="s">
        <v>179</v>
      </c>
    </row>
    <row r="2" spans="1:12" s="78" customFormat="1" x14ac:dyDescent="0.25">
      <c r="A2" t="s">
        <v>179</v>
      </c>
      <c r="B2" s="23" t="str">
        <f t="shared" ref="B2" si="0">IF(ISERROR(FIND("BALLPARK",C2)), "Plan", "BALLPARK")</f>
        <v>BALLPARK</v>
      </c>
      <c r="C2" s="23" t="s">
        <v>69</v>
      </c>
      <c r="D2" t="s">
        <v>151</v>
      </c>
      <c r="E2" s="14">
        <v>0.5</v>
      </c>
      <c r="F2" s="104">
        <f>SUMIFS(IssueTypeVsRoleMapping[Role Allocation],IssueTypeVsRoleMapping[Issue Type],IssueTypeVsRoleMapping[[#This Row],[Issue Type]])</f>
        <v>1</v>
      </c>
      <c r="G2" s="105">
        <f>SUMIFS(AllIssues[CycleOnBacklog],AllIssues[project],'Progress by Demand'!$B$3,AllIssues[SUBTASK_TYPE],IssueTypeVsRoleMapping[[#This Row],[Issue Type]])*IssueTypeVsRoleMapping[[#This Row],[Role Allocation]]</f>
        <v>0</v>
      </c>
      <c r="H2" s="101">
        <f>SUMIFS(AllIssues[EffortOnBacklog],AllIssues[project],'Progress by Demand'!$B$3,AllIssues[SUBTASK_TYPE],IssueTypeVsRoleMapping[[#This Row],[Issue Type]])*IssueTypeVsRoleMapping[[#This Row],[Role Allocation]]</f>
        <v>0</v>
      </c>
      <c r="I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" s="103"/>
    </row>
    <row r="3" spans="1:12" s="78" customFormat="1" x14ac:dyDescent="0.25">
      <c r="A3" t="s">
        <v>179</v>
      </c>
      <c r="B3" s="23" t="str">
        <f t="shared" ref="B3:B33" si="1">IF(ISERROR(FIND("BALLPARK",C3)), "Plan", "BALLPARK")</f>
        <v>BALLPARK</v>
      </c>
      <c r="C3" s="23" t="s">
        <v>69</v>
      </c>
      <c r="D3" t="s">
        <v>54</v>
      </c>
      <c r="E3" s="14">
        <v>0.5</v>
      </c>
      <c r="F3" s="104">
        <f>SUMIFS(IssueTypeVsRoleMapping[Role Allocation],IssueTypeVsRoleMapping[Issue Type],IssueTypeVsRoleMapping[[#This Row],[Issue Type]])</f>
        <v>1</v>
      </c>
      <c r="G3" s="105">
        <f>SUMIFS(AllIssues[CycleOnBacklog],AllIssues[project],'Progress by Demand'!$B$3,AllIssues[SUBTASK_TYPE],IssueTypeVsRoleMapping[[#This Row],[Issue Type]])*IssueTypeVsRoleMapping[[#This Row],[Role Allocation]]</f>
        <v>0</v>
      </c>
      <c r="H3" s="101">
        <f>SUMIFS(AllIssues[EffortOnBacklog],AllIssues[project],'Progress by Demand'!$B$3,AllIssues[SUBTASK_TYPE],IssueTypeVsRoleMapping[[#This Row],[Issue Type]])*IssueTypeVsRoleMapping[[#This Row],[Role Allocation]]</f>
        <v>0</v>
      </c>
      <c r="I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" s="103"/>
      <c r="K3" s="99" t="s">
        <v>178</v>
      </c>
      <c r="L3" s="78" t="s">
        <v>131</v>
      </c>
    </row>
    <row r="4" spans="1:12" s="78" customFormat="1" x14ac:dyDescent="0.25">
      <c r="A4" t="s">
        <v>179</v>
      </c>
      <c r="B4" s="23" t="str">
        <f t="shared" si="1"/>
        <v>BALLPARK</v>
      </c>
      <c r="C4" s="23" t="s">
        <v>70</v>
      </c>
      <c r="D4" t="s">
        <v>54</v>
      </c>
      <c r="E4" s="14">
        <v>0.2</v>
      </c>
      <c r="F4" s="104">
        <f>SUMIFS(IssueTypeVsRoleMapping[Role Allocation],IssueTypeVsRoleMapping[Issue Type],IssueTypeVsRoleMapping[[#This Row],[Issue Type]])</f>
        <v>1</v>
      </c>
      <c r="G4" s="105">
        <f>SUMIFS(AllIssues[CycleOnBacklog],AllIssues[project],'Progress by Demand'!$B$3,AllIssues[SUBTASK_TYPE],IssueTypeVsRoleMapping[[#This Row],[Issue Type]])*IssueTypeVsRoleMapping[[#This Row],[Role Allocation]]</f>
        <v>0</v>
      </c>
      <c r="H4" s="101">
        <f>SUMIFS(AllIssues[EffortOnBacklog],AllIssues[project],'Progress by Demand'!$B$3,AllIssues[SUBTASK_TYPE],IssueTypeVsRoleMapping[[#This Row],[Issue Type]])*IssueTypeVsRoleMapping[[#This Row],[Role Allocation]]</f>
        <v>0</v>
      </c>
      <c r="I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4" s="103"/>
      <c r="K4" s="2" t="s">
        <v>183</v>
      </c>
      <c r="L4" s="106"/>
    </row>
    <row r="5" spans="1:12" s="78" customFormat="1" x14ac:dyDescent="0.25">
      <c r="A5" t="s">
        <v>179</v>
      </c>
      <c r="B5" s="23" t="str">
        <f t="shared" si="1"/>
        <v>BALLPARK</v>
      </c>
      <c r="C5" s="23" t="s">
        <v>70</v>
      </c>
      <c r="D5" t="s">
        <v>151</v>
      </c>
      <c r="E5" s="14">
        <v>0.8</v>
      </c>
      <c r="F5" s="104">
        <f>SUMIFS(IssueTypeVsRoleMapping[Role Allocation],IssueTypeVsRoleMapping[Issue Type],IssueTypeVsRoleMapping[[#This Row],[Issue Type]])</f>
        <v>1</v>
      </c>
      <c r="G5" s="105">
        <f>SUMIFS(AllIssues[CycleOnBacklog],AllIssues[project],'Progress by Demand'!$B$3,AllIssues[SUBTASK_TYPE],IssueTypeVsRoleMapping[[#This Row],[Issue Type]])*IssueTypeVsRoleMapping[[#This Row],[Role Allocation]]</f>
        <v>0</v>
      </c>
      <c r="H5" s="101">
        <f>SUMIFS(AllIssues[EffortOnBacklog],AllIssues[project],'Progress by Demand'!$B$3,AllIssues[SUBTASK_TYPE],IssueTypeVsRoleMapping[[#This Row],[Issue Type]])*IssueTypeVsRoleMapping[[#This Row],[Role Allocation]]</f>
        <v>0</v>
      </c>
      <c r="I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5" s="103"/>
      <c r="K5" s="117" t="s">
        <v>69</v>
      </c>
      <c r="L5" s="106" t="e">
        <v>#DIV/0!</v>
      </c>
    </row>
    <row r="6" spans="1:12" s="78" customFormat="1" x14ac:dyDescent="0.25">
      <c r="A6" t="s">
        <v>179</v>
      </c>
      <c r="B6" s="23" t="str">
        <f t="shared" si="1"/>
        <v>BALLPARK</v>
      </c>
      <c r="C6" s="23" t="s">
        <v>68</v>
      </c>
      <c r="D6" t="s">
        <v>54</v>
      </c>
      <c r="E6" s="14">
        <v>0.6</v>
      </c>
      <c r="F6" s="104">
        <f>SUMIFS(IssueTypeVsRoleMapping[Role Allocation],IssueTypeVsRoleMapping[Issue Type],IssueTypeVsRoleMapping[[#This Row],[Issue Type]])</f>
        <v>1</v>
      </c>
      <c r="G6" s="105">
        <f>SUMIFS(AllIssues[CycleOnBacklog],AllIssues[project],'Progress by Demand'!$B$3,AllIssues[SUBTASK_TYPE],IssueTypeVsRoleMapping[[#This Row],[Issue Type]])*IssueTypeVsRoleMapping[[#This Row],[Role Allocation]]</f>
        <v>0</v>
      </c>
      <c r="H6" s="101">
        <f>SUMIFS(AllIssues[EffortOnBacklog],AllIssues[project],'Progress by Demand'!$B$3,AllIssues[SUBTASK_TYPE],IssueTypeVsRoleMapping[[#This Row],[Issue Type]])*IssueTypeVsRoleMapping[[#This Row],[Role Allocation]]</f>
        <v>0</v>
      </c>
      <c r="I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6" s="103"/>
      <c r="K6" s="117" t="s">
        <v>70</v>
      </c>
      <c r="L6" s="106" t="e">
        <v>#DIV/0!</v>
      </c>
    </row>
    <row r="7" spans="1:12" s="78" customFormat="1" x14ac:dyDescent="0.25">
      <c r="A7" t="s">
        <v>179</v>
      </c>
      <c r="B7" s="23" t="str">
        <f t="shared" si="1"/>
        <v>BALLPARK</v>
      </c>
      <c r="C7" s="23" t="s">
        <v>68</v>
      </c>
      <c r="D7" t="s">
        <v>151</v>
      </c>
      <c r="E7" s="14">
        <v>0.4</v>
      </c>
      <c r="F7" s="104">
        <f>SUMIFS(IssueTypeVsRoleMapping[Role Allocation],IssueTypeVsRoleMapping[Issue Type],IssueTypeVsRoleMapping[[#This Row],[Issue Type]])</f>
        <v>1</v>
      </c>
      <c r="G7" s="105">
        <f>SUMIFS(AllIssues[CycleOnBacklog],AllIssues[project],'Progress by Demand'!$B$3,AllIssues[SUBTASK_TYPE],IssueTypeVsRoleMapping[[#This Row],[Issue Type]])*IssueTypeVsRoleMapping[[#This Row],[Role Allocation]]</f>
        <v>0</v>
      </c>
      <c r="H7" s="101">
        <f>SUMIFS(AllIssues[EffortOnBacklog],AllIssues[project],'Progress by Demand'!$B$3,AllIssues[SUBTASK_TYPE],IssueTypeVsRoleMapping[[#This Row],[Issue Type]])*IssueTypeVsRoleMapping[[#This Row],[Role Allocation]]</f>
        <v>0</v>
      </c>
      <c r="I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7" s="103"/>
      <c r="K7" s="117" t="s">
        <v>68</v>
      </c>
      <c r="L7" s="106" t="e">
        <v>#DIV/0!</v>
      </c>
    </row>
    <row r="8" spans="1:12" s="78" customFormat="1" x14ac:dyDescent="0.25">
      <c r="A8" t="s">
        <v>179</v>
      </c>
      <c r="B8" s="23" t="str">
        <f t="shared" si="1"/>
        <v>BALLPARK</v>
      </c>
      <c r="C8" s="23" t="s">
        <v>109</v>
      </c>
      <c r="D8" t="s">
        <v>54</v>
      </c>
      <c r="E8" s="14">
        <v>0.6</v>
      </c>
      <c r="F8" s="104">
        <f>SUMIFS(IssueTypeVsRoleMapping[Role Allocation],IssueTypeVsRoleMapping[Issue Type],IssueTypeVsRoleMapping[[#This Row],[Issue Type]])</f>
        <v>1</v>
      </c>
      <c r="G8" s="105">
        <f>SUMIFS(AllIssues[CycleOnBacklog],AllIssues[project],'Progress by Demand'!$B$3,AllIssues[SUBTASK_TYPE],IssueTypeVsRoleMapping[[#This Row],[Issue Type]])*IssueTypeVsRoleMapping[[#This Row],[Role Allocation]]</f>
        <v>0</v>
      </c>
      <c r="H8" s="101">
        <f>SUMIFS(AllIssues[EffortOnBacklog],AllIssues[project],'Progress by Demand'!$B$3,AllIssues[SUBTASK_TYPE],IssueTypeVsRoleMapping[[#This Row],[Issue Type]])*IssueTypeVsRoleMapping[[#This Row],[Role Allocation]]</f>
        <v>0</v>
      </c>
      <c r="I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8" s="103"/>
      <c r="K8" s="117" t="s">
        <v>109</v>
      </c>
      <c r="L8" s="106" t="e">
        <v>#DIV/0!</v>
      </c>
    </row>
    <row r="9" spans="1:12" s="78" customFormat="1" x14ac:dyDescent="0.25">
      <c r="A9" t="s">
        <v>179</v>
      </c>
      <c r="B9" s="23" t="str">
        <f t="shared" si="1"/>
        <v>BALLPARK</v>
      </c>
      <c r="C9" s="23" t="s">
        <v>109</v>
      </c>
      <c r="D9" t="s">
        <v>151</v>
      </c>
      <c r="E9" s="14">
        <v>0.4</v>
      </c>
      <c r="F9" s="104">
        <f>SUMIFS(IssueTypeVsRoleMapping[Role Allocation],IssueTypeVsRoleMapping[Issue Type],IssueTypeVsRoleMapping[[#This Row],[Issue Type]])</f>
        <v>1</v>
      </c>
      <c r="G9" s="105">
        <f>SUMIFS(AllIssues[CycleOnBacklog],AllIssues[project],'Progress by Demand'!$B$3,AllIssues[SUBTASK_TYPE],IssueTypeVsRoleMapping[[#This Row],[Issue Type]])*IssueTypeVsRoleMapping[[#This Row],[Role Allocation]]</f>
        <v>0</v>
      </c>
      <c r="H9" s="101">
        <f>SUMIFS(AllIssues[EffortOnBacklog],AllIssues[project],'Progress by Demand'!$B$3,AllIssues[SUBTASK_TYPE],IssueTypeVsRoleMapping[[#This Row],[Issue Type]])*IssueTypeVsRoleMapping[[#This Row],[Role Allocation]]</f>
        <v>0</v>
      </c>
      <c r="I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9" s="103"/>
      <c r="K9" s="117" t="s">
        <v>66</v>
      </c>
      <c r="L9" s="106" t="e">
        <v>#DIV/0!</v>
      </c>
    </row>
    <row r="10" spans="1:12" s="78" customFormat="1" x14ac:dyDescent="0.25">
      <c r="A10" t="s">
        <v>179</v>
      </c>
      <c r="B10" s="23" t="str">
        <f t="shared" si="1"/>
        <v>BALLPARK</v>
      </c>
      <c r="C10" s="23" t="s">
        <v>66</v>
      </c>
      <c r="D10" t="s">
        <v>151</v>
      </c>
      <c r="E10" s="14">
        <v>1</v>
      </c>
      <c r="F10" s="104">
        <f>SUMIFS(IssueTypeVsRoleMapping[Role Allocation],IssueTypeVsRoleMapping[Issue Type],IssueTypeVsRoleMapping[[#This Row],[Issue Type]])</f>
        <v>1</v>
      </c>
      <c r="G10" s="105">
        <f>SUMIFS(AllIssues[CycleOnBacklog],AllIssues[project],'Progress by Demand'!$B$3,AllIssues[SUBTASK_TYPE],IssueTypeVsRoleMapping[[#This Row],[Issue Type]])*IssueTypeVsRoleMapping[[#This Row],[Role Allocation]]</f>
        <v>0</v>
      </c>
      <c r="H10" s="101">
        <f>SUMIFS(AllIssues[EffortOnBacklog],AllIssues[project],'Progress by Demand'!$B$3,AllIssues[SUBTASK_TYPE],IssueTypeVsRoleMapping[[#This Row],[Issue Type]])*IssueTypeVsRoleMapping[[#This Row],[Role Allocation]]</f>
        <v>0</v>
      </c>
      <c r="I1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0" s="103"/>
      <c r="K10" s="117" t="s">
        <v>182</v>
      </c>
      <c r="L10" s="106" t="e">
        <v>#DIV/0!</v>
      </c>
    </row>
    <row r="11" spans="1:12" s="78" customFormat="1" x14ac:dyDescent="0.25">
      <c r="A11" t="s">
        <v>179</v>
      </c>
      <c r="B11" s="23" t="str">
        <f t="shared" si="1"/>
        <v>BALLPARK</v>
      </c>
      <c r="C11" s="23" t="s">
        <v>182</v>
      </c>
      <c r="D11" t="s">
        <v>54</v>
      </c>
      <c r="E11" s="14">
        <v>0.4</v>
      </c>
      <c r="F11" s="104">
        <f>SUMIFS(IssueTypeVsRoleMapping[Role Allocation],IssueTypeVsRoleMapping[Issue Type],IssueTypeVsRoleMapping[[#This Row],[Issue Type]])</f>
        <v>1</v>
      </c>
      <c r="G11" s="105">
        <f>SUMIFS(AllIssues[CycleOnBacklog],AllIssues[project],'Progress by Demand'!$B$3,AllIssues[SUBTASK_TYPE],IssueTypeVsRoleMapping[[#This Row],[Issue Type]])*IssueTypeVsRoleMapping[[#This Row],[Role Allocation]]</f>
        <v>0</v>
      </c>
      <c r="H11" s="101">
        <f>SUMIFS(AllIssues[EffortOnBacklog],AllIssues[project],'Progress by Demand'!$B$3,AllIssues[SUBTASK_TYPE],IssueTypeVsRoleMapping[[#This Row],[Issue Type]])*IssueTypeVsRoleMapping[[#This Row],[Role Allocation]]</f>
        <v>0</v>
      </c>
      <c r="I1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1" s="103"/>
      <c r="K11" s="117" t="s">
        <v>108</v>
      </c>
      <c r="L11" s="106" t="e">
        <v>#DIV/0!</v>
      </c>
    </row>
    <row r="12" spans="1:12" s="78" customFormat="1" x14ac:dyDescent="0.25">
      <c r="A12" t="s">
        <v>179</v>
      </c>
      <c r="B12" s="23" t="str">
        <f t="shared" si="1"/>
        <v>BALLPARK</v>
      </c>
      <c r="C12" s="23" t="s">
        <v>182</v>
      </c>
      <c r="D12" t="s">
        <v>151</v>
      </c>
      <c r="E12" s="14">
        <v>0.6</v>
      </c>
      <c r="F12" s="104">
        <f>SUMIFS(IssueTypeVsRoleMapping[Role Allocation],IssueTypeVsRoleMapping[Issue Type],IssueTypeVsRoleMapping[[#This Row],[Issue Type]])</f>
        <v>1</v>
      </c>
      <c r="G12" s="105">
        <f>SUMIFS(AllIssues[CycleOnBacklog],AllIssues[project],'Progress by Demand'!$B$3,AllIssues[SUBTASK_TYPE],IssueTypeVsRoleMapping[[#This Row],[Issue Type]])*IssueTypeVsRoleMapping[[#This Row],[Role Allocation]]</f>
        <v>0</v>
      </c>
      <c r="H12" s="101">
        <f>SUMIFS(AllIssues[EffortOnBacklog],AllIssues[project],'Progress by Demand'!$B$3,AllIssues[SUBTASK_TYPE],IssueTypeVsRoleMapping[[#This Row],[Issue Type]])*IssueTypeVsRoleMapping[[#This Row],[Role Allocation]]</f>
        <v>0</v>
      </c>
      <c r="I1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2" s="103"/>
      <c r="K12" s="117" t="s">
        <v>67</v>
      </c>
      <c r="L12" s="106" t="e">
        <v>#DIV/0!</v>
      </c>
    </row>
    <row r="13" spans="1:12" s="78" customFormat="1" x14ac:dyDescent="0.25">
      <c r="A13" t="s">
        <v>179</v>
      </c>
      <c r="B13" s="23" t="str">
        <f t="shared" si="1"/>
        <v>BALLPARK</v>
      </c>
      <c r="C13" s="23" t="s">
        <v>108</v>
      </c>
      <c r="D13" t="s">
        <v>54</v>
      </c>
      <c r="E13" s="14">
        <v>0.6</v>
      </c>
      <c r="F13" s="104">
        <f>SUMIFS(IssueTypeVsRoleMapping[Role Allocation],IssueTypeVsRoleMapping[Issue Type],IssueTypeVsRoleMapping[[#This Row],[Issue Type]])</f>
        <v>1</v>
      </c>
      <c r="G13" s="105">
        <f>SUMIFS(AllIssues[CycleOnBacklog],AllIssues[project],'Progress by Demand'!$B$3,AllIssues[SUBTASK_TYPE],IssueTypeVsRoleMapping[[#This Row],[Issue Type]])*IssueTypeVsRoleMapping[[#This Row],[Role Allocation]]</f>
        <v>0</v>
      </c>
      <c r="H13" s="101">
        <f>SUMIFS(AllIssues[EffortOnBacklog],AllIssues[project],'Progress by Demand'!$B$3,AllIssues[SUBTASK_TYPE],IssueTypeVsRoleMapping[[#This Row],[Issue Type]])*IssueTypeVsRoleMapping[[#This Row],[Role Allocation]]</f>
        <v>0</v>
      </c>
      <c r="I1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3" s="103"/>
      <c r="K13" s="2" t="s">
        <v>65</v>
      </c>
      <c r="L13" s="106"/>
    </row>
    <row r="14" spans="1:12" s="78" customFormat="1" x14ac:dyDescent="0.25">
      <c r="A14" t="s">
        <v>179</v>
      </c>
      <c r="B14" s="23" t="str">
        <f t="shared" si="1"/>
        <v>BALLPARK</v>
      </c>
      <c r="C14" s="23" t="s">
        <v>108</v>
      </c>
      <c r="D14" t="s">
        <v>151</v>
      </c>
      <c r="E14" s="14">
        <v>0.4</v>
      </c>
      <c r="F14" s="104">
        <f>SUMIFS(IssueTypeVsRoleMapping[Role Allocation],IssueTypeVsRoleMapping[Issue Type],IssueTypeVsRoleMapping[[#This Row],[Issue Type]])</f>
        <v>1</v>
      </c>
      <c r="G14" s="105">
        <f>SUMIFS(AllIssues[CycleOnBacklog],AllIssues[project],'Progress by Demand'!$B$3,AllIssues[SUBTASK_TYPE],IssueTypeVsRoleMapping[[#This Row],[Issue Type]])*IssueTypeVsRoleMapping[[#This Row],[Role Allocation]]</f>
        <v>0</v>
      </c>
      <c r="H14" s="101">
        <f>SUMIFS(AllIssues[EffortOnBacklog],AllIssues[project],'Progress by Demand'!$B$3,AllIssues[SUBTASK_TYPE],IssueTypeVsRoleMapping[[#This Row],[Issue Type]])*IssueTypeVsRoleMapping[[#This Row],[Role Allocation]]</f>
        <v>0</v>
      </c>
      <c r="I1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4" s="103"/>
      <c r="K14" s="117" t="s">
        <v>6</v>
      </c>
      <c r="L14" s="106" t="e">
        <v>#DIV/0!</v>
      </c>
    </row>
    <row r="15" spans="1:12" s="78" customFormat="1" x14ac:dyDescent="0.25">
      <c r="A15" t="s">
        <v>179</v>
      </c>
      <c r="B15" s="23" t="str">
        <f t="shared" si="1"/>
        <v>BALLPARK</v>
      </c>
      <c r="C15" s="23" t="s">
        <v>67</v>
      </c>
      <c r="D15" t="s">
        <v>54</v>
      </c>
      <c r="E15" s="14">
        <v>1</v>
      </c>
      <c r="F15" s="104">
        <f>SUMIFS(IssueTypeVsRoleMapping[Role Allocation],IssueTypeVsRoleMapping[Issue Type],IssueTypeVsRoleMapping[[#This Row],[Issue Type]])</f>
        <v>1</v>
      </c>
      <c r="G15" s="105">
        <f>SUMIFS(AllIssues[CycleOnBacklog],AllIssues[project],'Progress by Demand'!$B$3,AllIssues[SUBTASK_TYPE],IssueTypeVsRoleMapping[[#This Row],[Issue Type]])*IssueTypeVsRoleMapping[[#This Row],[Role Allocation]]</f>
        <v>0</v>
      </c>
      <c r="H15" s="101">
        <f>SUMIFS(AllIssues[EffortOnBacklog],AllIssues[project],'Progress by Demand'!$B$3,AllIssues[SUBTASK_TYPE],IssueTypeVsRoleMapping[[#This Row],[Issue Type]])*IssueTypeVsRoleMapping[[#This Row],[Role Allocation]]</f>
        <v>0</v>
      </c>
      <c r="I1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5" s="103"/>
      <c r="K15" s="117" t="s">
        <v>23</v>
      </c>
      <c r="L15" s="106" t="e">
        <v>#DIV/0!</v>
      </c>
    </row>
    <row r="16" spans="1:12" s="78" customFormat="1" x14ac:dyDescent="0.25">
      <c r="A16" t="s">
        <v>179</v>
      </c>
      <c r="B16" s="23" t="str">
        <f t="shared" ref="B16" si="2">IF(ISERROR(FIND("BALLPARK",C16)), "Plan", "BALLPARK")</f>
        <v>Plan</v>
      </c>
      <c r="C16" t="s">
        <v>6</v>
      </c>
      <c r="D16" t="s">
        <v>151</v>
      </c>
      <c r="E16" s="14">
        <v>0.5</v>
      </c>
      <c r="F16" s="104">
        <f>SUMIFS(IssueTypeVsRoleMapping[Role Allocation],IssueTypeVsRoleMapping[Issue Type],IssueTypeVsRoleMapping[[#This Row],[Issue Type]])</f>
        <v>1</v>
      </c>
      <c r="G16" s="105">
        <f>SUMIFS(AllIssues[CycleOnBacklog],AllIssues[project],'Progress by Demand'!$B$3,AllIssues[SUBTASK_TYPE],IssueTypeVsRoleMapping[[#This Row],[Issue Type]])*IssueTypeVsRoleMapping[[#This Row],[Role Allocation]]</f>
        <v>0</v>
      </c>
      <c r="H16" s="101">
        <f>SUMIFS(AllIssues[EffortOnBacklog],AllIssues[project],'Progress by Demand'!$B$3,AllIssues[SUBTASK_TYPE],IssueTypeVsRoleMapping[[#This Row],[Issue Type]])*IssueTypeVsRoleMapping[[#This Row],[Role Allocation]]</f>
        <v>0</v>
      </c>
      <c r="I1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6" s="103"/>
      <c r="K16" s="117" t="s">
        <v>9</v>
      </c>
      <c r="L16" s="106" t="e">
        <v>#DIV/0!</v>
      </c>
    </row>
    <row r="17" spans="1:12" s="78" customFormat="1" x14ac:dyDescent="0.25">
      <c r="A17" t="s">
        <v>179</v>
      </c>
      <c r="B17" s="23" t="str">
        <f t="shared" si="1"/>
        <v>Plan</v>
      </c>
      <c r="C17" t="s">
        <v>6</v>
      </c>
      <c r="D17" t="s">
        <v>54</v>
      </c>
      <c r="E17" s="14">
        <v>0.5</v>
      </c>
      <c r="F17" s="104">
        <f>SUMIFS(IssueTypeVsRoleMapping[Role Allocation],IssueTypeVsRoleMapping[Issue Type],IssueTypeVsRoleMapping[[#This Row],[Issue Type]])</f>
        <v>1</v>
      </c>
      <c r="G17" s="105">
        <f>SUMIFS(AllIssues[CycleOnBacklog],AllIssues[project],'Progress by Demand'!$B$3,AllIssues[SUBTASK_TYPE],IssueTypeVsRoleMapping[[#This Row],[Issue Type]])*IssueTypeVsRoleMapping[[#This Row],[Role Allocation]]</f>
        <v>0</v>
      </c>
      <c r="H17" s="101">
        <f>SUMIFS(AllIssues[EffortOnBacklog],AllIssues[project],'Progress by Demand'!$B$3,AllIssues[SUBTASK_TYPE],IssueTypeVsRoleMapping[[#This Row],[Issue Type]])*IssueTypeVsRoleMapping[[#This Row],[Role Allocation]]</f>
        <v>0</v>
      </c>
      <c r="I1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7" s="103"/>
      <c r="K17" s="117" t="s">
        <v>5</v>
      </c>
      <c r="L17" s="106" t="e">
        <v>#DIV/0!</v>
      </c>
    </row>
    <row r="18" spans="1:12" s="78" customFormat="1" x14ac:dyDescent="0.25">
      <c r="A18" t="s">
        <v>179</v>
      </c>
      <c r="B18" s="23" t="str">
        <f t="shared" si="1"/>
        <v>Plan</v>
      </c>
      <c r="C18" t="s">
        <v>23</v>
      </c>
      <c r="D18" t="s">
        <v>54</v>
      </c>
      <c r="E18" s="14">
        <v>1</v>
      </c>
      <c r="F18" s="104">
        <f>SUMIFS(IssueTypeVsRoleMapping[Role Allocation],IssueTypeVsRoleMapping[Issue Type],IssueTypeVsRoleMapping[[#This Row],[Issue Type]])</f>
        <v>1</v>
      </c>
      <c r="G18" s="105">
        <f>SUMIFS(AllIssues[CycleOnBacklog],AllIssues[project],'Progress by Demand'!$B$3,AllIssues[SUBTASK_TYPE],IssueTypeVsRoleMapping[[#This Row],[Issue Type]])*IssueTypeVsRoleMapping[[#This Row],[Role Allocation]]</f>
        <v>0</v>
      </c>
      <c r="H18" s="101">
        <f>SUMIFS(AllIssues[EffortOnBacklog],AllIssues[project],'Progress by Demand'!$B$3,AllIssues[SUBTASK_TYPE],IssueTypeVsRoleMapping[[#This Row],[Issue Type]])*IssueTypeVsRoleMapping[[#This Row],[Role Allocation]]</f>
        <v>0</v>
      </c>
      <c r="I1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8" s="103"/>
      <c r="K18" s="117" t="s">
        <v>57</v>
      </c>
      <c r="L18" s="106" t="e">
        <v>#DIV/0!</v>
      </c>
    </row>
    <row r="19" spans="1:12" s="78" customFormat="1" x14ac:dyDescent="0.25">
      <c r="A19" t="s">
        <v>179</v>
      </c>
      <c r="B19" s="23" t="str">
        <f t="shared" si="1"/>
        <v>Plan</v>
      </c>
      <c r="C19" t="s">
        <v>9</v>
      </c>
      <c r="D19" t="s">
        <v>151</v>
      </c>
      <c r="E19" s="14">
        <v>0.4</v>
      </c>
      <c r="F19" s="104">
        <f>SUMIFS(IssueTypeVsRoleMapping[Role Allocation],IssueTypeVsRoleMapping[Issue Type],IssueTypeVsRoleMapping[[#This Row],[Issue Type]])</f>
        <v>1</v>
      </c>
      <c r="G19" s="105">
        <f>SUMIFS(AllIssues[CycleOnBacklog],AllIssues[project],'Progress by Demand'!$B$3,AllIssues[SUBTASK_TYPE],IssueTypeVsRoleMapping[[#This Row],[Issue Type]])*IssueTypeVsRoleMapping[[#This Row],[Role Allocation]]</f>
        <v>0</v>
      </c>
      <c r="H19" s="101">
        <f>SUMIFS(AllIssues[EffortOnBacklog],AllIssues[project],'Progress by Demand'!$B$3,AllIssues[SUBTASK_TYPE],IssueTypeVsRoleMapping[[#This Row],[Issue Type]])*IssueTypeVsRoleMapping[[#This Row],[Role Allocation]]</f>
        <v>0</v>
      </c>
      <c r="I1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9" s="103"/>
      <c r="K19" s="117" t="s">
        <v>7</v>
      </c>
      <c r="L19" s="106" t="e">
        <v>#DIV/0!</v>
      </c>
    </row>
    <row r="20" spans="1:12" s="78" customFormat="1" x14ac:dyDescent="0.25">
      <c r="A20" t="s">
        <v>179</v>
      </c>
      <c r="B20" s="23" t="str">
        <f t="shared" si="1"/>
        <v>Plan</v>
      </c>
      <c r="C20" t="s">
        <v>9</v>
      </c>
      <c r="D20" t="s">
        <v>54</v>
      </c>
      <c r="E20" s="14">
        <v>0.6</v>
      </c>
      <c r="F20" s="104">
        <f>SUMIFS(IssueTypeVsRoleMapping[Role Allocation],IssueTypeVsRoleMapping[Issue Type],IssueTypeVsRoleMapping[[#This Row],[Issue Type]])</f>
        <v>1</v>
      </c>
      <c r="G20" s="105">
        <f>SUMIFS(AllIssues[CycleOnBacklog],AllIssues[project],'Progress by Demand'!$B$3,AllIssues[SUBTASK_TYPE],IssueTypeVsRoleMapping[[#This Row],[Issue Type]])*IssueTypeVsRoleMapping[[#This Row],[Role Allocation]]</f>
        <v>0</v>
      </c>
      <c r="H20" s="101">
        <f>SUMIFS(AllIssues[EffortOnBacklog],AllIssues[project],'Progress by Demand'!$B$3,AllIssues[SUBTASK_TYPE],IssueTypeVsRoleMapping[[#This Row],[Issue Type]])*IssueTypeVsRoleMapping[[#This Row],[Role Allocation]]</f>
        <v>0</v>
      </c>
      <c r="I2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0" s="103"/>
      <c r="K20" s="117" t="s">
        <v>58</v>
      </c>
      <c r="L20" s="106" t="e">
        <v>#DIV/0!</v>
      </c>
    </row>
    <row r="21" spans="1:12" s="78" customFormat="1" x14ac:dyDescent="0.25">
      <c r="A21" t="s">
        <v>179</v>
      </c>
      <c r="B21" s="23" t="str">
        <f t="shared" si="1"/>
        <v>Plan</v>
      </c>
      <c r="C21" t="s">
        <v>5</v>
      </c>
      <c r="D21" t="s">
        <v>151</v>
      </c>
      <c r="E21" s="14">
        <v>0.4</v>
      </c>
      <c r="F21" s="104">
        <f>SUMIFS(IssueTypeVsRoleMapping[Role Allocation],IssueTypeVsRoleMapping[Issue Type],IssueTypeVsRoleMapping[[#This Row],[Issue Type]])</f>
        <v>1</v>
      </c>
      <c r="G21" s="105">
        <f>SUMIFS(AllIssues[CycleOnBacklog],AllIssues[project],'Progress by Demand'!$B$3,AllIssues[SUBTASK_TYPE],IssueTypeVsRoleMapping[[#This Row],[Issue Type]])*IssueTypeVsRoleMapping[[#This Row],[Role Allocation]]</f>
        <v>0</v>
      </c>
      <c r="H21" s="101">
        <f>SUMIFS(AllIssues[EffortOnBacklog],AllIssues[project],'Progress by Demand'!$B$3,AllIssues[SUBTASK_TYPE],IssueTypeVsRoleMapping[[#This Row],[Issue Type]])*IssueTypeVsRoleMapping[[#This Row],[Role Allocation]]</f>
        <v>0</v>
      </c>
      <c r="I2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1" s="103"/>
      <c r="K21" s="117" t="s">
        <v>1</v>
      </c>
      <c r="L21" s="106" t="e">
        <v>#DIV/0!</v>
      </c>
    </row>
    <row r="22" spans="1:12" s="78" customFormat="1" x14ac:dyDescent="0.25">
      <c r="A22" t="s">
        <v>179</v>
      </c>
      <c r="B22" s="23" t="str">
        <f t="shared" si="1"/>
        <v>Plan</v>
      </c>
      <c r="C22" t="s">
        <v>5</v>
      </c>
      <c r="D22" t="s">
        <v>54</v>
      </c>
      <c r="E22" s="14">
        <v>0.6</v>
      </c>
      <c r="F22" s="119">
        <f>SUMIFS(IssueTypeVsRoleMapping[Role Allocation],IssueTypeVsRoleMapping[Issue Type],IssueTypeVsRoleMapping[[#This Row],[Issue Type]])</f>
        <v>1</v>
      </c>
      <c r="G22" s="105">
        <f>SUMIFS(AllIssues[CycleOnBacklog],AllIssues[project],'Progress by Demand'!$B$3,AllIssues[SUBTASK_TYPE],IssueTypeVsRoleMapping[[#This Row],[Issue Type]])*IssueTypeVsRoleMapping[[#This Row],[Role Allocation]]</f>
        <v>0</v>
      </c>
      <c r="H22" s="101">
        <f>SUMIFS(AllIssues[EffortOnBacklog],AllIssues[project],'Progress by Demand'!$B$3,AllIssues[SUBTASK_TYPE],IssueTypeVsRoleMapping[[#This Row],[Issue Type]])*IssueTypeVsRoleMapping[[#This Row],[Role Allocation]]</f>
        <v>0</v>
      </c>
      <c r="I2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2" s="103"/>
      <c r="K22" s="117" t="s">
        <v>8</v>
      </c>
      <c r="L22" s="106" t="e">
        <v>#DIV/0!</v>
      </c>
    </row>
    <row r="23" spans="1:12" s="78" customFormat="1" x14ac:dyDescent="0.25">
      <c r="A23" t="s">
        <v>179</v>
      </c>
      <c r="B23" s="23" t="str">
        <f t="shared" si="1"/>
        <v>Plan</v>
      </c>
      <c r="C23" t="s">
        <v>57</v>
      </c>
      <c r="D23" t="s">
        <v>151</v>
      </c>
      <c r="E23" s="14">
        <v>1</v>
      </c>
      <c r="F23" s="119">
        <f>SUMIFS(IssueTypeVsRoleMapping[Role Allocation],IssueTypeVsRoleMapping[Issue Type],IssueTypeVsRoleMapping[[#This Row],[Issue Type]])</f>
        <v>1</v>
      </c>
      <c r="G23" s="105">
        <f>SUMIFS(AllIssues[CycleOnBacklog],AllIssues[project],'Progress by Demand'!$B$3,AllIssues[SUBTASK_TYPE],IssueTypeVsRoleMapping[[#This Row],[Issue Type]])*IssueTypeVsRoleMapping[[#This Row],[Role Allocation]]</f>
        <v>0</v>
      </c>
      <c r="H23" s="101">
        <f>SUMIFS(AllIssues[EffortOnBacklog],AllIssues[project],'Progress by Demand'!$B$3,AllIssues[SUBTASK_TYPE],IssueTypeVsRoleMapping[[#This Row],[Issue Type]])*IssueTypeVsRoleMapping[[#This Row],[Role Allocation]]</f>
        <v>0</v>
      </c>
      <c r="I2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3" s="103"/>
      <c r="K23" s="117" t="s">
        <v>24</v>
      </c>
      <c r="L23" s="106" t="e">
        <v>#DIV/0!</v>
      </c>
    </row>
    <row r="24" spans="1:12" s="78" customFormat="1" x14ac:dyDescent="0.25">
      <c r="A24" t="s">
        <v>179</v>
      </c>
      <c r="B24" s="23" t="str">
        <f t="shared" si="1"/>
        <v>Plan</v>
      </c>
      <c r="C24" t="s">
        <v>7</v>
      </c>
      <c r="D24" t="s">
        <v>54</v>
      </c>
      <c r="E24" s="14">
        <v>1</v>
      </c>
      <c r="F24" s="119">
        <f>SUMIFS(IssueTypeVsRoleMapping[Role Allocation],IssueTypeVsRoleMapping[Issue Type],IssueTypeVsRoleMapping[[#This Row],[Issue Type]])</f>
        <v>1</v>
      </c>
      <c r="G24" s="105">
        <f>SUMIFS(AllIssues[CycleOnBacklog],AllIssues[project],'Progress by Demand'!$B$3,AllIssues[SUBTASK_TYPE],IssueTypeVsRoleMapping[[#This Row],[Issue Type]])*IssueTypeVsRoleMapping[[#This Row],[Role Allocation]]</f>
        <v>0</v>
      </c>
      <c r="H24" s="101">
        <f>SUMIFS(AllIssues[EffortOnBacklog],AllIssues[project],'Progress by Demand'!$B$3,AllIssues[SUBTASK_TYPE],IssueTypeVsRoleMapping[[#This Row],[Issue Type]])*IssueTypeVsRoleMapping[[#This Row],[Role Allocation]]</f>
        <v>0</v>
      </c>
      <c r="I2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4" s="103"/>
      <c r="K24" s="117" t="s">
        <v>3</v>
      </c>
      <c r="L24" s="106" t="e">
        <v>#DIV/0!</v>
      </c>
    </row>
    <row r="25" spans="1:12" s="78" customFormat="1" x14ac:dyDescent="0.25">
      <c r="A25" t="s">
        <v>179</v>
      </c>
      <c r="B25" s="23" t="str">
        <f t="shared" si="1"/>
        <v>Plan</v>
      </c>
      <c r="C25" t="s">
        <v>58</v>
      </c>
      <c r="D25" t="s">
        <v>151</v>
      </c>
      <c r="E25" s="14">
        <v>0.4</v>
      </c>
      <c r="F25" s="119">
        <f>SUMIFS(IssueTypeVsRoleMapping[Role Allocation],IssueTypeVsRoleMapping[Issue Type],IssueTypeVsRoleMapping[[#This Row],[Issue Type]])</f>
        <v>1</v>
      </c>
      <c r="G25" s="105">
        <f>SUMIFS(AllIssues[CycleOnBacklog],AllIssues[project],'Progress by Demand'!$B$3,AllIssues[SUBTASK_TYPE],IssueTypeVsRoleMapping[[#This Row],[Issue Type]])*IssueTypeVsRoleMapping[[#This Row],[Role Allocation]]</f>
        <v>0</v>
      </c>
      <c r="H25" s="101">
        <f>SUMIFS(AllIssues[EffortOnBacklog],AllIssues[project],'Progress by Demand'!$B$3,AllIssues[SUBTASK_TYPE],IssueTypeVsRoleMapping[[#This Row],[Issue Type]])*IssueTypeVsRoleMapping[[#This Row],[Role Allocation]]</f>
        <v>0</v>
      </c>
      <c r="I2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5" s="103"/>
      <c r="K25" s="2" t="s">
        <v>2</v>
      </c>
      <c r="L25" s="106" t="e">
        <v>#DIV/0!</v>
      </c>
    </row>
    <row r="26" spans="1:12" s="78" customFormat="1" x14ac:dyDescent="0.25">
      <c r="A26" t="s">
        <v>179</v>
      </c>
      <c r="B26" s="23" t="str">
        <f t="shared" si="1"/>
        <v>Plan</v>
      </c>
      <c r="C26" t="s">
        <v>58</v>
      </c>
      <c r="D26" t="s">
        <v>54</v>
      </c>
      <c r="E26" s="14">
        <v>0.6</v>
      </c>
      <c r="F26" s="119">
        <f>SUMIFS(IssueTypeVsRoleMapping[Role Allocation],IssueTypeVsRoleMapping[Issue Type],IssueTypeVsRoleMapping[[#This Row],[Issue Type]])</f>
        <v>1</v>
      </c>
      <c r="G26" s="105">
        <f>SUMIFS(AllIssues[CycleOnBacklog],AllIssues[project],'Progress by Demand'!$B$3,AllIssues[SUBTASK_TYPE],IssueTypeVsRoleMapping[[#This Row],[Issue Type]])*IssueTypeVsRoleMapping[[#This Row],[Role Allocation]]</f>
        <v>0</v>
      </c>
      <c r="H26" s="101">
        <f>SUMIFS(AllIssues[EffortOnBacklog],AllIssues[project],'Progress by Demand'!$B$3,AllIssues[SUBTASK_TYPE],IssueTypeVsRoleMapping[[#This Row],[Issue Type]])*IssueTypeVsRoleMapping[[#This Row],[Role Allocation]]</f>
        <v>0</v>
      </c>
      <c r="I2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6" s="103"/>
    </row>
    <row r="27" spans="1:12" s="78" customFormat="1" x14ac:dyDescent="0.25">
      <c r="A27" t="s">
        <v>179</v>
      </c>
      <c r="B27" s="23" t="str">
        <f t="shared" si="1"/>
        <v>Plan</v>
      </c>
      <c r="C27" t="s">
        <v>1</v>
      </c>
      <c r="D27" t="s">
        <v>151</v>
      </c>
      <c r="E27" s="14">
        <v>0.4</v>
      </c>
      <c r="F27" s="119">
        <f>SUMIFS(IssueTypeVsRoleMapping[Role Allocation],IssueTypeVsRoleMapping[Issue Type],IssueTypeVsRoleMapping[[#This Row],[Issue Type]])</f>
        <v>1</v>
      </c>
      <c r="G27" s="105">
        <f>SUMIFS(AllIssues[CycleOnBacklog],AllIssues[project],'Progress by Demand'!$B$3,AllIssues[SUBTASK_TYPE],IssueTypeVsRoleMapping[[#This Row],[Issue Type]])*IssueTypeVsRoleMapping[[#This Row],[Role Allocation]]</f>
        <v>0</v>
      </c>
      <c r="H27" s="101">
        <f>SUMIFS(AllIssues[EffortOnBacklog],AllIssues[project],'Progress by Demand'!$B$3,AllIssues[SUBTASK_TYPE],IssueTypeVsRoleMapping[[#This Row],[Issue Type]])*IssueTypeVsRoleMapping[[#This Row],[Role Allocation]]</f>
        <v>0</v>
      </c>
      <c r="I2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7" s="103"/>
    </row>
    <row r="28" spans="1:12" s="78" customFormat="1" x14ac:dyDescent="0.25">
      <c r="A28" t="s">
        <v>179</v>
      </c>
      <c r="B28" s="23" t="str">
        <f t="shared" si="1"/>
        <v>Plan</v>
      </c>
      <c r="C28" t="s">
        <v>1</v>
      </c>
      <c r="D28" t="s">
        <v>54</v>
      </c>
      <c r="E28" s="14">
        <v>0.6</v>
      </c>
      <c r="F28" s="119">
        <f>SUMIFS(IssueTypeVsRoleMapping[Role Allocation],IssueTypeVsRoleMapping[Issue Type],IssueTypeVsRoleMapping[[#This Row],[Issue Type]])</f>
        <v>1</v>
      </c>
      <c r="G28" s="105">
        <f>SUMIFS(AllIssues[CycleOnBacklog],AllIssues[project],'Progress by Demand'!$B$3,AllIssues[SUBTASK_TYPE],IssueTypeVsRoleMapping[[#This Row],[Issue Type]])*IssueTypeVsRoleMapping[[#This Row],[Role Allocation]]</f>
        <v>0</v>
      </c>
      <c r="H28" s="101">
        <f>SUMIFS(AllIssues[EffortOnBacklog],AllIssues[project],'Progress by Demand'!$B$3,AllIssues[SUBTASK_TYPE],IssueTypeVsRoleMapping[[#This Row],[Issue Type]])*IssueTypeVsRoleMapping[[#This Row],[Role Allocation]]</f>
        <v>0</v>
      </c>
      <c r="I2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8" s="103"/>
    </row>
    <row r="29" spans="1:12" s="78" customFormat="1" x14ac:dyDescent="0.25">
      <c r="A29" t="s">
        <v>179</v>
      </c>
      <c r="B29" s="23" t="str">
        <f t="shared" si="1"/>
        <v>Plan</v>
      </c>
      <c r="C29" t="s">
        <v>8</v>
      </c>
      <c r="D29" t="s">
        <v>54</v>
      </c>
      <c r="E29" s="14">
        <v>0.6</v>
      </c>
      <c r="F29" s="119">
        <f>SUMIFS(IssueTypeVsRoleMapping[Role Allocation],IssueTypeVsRoleMapping[Issue Type],IssueTypeVsRoleMapping[[#This Row],[Issue Type]])</f>
        <v>1</v>
      </c>
      <c r="G29" s="105">
        <f>SUMIFS(AllIssues[CycleOnBacklog],AllIssues[project],'Progress by Demand'!$B$3,AllIssues[SUBTASK_TYPE],IssueTypeVsRoleMapping[[#This Row],[Issue Type]])*IssueTypeVsRoleMapping[[#This Row],[Role Allocation]]</f>
        <v>0</v>
      </c>
      <c r="H29" s="101">
        <f>SUMIFS(AllIssues[EffortOnBacklog],AllIssues[project],'Progress by Demand'!$B$3,AllIssues[SUBTASK_TYPE],IssueTypeVsRoleMapping[[#This Row],[Issue Type]])*IssueTypeVsRoleMapping[[#This Row],[Role Allocation]]</f>
        <v>0</v>
      </c>
      <c r="I2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9" s="103"/>
    </row>
    <row r="30" spans="1:12" s="78" customFormat="1" x14ac:dyDescent="0.25">
      <c r="A30" t="s">
        <v>179</v>
      </c>
      <c r="B30" s="23" t="str">
        <f t="shared" si="1"/>
        <v>Plan</v>
      </c>
      <c r="C30" t="s">
        <v>8</v>
      </c>
      <c r="D30" t="s">
        <v>151</v>
      </c>
      <c r="E30" s="14">
        <v>0.4</v>
      </c>
      <c r="F30" s="119">
        <f>SUMIFS(IssueTypeVsRoleMapping[Role Allocation],IssueTypeVsRoleMapping[Issue Type],IssueTypeVsRoleMapping[[#This Row],[Issue Type]])</f>
        <v>1</v>
      </c>
      <c r="G30" s="105">
        <f>SUMIFS(AllIssues[CycleOnBacklog],AllIssues[project],'Progress by Demand'!$B$3,AllIssues[SUBTASK_TYPE],IssueTypeVsRoleMapping[[#This Row],[Issue Type]])*IssueTypeVsRoleMapping[[#This Row],[Role Allocation]]</f>
        <v>0</v>
      </c>
      <c r="H30" s="101">
        <f>SUMIFS(AllIssues[EffortOnBacklog],AllIssues[project],'Progress by Demand'!$B$3,AllIssues[SUBTASK_TYPE],IssueTypeVsRoleMapping[[#This Row],[Issue Type]])*IssueTypeVsRoleMapping[[#This Row],[Role Allocation]]</f>
        <v>0</v>
      </c>
      <c r="I3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0" s="103"/>
    </row>
    <row r="31" spans="1:12" s="78" customFormat="1" x14ac:dyDescent="0.25">
      <c r="A31" t="s">
        <v>179</v>
      </c>
      <c r="B31" s="23" t="str">
        <f t="shared" si="1"/>
        <v>Plan</v>
      </c>
      <c r="C31" t="s">
        <v>24</v>
      </c>
      <c r="D31" t="s">
        <v>151</v>
      </c>
      <c r="E31" s="14">
        <v>0.4</v>
      </c>
      <c r="F31" s="119">
        <f>SUMIFS(IssueTypeVsRoleMapping[Role Allocation],IssueTypeVsRoleMapping[Issue Type],IssueTypeVsRoleMapping[[#This Row],[Issue Type]])</f>
        <v>1</v>
      </c>
      <c r="G31" s="105">
        <f>SUMIFS(AllIssues[CycleOnBacklog],AllIssues[project],'Progress by Demand'!$B$3,AllIssues[SUBTASK_TYPE],IssueTypeVsRoleMapping[[#This Row],[Issue Type]])*IssueTypeVsRoleMapping[[#This Row],[Role Allocation]]</f>
        <v>0</v>
      </c>
      <c r="H31" s="101">
        <f>SUMIFS(AllIssues[EffortOnBacklog],AllIssues[project],'Progress by Demand'!$B$3,AllIssues[SUBTASK_TYPE],IssueTypeVsRoleMapping[[#This Row],[Issue Type]])*IssueTypeVsRoleMapping[[#This Row],[Role Allocation]]</f>
        <v>0</v>
      </c>
      <c r="I3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1" s="103"/>
    </row>
    <row r="32" spans="1:12" s="78" customFormat="1" x14ac:dyDescent="0.25">
      <c r="A32" t="s">
        <v>179</v>
      </c>
      <c r="B32" s="23" t="str">
        <f t="shared" si="1"/>
        <v>Plan</v>
      </c>
      <c r="C32" t="s">
        <v>24</v>
      </c>
      <c r="D32" t="s">
        <v>54</v>
      </c>
      <c r="E32" s="14">
        <v>0.6</v>
      </c>
      <c r="F32" s="119">
        <f>SUMIFS(IssueTypeVsRoleMapping[Role Allocation],IssueTypeVsRoleMapping[Issue Type],IssueTypeVsRoleMapping[[#This Row],[Issue Type]])</f>
        <v>1</v>
      </c>
      <c r="G32" s="105">
        <f>SUMIFS(AllIssues[CycleOnBacklog],AllIssues[project],'Progress by Demand'!$B$3,AllIssues[SUBTASK_TYPE],IssueTypeVsRoleMapping[[#This Row],[Issue Type]])*IssueTypeVsRoleMapping[[#This Row],[Role Allocation]]</f>
        <v>0</v>
      </c>
      <c r="H32" s="101">
        <f>SUMIFS(AllIssues[EffortOnBacklog],AllIssues[project],'Progress by Demand'!$B$3,AllIssues[SUBTASK_TYPE],IssueTypeVsRoleMapping[[#This Row],[Issue Type]])*IssueTypeVsRoleMapping[[#This Row],[Role Allocation]]</f>
        <v>0</v>
      </c>
      <c r="I3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2" s="103"/>
    </row>
    <row r="33" spans="1:10" s="78" customFormat="1" x14ac:dyDescent="0.25">
      <c r="A33" t="s">
        <v>179</v>
      </c>
      <c r="B33" s="23" t="str">
        <f t="shared" si="1"/>
        <v>Plan</v>
      </c>
      <c r="C33" t="s">
        <v>3</v>
      </c>
      <c r="D33" t="s">
        <v>54</v>
      </c>
      <c r="E33" s="14">
        <v>1</v>
      </c>
      <c r="F33" s="104">
        <f>SUMIFS(IssueTypeVsRoleMapping[Role Allocation],IssueTypeVsRoleMapping[Issue Type],IssueTypeVsRoleMapping[[#This Row],[Issue Type]])</f>
        <v>1</v>
      </c>
      <c r="G33" s="105">
        <f>SUMIFS(AllIssues[CycleOnBacklog],AllIssues[project],'Progress by Demand'!$B$3,AllIssues[SUBTASK_TYPE],IssueTypeVsRoleMapping[[#This Row],[Issue Type]])*IssueTypeVsRoleMapping[[#This Row],[Role Allocation]]</f>
        <v>0</v>
      </c>
      <c r="H33" s="101">
        <f>SUMIFS(AllIssues[EffortOnBacklog],AllIssues[project],'Progress by Demand'!$B$3,AllIssues[SUBTASK_TYPE],IssueTypeVsRoleMapping[[#This Row],[Issue Type]])*IssueTypeVsRoleMapping[[#This Row],[Role Allocation]]</f>
        <v>0</v>
      </c>
      <c r="I3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3" s="103"/>
    </row>
    <row r="34" spans="1:10" x14ac:dyDescent="0.25">
      <c r="A34" s="102" t="s">
        <v>55</v>
      </c>
      <c r="B34" s="102">
        <f>SUBTOTAL(103,IssueTypeVsRoleMapping[Group])</f>
        <v>32</v>
      </c>
      <c r="C34" s="102"/>
      <c r="D34" s="78"/>
      <c r="E34" s="78"/>
      <c r="F34" s="107"/>
      <c r="G34" s="108">
        <f>SUBTOTAL(109,IssueTypeVsRoleMapping[Cycle on Backlog])</f>
        <v>0</v>
      </c>
      <c r="H34" s="109">
        <f>SUBTOTAL(109,IssueTypeVsRoleMapping[Effort on Backlog])</f>
        <v>0</v>
      </c>
      <c r="I34" s="103"/>
      <c r="J34" s="14"/>
    </row>
    <row r="38" spans="1:10" x14ac:dyDescent="0.25">
      <c r="C38" s="2"/>
    </row>
    <row r="39" spans="1:10" x14ac:dyDescent="0.25">
      <c r="C39" s="2"/>
    </row>
    <row r="40" spans="1:10" x14ac:dyDescent="0.25">
      <c r="C40" s="2"/>
    </row>
    <row r="41" spans="1:10" x14ac:dyDescent="0.25">
      <c r="C41" s="2"/>
    </row>
    <row r="42" spans="1:10" x14ac:dyDescent="0.25">
      <c r="C42" s="2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J101"/>
  <sheetViews>
    <sheetView topLeftCell="A55" workbookViewId="0">
      <selection activeCell="D67" sqref="D67"/>
    </sheetView>
  </sheetViews>
  <sheetFormatPr defaultColWidth="8.7109375" defaultRowHeight="15" x14ac:dyDescent="0.25"/>
  <cols>
    <col min="1" max="1" width="29.140625" customWidth="1"/>
    <col min="2" max="3" width="16.42578125" customWidth="1"/>
    <col min="4" max="4" width="16" style="85" customWidth="1"/>
    <col min="5" max="5" width="14.140625" style="121" customWidth="1"/>
    <col min="6" max="6" width="11.42578125" customWidth="1"/>
    <col min="7" max="7" width="12.7109375" customWidth="1"/>
    <col min="8" max="8" width="26.28515625" style="24" bestFit="1" customWidth="1"/>
    <col min="9" max="9" width="13" bestFit="1" customWidth="1"/>
    <col min="10" max="10" width="17.7109375" bestFit="1" customWidth="1"/>
  </cols>
  <sheetData>
    <row r="1" spans="1:10" ht="15.75" thickBot="1" x14ac:dyDescent="0.3">
      <c r="A1" s="5" t="s">
        <v>64</v>
      </c>
      <c r="B1" s="5" t="s">
        <v>16</v>
      </c>
      <c r="C1" s="5" t="s">
        <v>15</v>
      </c>
      <c r="D1" s="36" t="s">
        <v>17</v>
      </c>
      <c r="E1" s="120" t="s">
        <v>107</v>
      </c>
      <c r="G1" t="s">
        <v>101</v>
      </c>
      <c r="H1" t="s">
        <v>102</v>
      </c>
      <c r="I1" s="24" t="s">
        <v>103</v>
      </c>
      <c r="J1" t="s">
        <v>104</v>
      </c>
    </row>
    <row r="2" spans="1:10" x14ac:dyDescent="0.25">
      <c r="A2" t="s">
        <v>6</v>
      </c>
      <c r="B2" t="s">
        <v>18</v>
      </c>
      <c r="C2" t="s">
        <v>71</v>
      </c>
      <c r="D2" s="85">
        <v>1.0638297872340425</v>
      </c>
      <c r="E2" s="121">
        <f>Clusters[[#This Row],[Effort]]*1.2</f>
        <v>1.2765957446808509</v>
      </c>
      <c r="G2" t="s">
        <v>33</v>
      </c>
      <c r="H2" t="s">
        <v>69</v>
      </c>
      <c r="I2" s="24">
        <v>0.1</v>
      </c>
      <c r="J2" s="24">
        <f>SUMIFS(EffortDistribution[Distribution],EffortDistribution[Group],EffortDistribution[Group])</f>
        <v>2</v>
      </c>
    </row>
    <row r="3" spans="1:10" ht="30" x14ac:dyDescent="0.25">
      <c r="A3" t="s">
        <v>6</v>
      </c>
      <c r="B3" t="s">
        <v>19</v>
      </c>
      <c r="C3" t="s">
        <v>71</v>
      </c>
      <c r="D3" s="85">
        <v>2.1276595744680851</v>
      </c>
      <c r="E3" s="121">
        <f>Clusters[[#This Row],[Effort]]*1.2</f>
        <v>2.5531914893617018</v>
      </c>
      <c r="G3" t="s">
        <v>33</v>
      </c>
      <c r="H3" s="23" t="s">
        <v>70</v>
      </c>
      <c r="I3" s="24">
        <v>0.05</v>
      </c>
      <c r="J3" s="24">
        <f>SUMIFS(EffortDistribution[Distribution],EffortDistribution[Group],EffortDistribution[Group])</f>
        <v>2</v>
      </c>
    </row>
    <row r="4" spans="1:10" x14ac:dyDescent="0.25">
      <c r="A4" t="s">
        <v>6</v>
      </c>
      <c r="B4" t="s">
        <v>20</v>
      </c>
      <c r="C4" t="s">
        <v>71</v>
      </c>
      <c r="D4" s="85">
        <v>4.2553191489361701</v>
      </c>
      <c r="E4" s="121">
        <f>Clusters[[#This Row],[Effort]]*1.2</f>
        <v>5.1063829787234036</v>
      </c>
      <c r="G4" t="s">
        <v>33</v>
      </c>
      <c r="H4" t="s">
        <v>68</v>
      </c>
      <c r="I4" s="24">
        <v>0.5</v>
      </c>
      <c r="J4" s="24">
        <f>SUMIFS(EffortDistribution[Distribution],EffortDistribution[Group],EffortDistribution[Group])</f>
        <v>2</v>
      </c>
    </row>
    <row r="5" spans="1:10" x14ac:dyDescent="0.25">
      <c r="A5" t="s">
        <v>6</v>
      </c>
      <c r="B5" t="s">
        <v>21</v>
      </c>
      <c r="C5" t="s">
        <v>71</v>
      </c>
      <c r="D5" s="85">
        <v>8.5106382978723403</v>
      </c>
      <c r="E5" s="121">
        <f>Clusters[[#This Row],[Effort]]*1.2</f>
        <v>10.212765957446807</v>
      </c>
      <c r="G5" t="s">
        <v>33</v>
      </c>
      <c r="H5" t="s">
        <v>66</v>
      </c>
      <c r="I5" s="24">
        <v>0.05</v>
      </c>
      <c r="J5" s="24">
        <f>SUMIFS(EffortDistribution[Distribution],EffortDistribution[Group],EffortDistribution[Group])</f>
        <v>2</v>
      </c>
    </row>
    <row r="6" spans="1:10" x14ac:dyDescent="0.25">
      <c r="A6" t="s">
        <v>6</v>
      </c>
      <c r="B6" t="s">
        <v>22</v>
      </c>
      <c r="C6" t="s">
        <v>71</v>
      </c>
      <c r="D6" s="85">
        <v>16</v>
      </c>
      <c r="E6" s="121">
        <f>Clusters[[#This Row],[Effort]]*1.2</f>
        <v>19.2</v>
      </c>
      <c r="G6" t="s">
        <v>33</v>
      </c>
      <c r="H6" t="s">
        <v>109</v>
      </c>
      <c r="I6" s="24">
        <v>0.1</v>
      </c>
      <c r="J6" s="24">
        <f>SUMIFS(EffortDistribution[Distribution],EffortDistribution[Group],EffortDistribution[Group])</f>
        <v>2</v>
      </c>
    </row>
    <row r="7" spans="1:10" ht="30" x14ac:dyDescent="0.25">
      <c r="A7" t="s">
        <v>40</v>
      </c>
      <c r="B7" t="s">
        <v>18</v>
      </c>
      <c r="C7" t="s">
        <v>71</v>
      </c>
      <c r="D7" s="85">
        <v>1.0638297872340425</v>
      </c>
      <c r="E7" s="121">
        <f>Clusters[[#This Row],[Effort]]*1.2</f>
        <v>1.2765957446808509</v>
      </c>
      <c r="G7" t="s">
        <v>33</v>
      </c>
      <c r="H7" s="23" t="s">
        <v>106</v>
      </c>
      <c r="I7" s="24">
        <v>0.05</v>
      </c>
      <c r="J7" s="24">
        <f>SUMIFS(EffortDistribution[Distribution],EffortDistribution[Group],EffortDistribution[Group])</f>
        <v>2</v>
      </c>
    </row>
    <row r="8" spans="1:10" x14ac:dyDescent="0.25">
      <c r="A8" t="s">
        <v>40</v>
      </c>
      <c r="B8" t="s">
        <v>19</v>
      </c>
      <c r="C8" t="s">
        <v>71</v>
      </c>
      <c r="D8" s="85">
        <v>2.1276595744680851</v>
      </c>
      <c r="E8" s="121">
        <f>Clusters[[#This Row],[Effort]]*1.2</f>
        <v>2.5531914893617018</v>
      </c>
      <c r="G8" t="s">
        <v>33</v>
      </c>
      <c r="H8" t="s">
        <v>108</v>
      </c>
      <c r="I8" s="24">
        <v>0.1</v>
      </c>
      <c r="J8" s="24">
        <f>SUMIFS(EffortDistribution[Distribution],EffortDistribution[Group],EffortDistribution[Group])</f>
        <v>2</v>
      </c>
    </row>
    <row r="9" spans="1:10" x14ac:dyDescent="0.25">
      <c r="A9" t="s">
        <v>40</v>
      </c>
      <c r="B9" t="s">
        <v>20</v>
      </c>
      <c r="C9" t="s">
        <v>71</v>
      </c>
      <c r="D9" s="85">
        <v>3.191489361702128</v>
      </c>
      <c r="E9" s="121">
        <f>Clusters[[#This Row],[Effort]]*1.2</f>
        <v>3.8297872340425534</v>
      </c>
      <c r="G9" t="s">
        <v>33</v>
      </c>
      <c r="H9" t="s">
        <v>67</v>
      </c>
      <c r="I9" s="24">
        <v>0.05</v>
      </c>
      <c r="J9" s="24">
        <f>SUMIFS(EffortDistribution[Distribution],EffortDistribution[Group],EffortDistribution[Group])</f>
        <v>2</v>
      </c>
    </row>
    <row r="10" spans="1:10" x14ac:dyDescent="0.25">
      <c r="A10" t="s">
        <v>40</v>
      </c>
      <c r="B10" t="s">
        <v>21</v>
      </c>
      <c r="C10" t="s">
        <v>71</v>
      </c>
      <c r="D10" s="85">
        <v>4.2553191489361701</v>
      </c>
      <c r="E10" s="121">
        <f>Clusters[[#This Row],[Effort]]*1.2</f>
        <v>5.1063829787234036</v>
      </c>
      <c r="G10" t="s">
        <v>33</v>
      </c>
      <c r="H10" t="s">
        <v>111</v>
      </c>
      <c r="I10" s="24">
        <v>1</v>
      </c>
      <c r="J10" s="24">
        <f>SUMIFS(EffortDistribution[Distribution],EffortDistribution[Group],EffortDistribution[Group])</f>
        <v>2</v>
      </c>
    </row>
    <row r="11" spans="1:10" x14ac:dyDescent="0.25">
      <c r="A11" t="s">
        <v>40</v>
      </c>
      <c r="B11" t="s">
        <v>22</v>
      </c>
      <c r="C11" t="s">
        <v>71</v>
      </c>
      <c r="D11" s="85">
        <v>5.3191489361702127</v>
      </c>
      <c r="E11" s="121">
        <f>Clusters[[#This Row],[Effort]]*1.2</f>
        <v>6.3829787234042552</v>
      </c>
      <c r="G11" t="s">
        <v>65</v>
      </c>
      <c r="H11" s="24" t="s">
        <v>40</v>
      </c>
      <c r="I11" s="24">
        <v>0.05</v>
      </c>
      <c r="J11" s="24">
        <f>SUMIFS(EffortDistribution[Distribution],EffortDistribution[Group],EffortDistribution[Group])</f>
        <v>1.0000000000000002</v>
      </c>
    </row>
    <row r="12" spans="1:10" x14ac:dyDescent="0.25">
      <c r="A12" t="s">
        <v>9</v>
      </c>
      <c r="B12" t="s">
        <v>18</v>
      </c>
      <c r="C12" t="s">
        <v>71</v>
      </c>
      <c r="D12" s="85">
        <v>4</v>
      </c>
      <c r="E12" s="121">
        <f>Clusters[[#This Row],[Effort]]*1.2</f>
        <v>4.8</v>
      </c>
      <c r="G12" t="s">
        <v>65</v>
      </c>
      <c r="H12" s="24" t="s">
        <v>6</v>
      </c>
      <c r="I12" s="24">
        <v>0.05</v>
      </c>
      <c r="J12" s="24">
        <f>SUMIFS(EffortDistribution[Distribution],EffortDistribution[Group],EffortDistribution[Group])</f>
        <v>1.0000000000000002</v>
      </c>
    </row>
    <row r="13" spans="1:10" x14ac:dyDescent="0.25">
      <c r="A13" t="s">
        <v>9</v>
      </c>
      <c r="B13" t="s">
        <v>19</v>
      </c>
      <c r="C13" t="s">
        <v>71</v>
      </c>
      <c r="D13" s="85">
        <v>16</v>
      </c>
      <c r="E13" s="121">
        <f>Clusters[[#This Row],[Effort]]*1.2</f>
        <v>19.2</v>
      </c>
      <c r="G13" t="s">
        <v>65</v>
      </c>
      <c r="H13" t="s">
        <v>9</v>
      </c>
      <c r="I13" s="24">
        <v>0.3</v>
      </c>
      <c r="J13" s="24">
        <f>SUMIFS(EffortDistribution[Distribution],EffortDistribution[Group],EffortDistribution[Group])</f>
        <v>1.0000000000000002</v>
      </c>
    </row>
    <row r="14" spans="1:10" x14ac:dyDescent="0.25">
      <c r="A14" t="s">
        <v>9</v>
      </c>
      <c r="B14" t="s">
        <v>20</v>
      </c>
      <c r="C14" t="s">
        <v>71</v>
      </c>
      <c r="D14" s="85">
        <v>24</v>
      </c>
      <c r="E14" s="121">
        <f>Clusters[[#This Row],[Effort]]*1.2</f>
        <v>28.799999999999997</v>
      </c>
      <c r="G14" t="s">
        <v>65</v>
      </c>
      <c r="H14" t="s">
        <v>5</v>
      </c>
      <c r="I14" s="24">
        <v>0.15</v>
      </c>
      <c r="J14" s="24">
        <f>SUMIFS(EffortDistribution[Distribution],EffortDistribution[Group],EffortDistribution[Group])</f>
        <v>1.0000000000000002</v>
      </c>
    </row>
    <row r="15" spans="1:10" x14ac:dyDescent="0.25">
      <c r="A15" t="s">
        <v>9</v>
      </c>
      <c r="B15" t="s">
        <v>21</v>
      </c>
      <c r="C15" t="s">
        <v>71</v>
      </c>
      <c r="D15" s="85">
        <v>40</v>
      </c>
      <c r="E15" s="121">
        <f>Clusters[[#This Row],[Effort]]*1.2</f>
        <v>48</v>
      </c>
      <c r="G15" t="s">
        <v>65</v>
      </c>
      <c r="H15" t="s">
        <v>57</v>
      </c>
      <c r="I15" s="24">
        <v>0.05</v>
      </c>
      <c r="J15" s="24">
        <f>SUMIFS(EffortDistribution[Distribution],EffortDistribution[Group],EffortDistribution[Group])</f>
        <v>1.0000000000000002</v>
      </c>
    </row>
    <row r="16" spans="1:10" x14ac:dyDescent="0.25">
      <c r="A16" t="s">
        <v>9</v>
      </c>
      <c r="B16" t="s">
        <v>22</v>
      </c>
      <c r="C16" t="s">
        <v>71</v>
      </c>
      <c r="D16" s="85">
        <v>48</v>
      </c>
      <c r="E16" s="121">
        <f>Clusters[[#This Row],[Effort]]*1.2</f>
        <v>57.599999999999994</v>
      </c>
      <c r="G16" t="s">
        <v>65</v>
      </c>
      <c r="H16" t="s">
        <v>7</v>
      </c>
      <c r="I16" s="24">
        <v>0.15</v>
      </c>
      <c r="J16" s="24">
        <f>SUMIFS(EffortDistribution[Distribution],EffortDistribution[Group],EffortDistribution[Group])</f>
        <v>1.0000000000000002</v>
      </c>
    </row>
    <row r="17" spans="1:10" x14ac:dyDescent="0.25">
      <c r="A17" t="s">
        <v>5</v>
      </c>
      <c r="B17" t="s">
        <v>18</v>
      </c>
      <c r="C17" t="s">
        <v>71</v>
      </c>
      <c r="D17" s="85">
        <v>1.0638297872340425</v>
      </c>
      <c r="E17" s="121">
        <f>Clusters[[#This Row],[Effort]]*1.2</f>
        <v>1.2765957446808509</v>
      </c>
      <c r="G17" t="s">
        <v>65</v>
      </c>
      <c r="H17" s="24" t="s">
        <v>58</v>
      </c>
      <c r="I17" s="24">
        <v>0.05</v>
      </c>
      <c r="J17" s="24">
        <f>SUMIFS(EffortDistribution[Distribution],EffortDistribution[Group],EffortDistribution[Group])</f>
        <v>1.0000000000000002</v>
      </c>
    </row>
    <row r="18" spans="1:10" x14ac:dyDescent="0.25">
      <c r="A18" t="s">
        <v>5</v>
      </c>
      <c r="B18" t="s">
        <v>19</v>
      </c>
      <c r="C18" t="s">
        <v>71</v>
      </c>
      <c r="D18" s="85">
        <v>2.1276595744680851</v>
      </c>
      <c r="E18" s="121">
        <f>Clusters[[#This Row],[Effort]]*1.2</f>
        <v>2.5531914893617018</v>
      </c>
      <c r="G18" t="s">
        <v>65</v>
      </c>
      <c r="H18" t="s">
        <v>1</v>
      </c>
      <c r="I18" s="24">
        <v>0.1</v>
      </c>
      <c r="J18" s="24">
        <f>SUMIFS(EffortDistribution[Distribution],EffortDistribution[Group],EffortDistribution[Group])</f>
        <v>1.0000000000000002</v>
      </c>
    </row>
    <row r="19" spans="1:10" x14ac:dyDescent="0.25">
      <c r="A19" t="s">
        <v>5</v>
      </c>
      <c r="B19" t="s">
        <v>20</v>
      </c>
      <c r="C19" t="s">
        <v>71</v>
      </c>
      <c r="D19" s="85">
        <v>4.2553191489361701</v>
      </c>
      <c r="E19" s="121">
        <f>Clusters[[#This Row],[Effort]]*1.2</f>
        <v>5.1063829787234036</v>
      </c>
      <c r="G19" t="s">
        <v>65</v>
      </c>
      <c r="H19" t="s">
        <v>8</v>
      </c>
      <c r="I19" s="24">
        <v>0.05</v>
      </c>
      <c r="J19" s="24">
        <f>SUMIFS(EffortDistribution[Distribution],EffortDistribution[Group],EffortDistribution[Group])</f>
        <v>1.0000000000000002</v>
      </c>
    </row>
    <row r="20" spans="1:10" x14ac:dyDescent="0.25">
      <c r="A20" t="s">
        <v>5</v>
      </c>
      <c r="B20" t="s">
        <v>21</v>
      </c>
      <c r="C20" t="s">
        <v>71</v>
      </c>
      <c r="D20" s="85">
        <v>8.5106382978723403</v>
      </c>
      <c r="E20" s="121">
        <f>Clusters[[#This Row],[Effort]]*1.2</f>
        <v>10.212765957446807</v>
      </c>
      <c r="G20" t="s">
        <v>65</v>
      </c>
      <c r="H20" s="24" t="s">
        <v>3</v>
      </c>
      <c r="I20" s="24">
        <v>0.05</v>
      </c>
      <c r="J20" s="24">
        <f>SUMIFS(EffortDistribution[Distribution],EffortDistribution[Group],EffortDistribution[Group])</f>
        <v>1.0000000000000002</v>
      </c>
    </row>
    <row r="21" spans="1:10" x14ac:dyDescent="0.25">
      <c r="A21" t="s">
        <v>5</v>
      </c>
      <c r="B21" t="s">
        <v>22</v>
      </c>
      <c r="C21" t="s">
        <v>71</v>
      </c>
      <c r="D21" s="85">
        <v>16</v>
      </c>
      <c r="E21" s="121">
        <f>Clusters[[#This Row],[Effort]]*1.2</f>
        <v>19.2</v>
      </c>
      <c r="H21"/>
      <c r="I21" s="24"/>
      <c r="J21" s="24"/>
    </row>
    <row r="22" spans="1:10" x14ac:dyDescent="0.25">
      <c r="A22" t="s">
        <v>57</v>
      </c>
      <c r="B22" t="s">
        <v>18</v>
      </c>
      <c r="C22" t="s">
        <v>71</v>
      </c>
      <c r="D22" s="85">
        <v>1.0638297872340425</v>
      </c>
      <c r="E22" s="121">
        <f>Clusters[[#This Row],[Effort]]*1.2</f>
        <v>1.2765957446808509</v>
      </c>
      <c r="I22" s="24"/>
      <c r="J22" s="24"/>
    </row>
    <row r="23" spans="1:10" x14ac:dyDescent="0.25">
      <c r="A23" t="s">
        <v>57</v>
      </c>
      <c r="B23" t="s">
        <v>19</v>
      </c>
      <c r="C23" t="s">
        <v>71</v>
      </c>
      <c r="D23" s="85">
        <v>2.1276595744680851</v>
      </c>
      <c r="E23" s="121">
        <f>Clusters[[#This Row],[Effort]]*1.2</f>
        <v>2.5531914893617018</v>
      </c>
    </row>
    <row r="24" spans="1:10" x14ac:dyDescent="0.25">
      <c r="A24" t="s">
        <v>57</v>
      </c>
      <c r="B24" t="s">
        <v>20</v>
      </c>
      <c r="C24" t="s">
        <v>71</v>
      </c>
      <c r="D24" s="85">
        <v>3.191489361702128</v>
      </c>
      <c r="E24" s="121">
        <f>Clusters[[#This Row],[Effort]]*1.2</f>
        <v>3.8297872340425534</v>
      </c>
    </row>
    <row r="25" spans="1:10" x14ac:dyDescent="0.25">
      <c r="A25" t="s">
        <v>57</v>
      </c>
      <c r="B25" t="s">
        <v>21</v>
      </c>
      <c r="C25" t="s">
        <v>71</v>
      </c>
      <c r="D25" s="85">
        <v>4.2553191489361701</v>
      </c>
      <c r="E25" s="121">
        <f>Clusters[[#This Row],[Effort]]*1.2</f>
        <v>5.1063829787234036</v>
      </c>
    </row>
    <row r="26" spans="1:10" x14ac:dyDescent="0.25">
      <c r="A26" t="s">
        <v>57</v>
      </c>
      <c r="B26" t="s">
        <v>22</v>
      </c>
      <c r="C26" t="s">
        <v>71</v>
      </c>
      <c r="D26" s="85">
        <v>8</v>
      </c>
      <c r="E26" s="121">
        <f>Clusters[[#This Row],[Effort]]*1.2</f>
        <v>9.6</v>
      </c>
    </row>
    <row r="27" spans="1:10" x14ac:dyDescent="0.25">
      <c r="A27" t="s">
        <v>7</v>
      </c>
      <c r="B27" t="s">
        <v>18</v>
      </c>
      <c r="C27" t="s">
        <v>71</v>
      </c>
      <c r="D27" s="85">
        <v>4</v>
      </c>
      <c r="E27" s="121">
        <f>Clusters[[#This Row],[Effort]]*1.2</f>
        <v>4.8</v>
      </c>
    </row>
    <row r="28" spans="1:10" x14ac:dyDescent="0.25">
      <c r="A28" t="s">
        <v>7</v>
      </c>
      <c r="B28" t="s">
        <v>19</v>
      </c>
      <c r="C28" t="s">
        <v>71</v>
      </c>
      <c r="D28" s="85">
        <v>16</v>
      </c>
      <c r="E28" s="121">
        <f>Clusters[[#This Row],[Effort]]*1.2</f>
        <v>19.2</v>
      </c>
    </row>
    <row r="29" spans="1:10" x14ac:dyDescent="0.25">
      <c r="A29" t="s">
        <v>7</v>
      </c>
      <c r="B29" t="s">
        <v>20</v>
      </c>
      <c r="C29" t="s">
        <v>71</v>
      </c>
      <c r="D29" s="85">
        <v>24</v>
      </c>
      <c r="E29" s="121">
        <f>Clusters[[#This Row],[Effort]]*1.2</f>
        <v>28.799999999999997</v>
      </c>
    </row>
    <row r="30" spans="1:10" x14ac:dyDescent="0.25">
      <c r="A30" t="s">
        <v>7</v>
      </c>
      <c r="B30" t="s">
        <v>21</v>
      </c>
      <c r="C30" t="s">
        <v>71</v>
      </c>
      <c r="D30" s="85">
        <v>40</v>
      </c>
      <c r="E30" s="121">
        <f>Clusters[[#This Row],[Effort]]*1.2</f>
        <v>48</v>
      </c>
    </row>
    <row r="31" spans="1:10" x14ac:dyDescent="0.25">
      <c r="A31" t="s">
        <v>7</v>
      </c>
      <c r="B31" t="s">
        <v>22</v>
      </c>
      <c r="C31" t="s">
        <v>71</v>
      </c>
      <c r="D31" s="85">
        <v>48</v>
      </c>
      <c r="E31" s="121">
        <f>Clusters[[#This Row],[Effort]]*1.2</f>
        <v>57.599999999999994</v>
      </c>
    </row>
    <row r="32" spans="1:10" x14ac:dyDescent="0.25">
      <c r="A32" t="s">
        <v>1</v>
      </c>
      <c r="B32" t="s">
        <v>18</v>
      </c>
      <c r="C32" t="s">
        <v>71</v>
      </c>
      <c r="D32" s="85">
        <v>2.1276595744680851</v>
      </c>
      <c r="E32" s="121">
        <f>Clusters[[#This Row],[Effort]]*1.2</f>
        <v>2.5531914893617018</v>
      </c>
    </row>
    <row r="33" spans="1:5" x14ac:dyDescent="0.25">
      <c r="A33" t="s">
        <v>1</v>
      </c>
      <c r="B33" t="s">
        <v>19</v>
      </c>
      <c r="C33" t="s">
        <v>71</v>
      </c>
      <c r="D33" s="85">
        <v>4.2553191489361701</v>
      </c>
      <c r="E33" s="121">
        <f>Clusters[[#This Row],[Effort]]*1.2</f>
        <v>5.1063829787234036</v>
      </c>
    </row>
    <row r="34" spans="1:5" x14ac:dyDescent="0.25">
      <c r="A34" t="s">
        <v>1</v>
      </c>
      <c r="B34" t="s">
        <v>20</v>
      </c>
      <c r="C34" t="s">
        <v>71</v>
      </c>
      <c r="D34" s="85">
        <v>8.5106382978723403</v>
      </c>
      <c r="E34" s="121">
        <f>Clusters[[#This Row],[Effort]]*1.2</f>
        <v>10.212765957446807</v>
      </c>
    </row>
    <row r="35" spans="1:5" x14ac:dyDescent="0.25">
      <c r="A35" t="s">
        <v>1</v>
      </c>
      <c r="B35" t="s">
        <v>21</v>
      </c>
      <c r="C35" t="s">
        <v>71</v>
      </c>
      <c r="D35" s="85">
        <v>17.021276595744681</v>
      </c>
      <c r="E35" s="121">
        <f>Clusters[[#This Row],[Effort]]*1.2</f>
        <v>20.425531914893615</v>
      </c>
    </row>
    <row r="36" spans="1:5" x14ac:dyDescent="0.25">
      <c r="A36" t="s">
        <v>1</v>
      </c>
      <c r="B36" t="s">
        <v>22</v>
      </c>
      <c r="C36" t="s">
        <v>71</v>
      </c>
      <c r="D36" s="85">
        <v>35</v>
      </c>
      <c r="E36" s="121">
        <f>Clusters[[#This Row],[Effort]]*1.2</f>
        <v>42</v>
      </c>
    </row>
    <row r="37" spans="1:5" x14ac:dyDescent="0.25">
      <c r="A37" t="s">
        <v>8</v>
      </c>
      <c r="B37" t="s">
        <v>18</v>
      </c>
      <c r="C37" t="s">
        <v>71</v>
      </c>
      <c r="D37" s="85">
        <v>1.0638297872340425</v>
      </c>
      <c r="E37" s="121">
        <f>Clusters[[#This Row],[Effort]]*1.2</f>
        <v>1.2765957446808509</v>
      </c>
    </row>
    <row r="38" spans="1:5" x14ac:dyDescent="0.25">
      <c r="A38" t="s">
        <v>8</v>
      </c>
      <c r="B38" t="s">
        <v>19</v>
      </c>
      <c r="C38" t="s">
        <v>71</v>
      </c>
      <c r="D38" s="85">
        <v>2.1276595744680851</v>
      </c>
      <c r="E38" s="121">
        <f>Clusters[[#This Row],[Effort]]*1.2</f>
        <v>2.5531914893617018</v>
      </c>
    </row>
    <row r="39" spans="1:5" x14ac:dyDescent="0.25">
      <c r="A39" t="s">
        <v>8</v>
      </c>
      <c r="B39" t="s">
        <v>20</v>
      </c>
      <c r="C39" t="s">
        <v>71</v>
      </c>
      <c r="D39" s="85">
        <v>4.2553191489361701</v>
      </c>
      <c r="E39" s="121">
        <f>Clusters[[#This Row],[Effort]]*1.2</f>
        <v>5.1063829787234036</v>
      </c>
    </row>
    <row r="40" spans="1:5" x14ac:dyDescent="0.25">
      <c r="A40" t="s">
        <v>8</v>
      </c>
      <c r="B40" t="s">
        <v>21</v>
      </c>
      <c r="C40" t="s">
        <v>71</v>
      </c>
      <c r="D40" s="85">
        <v>8.5106382978723403</v>
      </c>
      <c r="E40" s="121">
        <f>Clusters[[#This Row],[Effort]]*1.2</f>
        <v>10.212765957446807</v>
      </c>
    </row>
    <row r="41" spans="1:5" x14ac:dyDescent="0.25">
      <c r="A41" t="s">
        <v>8</v>
      </c>
      <c r="B41" t="s">
        <v>22</v>
      </c>
      <c r="C41" t="s">
        <v>71</v>
      </c>
      <c r="D41" s="85">
        <v>16</v>
      </c>
      <c r="E41" s="121">
        <f>Clusters[[#This Row],[Effort]]*1.2</f>
        <v>19.2</v>
      </c>
    </row>
    <row r="42" spans="1:5" x14ac:dyDescent="0.25">
      <c r="A42" t="s">
        <v>24</v>
      </c>
      <c r="B42" t="s">
        <v>18</v>
      </c>
      <c r="C42" t="s">
        <v>71</v>
      </c>
      <c r="D42" s="85">
        <v>2</v>
      </c>
      <c r="E42" s="121">
        <f>Clusters[[#This Row],[Effort]]*1.2</f>
        <v>2.4</v>
      </c>
    </row>
    <row r="43" spans="1:5" x14ac:dyDescent="0.25">
      <c r="A43" t="s">
        <v>24</v>
      </c>
      <c r="B43" t="s">
        <v>19</v>
      </c>
      <c r="C43" t="s">
        <v>71</v>
      </c>
      <c r="D43" s="85">
        <v>4</v>
      </c>
      <c r="E43" s="121">
        <f>Clusters[[#This Row],[Effort]]*1.2</f>
        <v>4.8</v>
      </c>
    </row>
    <row r="44" spans="1:5" x14ac:dyDescent="0.25">
      <c r="A44" t="s">
        <v>24</v>
      </c>
      <c r="B44" t="s">
        <v>20</v>
      </c>
      <c r="C44" t="s">
        <v>71</v>
      </c>
      <c r="D44" s="85">
        <v>6</v>
      </c>
      <c r="E44" s="121">
        <f>Clusters[[#This Row],[Effort]]*1.2</f>
        <v>7.1999999999999993</v>
      </c>
    </row>
    <row r="45" spans="1:5" x14ac:dyDescent="0.25">
      <c r="A45" t="s">
        <v>24</v>
      </c>
      <c r="B45" t="s">
        <v>21</v>
      </c>
      <c r="C45" t="s">
        <v>71</v>
      </c>
      <c r="D45" s="85">
        <v>10</v>
      </c>
      <c r="E45" s="121">
        <f>Clusters[[#This Row],[Effort]]*1.2</f>
        <v>12</v>
      </c>
    </row>
    <row r="46" spans="1:5" x14ac:dyDescent="0.25">
      <c r="A46" t="s">
        <v>24</v>
      </c>
      <c r="B46" t="s">
        <v>22</v>
      </c>
      <c r="C46" t="s">
        <v>71</v>
      </c>
      <c r="D46" s="85">
        <v>16</v>
      </c>
      <c r="E46" s="121">
        <f>Clusters[[#This Row],[Effort]]*1.2</f>
        <v>19.2</v>
      </c>
    </row>
    <row r="47" spans="1:5" x14ac:dyDescent="0.25">
      <c r="A47" t="s">
        <v>3</v>
      </c>
      <c r="B47" t="s">
        <v>18</v>
      </c>
      <c r="C47" t="s">
        <v>71</v>
      </c>
      <c r="D47" s="85">
        <v>2.1276595744680851</v>
      </c>
      <c r="E47" s="121">
        <f>Clusters[[#This Row],[Effort]]*1.2</f>
        <v>2.5531914893617018</v>
      </c>
    </row>
    <row r="48" spans="1:5" x14ac:dyDescent="0.25">
      <c r="A48" t="s">
        <v>3</v>
      </c>
      <c r="B48" t="s">
        <v>19</v>
      </c>
      <c r="C48" t="s">
        <v>71</v>
      </c>
      <c r="D48" s="85">
        <v>4.2553191489361701</v>
      </c>
      <c r="E48" s="121">
        <f>Clusters[[#This Row],[Effort]]*1.2</f>
        <v>5.1063829787234036</v>
      </c>
    </row>
    <row r="49" spans="1:5" x14ac:dyDescent="0.25">
      <c r="A49" t="s">
        <v>3</v>
      </c>
      <c r="B49" t="s">
        <v>20</v>
      </c>
      <c r="C49" t="s">
        <v>71</v>
      </c>
      <c r="D49" s="85">
        <v>8.5106382978723403</v>
      </c>
      <c r="E49" s="121">
        <f>Clusters[[#This Row],[Effort]]*1.2</f>
        <v>10.212765957446807</v>
      </c>
    </row>
    <row r="50" spans="1:5" x14ac:dyDescent="0.25">
      <c r="A50" t="s">
        <v>3</v>
      </c>
      <c r="B50" t="s">
        <v>21</v>
      </c>
      <c r="C50" t="s">
        <v>71</v>
      </c>
      <c r="D50" s="85">
        <v>17.021276595744681</v>
      </c>
      <c r="E50" s="121">
        <f>Clusters[[#This Row],[Effort]]*1.2</f>
        <v>20.425531914893615</v>
      </c>
    </row>
    <row r="51" spans="1:5" x14ac:dyDescent="0.25">
      <c r="A51" t="s">
        <v>3</v>
      </c>
      <c r="B51" t="s">
        <v>22</v>
      </c>
      <c r="C51" t="s">
        <v>71</v>
      </c>
      <c r="D51" s="85">
        <v>35</v>
      </c>
      <c r="E51" s="121">
        <f>Clusters[[#This Row],[Effort]]*1.2</f>
        <v>42</v>
      </c>
    </row>
    <row r="52" spans="1:5" x14ac:dyDescent="0.25">
      <c r="A52" t="s">
        <v>58</v>
      </c>
      <c r="B52" t="s">
        <v>18</v>
      </c>
      <c r="C52" t="s">
        <v>71</v>
      </c>
      <c r="D52" s="85">
        <v>2</v>
      </c>
      <c r="E52" s="121">
        <f>Clusters[[#This Row],[Effort]]*1.2</f>
        <v>2.4</v>
      </c>
    </row>
    <row r="53" spans="1:5" x14ac:dyDescent="0.25">
      <c r="A53" t="s">
        <v>58</v>
      </c>
      <c r="B53" t="s">
        <v>19</v>
      </c>
      <c r="C53" t="s">
        <v>71</v>
      </c>
      <c r="D53" s="85">
        <v>4</v>
      </c>
      <c r="E53" s="121">
        <f>Clusters[[#This Row],[Effort]]*1.2</f>
        <v>4.8</v>
      </c>
    </row>
    <row r="54" spans="1:5" x14ac:dyDescent="0.25">
      <c r="A54" t="s">
        <v>58</v>
      </c>
      <c r="B54" t="s">
        <v>20</v>
      </c>
      <c r="C54" t="s">
        <v>71</v>
      </c>
      <c r="D54" s="85">
        <v>6</v>
      </c>
      <c r="E54" s="121">
        <f>Clusters[[#This Row],[Effort]]*1.2</f>
        <v>7.1999999999999993</v>
      </c>
    </row>
    <row r="55" spans="1:5" x14ac:dyDescent="0.25">
      <c r="A55" t="s">
        <v>58</v>
      </c>
      <c r="B55" t="s">
        <v>21</v>
      </c>
      <c r="C55" t="s">
        <v>71</v>
      </c>
      <c r="D55" s="85">
        <v>10</v>
      </c>
      <c r="E55" s="121">
        <f>Clusters[[#This Row],[Effort]]*1.2</f>
        <v>12</v>
      </c>
    </row>
    <row r="56" spans="1:5" x14ac:dyDescent="0.25">
      <c r="A56" t="s">
        <v>58</v>
      </c>
      <c r="B56" t="s">
        <v>22</v>
      </c>
      <c r="C56" t="s">
        <v>71</v>
      </c>
      <c r="D56" s="85">
        <v>16</v>
      </c>
      <c r="E56" s="121">
        <f>Clusters[[#This Row],[Effort]]*1.2</f>
        <v>19.2</v>
      </c>
    </row>
    <row r="57" spans="1:5" x14ac:dyDescent="0.25">
      <c r="A57" s="23" t="s">
        <v>177</v>
      </c>
      <c r="B57" t="s">
        <v>18</v>
      </c>
      <c r="C57" t="s">
        <v>71</v>
      </c>
      <c r="D57" s="85">
        <v>1.0638297872340425</v>
      </c>
      <c r="E57" s="121">
        <f>Clusters[[#This Row],[Effort]]*1.2</f>
        <v>1.2765957446808509</v>
      </c>
    </row>
    <row r="58" spans="1:5" x14ac:dyDescent="0.25">
      <c r="A58" s="23" t="s">
        <v>177</v>
      </c>
      <c r="B58" t="s">
        <v>19</v>
      </c>
      <c r="C58" t="s">
        <v>71</v>
      </c>
      <c r="D58" s="85">
        <v>2.1276595744680851</v>
      </c>
      <c r="E58" s="121">
        <f>Clusters[[#This Row],[Effort]]*1.2</f>
        <v>2.5531914893617018</v>
      </c>
    </row>
    <row r="59" spans="1:5" x14ac:dyDescent="0.25">
      <c r="A59" s="23" t="s">
        <v>177</v>
      </c>
      <c r="B59" t="s">
        <v>20</v>
      </c>
      <c r="C59" t="s">
        <v>71</v>
      </c>
      <c r="D59" s="85">
        <v>4.2553191489361701</v>
      </c>
      <c r="E59" s="121">
        <f>Clusters[[#This Row],[Effort]]*1.2</f>
        <v>5.1063829787234036</v>
      </c>
    </row>
    <row r="60" spans="1:5" x14ac:dyDescent="0.25">
      <c r="A60" s="23" t="s">
        <v>177</v>
      </c>
      <c r="B60" t="s">
        <v>21</v>
      </c>
      <c r="C60" t="s">
        <v>71</v>
      </c>
      <c r="D60" s="85">
        <v>8.5106382978723403</v>
      </c>
      <c r="E60" s="121">
        <f>Clusters[[#This Row],[Effort]]*1.2</f>
        <v>10.212765957446807</v>
      </c>
    </row>
    <row r="61" spans="1:5" x14ac:dyDescent="0.25">
      <c r="A61" s="23" t="s">
        <v>177</v>
      </c>
      <c r="B61" t="s">
        <v>22</v>
      </c>
      <c r="C61" t="s">
        <v>71</v>
      </c>
      <c r="D61" s="85">
        <v>16</v>
      </c>
      <c r="E61" s="121">
        <f>Clusters[[#This Row],[Effort]]*1.2</f>
        <v>19.2</v>
      </c>
    </row>
    <row r="62" spans="1:5" x14ac:dyDescent="0.25">
      <c r="A62" s="23" t="s">
        <v>66</v>
      </c>
      <c r="B62" t="s">
        <v>18</v>
      </c>
      <c r="C62" t="s">
        <v>152</v>
      </c>
      <c r="D62" s="85">
        <v>1</v>
      </c>
      <c r="E62" s="121">
        <f>Clusters[[#This Row],[Effort]]*1.2</f>
        <v>1.2</v>
      </c>
    </row>
    <row r="63" spans="1:5" x14ac:dyDescent="0.25">
      <c r="A63" s="23" t="s">
        <v>66</v>
      </c>
      <c r="B63" t="s">
        <v>19</v>
      </c>
      <c r="C63" t="s">
        <v>152</v>
      </c>
      <c r="D63" s="85">
        <v>2</v>
      </c>
      <c r="E63" s="121">
        <f>Clusters[[#This Row],[Effort]]*1.2</f>
        <v>2.4</v>
      </c>
    </row>
    <row r="64" spans="1:5" x14ac:dyDescent="0.25">
      <c r="A64" s="23" t="s">
        <v>66</v>
      </c>
      <c r="B64" t="s">
        <v>20</v>
      </c>
      <c r="C64" t="s">
        <v>152</v>
      </c>
      <c r="D64" s="85">
        <v>3</v>
      </c>
      <c r="E64" s="121">
        <f>Clusters[[#This Row],[Effort]]*1.2</f>
        <v>3.5999999999999996</v>
      </c>
    </row>
    <row r="65" spans="1:5" x14ac:dyDescent="0.25">
      <c r="A65" s="23" t="s">
        <v>66</v>
      </c>
      <c r="B65" t="s">
        <v>21</v>
      </c>
      <c r="C65" t="s">
        <v>152</v>
      </c>
      <c r="D65" s="85">
        <v>5</v>
      </c>
      <c r="E65" s="121">
        <f>Clusters[[#This Row],[Effort]]*1.2</f>
        <v>6</v>
      </c>
    </row>
    <row r="66" spans="1:5" x14ac:dyDescent="0.25">
      <c r="A66" s="23" t="s">
        <v>66</v>
      </c>
      <c r="B66" t="s">
        <v>22</v>
      </c>
      <c r="C66" t="s">
        <v>152</v>
      </c>
      <c r="D66" s="85">
        <v>8</v>
      </c>
      <c r="E66" s="121">
        <f>Clusters[[#This Row],[Effort]]*1.2</f>
        <v>9.6</v>
      </c>
    </row>
    <row r="67" spans="1:5" x14ac:dyDescent="0.25">
      <c r="A67" s="23" t="s">
        <v>67</v>
      </c>
      <c r="B67" t="s">
        <v>18</v>
      </c>
      <c r="C67" t="s">
        <v>71</v>
      </c>
      <c r="D67" s="85">
        <v>2.1276595744680851</v>
      </c>
      <c r="E67" s="121">
        <f>Clusters[[#This Row],[Effort]]*1.2</f>
        <v>2.5531914893617018</v>
      </c>
    </row>
    <row r="68" spans="1:5" x14ac:dyDescent="0.25">
      <c r="A68" s="23" t="s">
        <v>67</v>
      </c>
      <c r="B68" t="s">
        <v>19</v>
      </c>
      <c r="C68" t="s">
        <v>71</v>
      </c>
      <c r="D68" s="85">
        <v>4.2553191489361701</v>
      </c>
      <c r="E68" s="121">
        <f>Clusters[[#This Row],[Effort]]*1.2</f>
        <v>5.1063829787234036</v>
      </c>
    </row>
    <row r="69" spans="1:5" x14ac:dyDescent="0.25">
      <c r="A69" s="23" t="s">
        <v>67</v>
      </c>
      <c r="B69" t="s">
        <v>20</v>
      </c>
      <c r="C69" t="s">
        <v>71</v>
      </c>
      <c r="D69" s="85">
        <v>8.5106382978723403</v>
      </c>
      <c r="E69" s="121">
        <f>Clusters[[#This Row],[Effort]]*1.2</f>
        <v>10.212765957446807</v>
      </c>
    </row>
    <row r="70" spans="1:5" x14ac:dyDescent="0.25">
      <c r="A70" s="23" t="s">
        <v>67</v>
      </c>
      <c r="B70" t="s">
        <v>21</v>
      </c>
      <c r="C70" t="s">
        <v>71</v>
      </c>
      <c r="D70" s="85">
        <v>17.021276595744681</v>
      </c>
      <c r="E70" s="121">
        <f>Clusters[[#This Row],[Effort]]*1.2</f>
        <v>20.425531914893615</v>
      </c>
    </row>
    <row r="71" spans="1:5" x14ac:dyDescent="0.25">
      <c r="A71" s="23" t="s">
        <v>67</v>
      </c>
      <c r="B71" t="s">
        <v>22</v>
      </c>
      <c r="C71" t="s">
        <v>71</v>
      </c>
      <c r="D71" s="85">
        <v>35</v>
      </c>
      <c r="E71" s="121">
        <f>Clusters[[#This Row],[Effort]]*1.2</f>
        <v>42</v>
      </c>
    </row>
    <row r="72" spans="1:5" x14ac:dyDescent="0.25">
      <c r="A72" s="23" t="s">
        <v>108</v>
      </c>
      <c r="B72" t="s">
        <v>18</v>
      </c>
      <c r="C72" t="s">
        <v>71</v>
      </c>
      <c r="D72" s="85">
        <v>1.0638297872340425</v>
      </c>
      <c r="E72" s="121">
        <f>Clusters[[#This Row],[Effort]]*1.2</f>
        <v>1.2765957446808509</v>
      </c>
    </row>
    <row r="73" spans="1:5" x14ac:dyDescent="0.25">
      <c r="A73" s="23" t="s">
        <v>108</v>
      </c>
      <c r="B73" t="s">
        <v>19</v>
      </c>
      <c r="C73" t="s">
        <v>71</v>
      </c>
      <c r="D73" s="85">
        <v>2.1276595744680851</v>
      </c>
      <c r="E73" s="121">
        <f>Clusters[[#This Row],[Effort]]*1.2</f>
        <v>2.5531914893617018</v>
      </c>
    </row>
    <row r="74" spans="1:5" x14ac:dyDescent="0.25">
      <c r="A74" s="23" t="s">
        <v>108</v>
      </c>
      <c r="B74" t="s">
        <v>20</v>
      </c>
      <c r="C74" t="s">
        <v>71</v>
      </c>
      <c r="D74" s="85">
        <v>4.2553191489361701</v>
      </c>
      <c r="E74" s="121">
        <f>Clusters[[#This Row],[Effort]]*1.2</f>
        <v>5.1063829787234036</v>
      </c>
    </row>
    <row r="75" spans="1:5" x14ac:dyDescent="0.25">
      <c r="A75" s="23" t="s">
        <v>108</v>
      </c>
      <c r="B75" t="s">
        <v>21</v>
      </c>
      <c r="C75" t="s">
        <v>71</v>
      </c>
      <c r="D75" s="85">
        <v>8.5106382978723403</v>
      </c>
      <c r="E75" s="121">
        <f>Clusters[[#This Row],[Effort]]*1.2</f>
        <v>10.212765957446807</v>
      </c>
    </row>
    <row r="76" spans="1:5" x14ac:dyDescent="0.25">
      <c r="A76" s="23" t="s">
        <v>108</v>
      </c>
      <c r="B76" t="s">
        <v>22</v>
      </c>
      <c r="C76" t="s">
        <v>71</v>
      </c>
      <c r="D76" s="85">
        <v>16</v>
      </c>
      <c r="E76" s="121">
        <f>Clusters[[#This Row],[Effort]]*1.2</f>
        <v>19.2</v>
      </c>
    </row>
    <row r="77" spans="1:5" x14ac:dyDescent="0.25">
      <c r="A77" s="23" t="s">
        <v>68</v>
      </c>
      <c r="B77" t="s">
        <v>18</v>
      </c>
      <c r="C77" t="s">
        <v>71</v>
      </c>
      <c r="D77" s="85">
        <v>4</v>
      </c>
      <c r="E77" s="121">
        <f>Clusters[[#This Row],[Effort]]*1.2</f>
        <v>4.8</v>
      </c>
    </row>
    <row r="78" spans="1:5" x14ac:dyDescent="0.25">
      <c r="A78" s="23" t="s">
        <v>68</v>
      </c>
      <c r="B78" t="s">
        <v>19</v>
      </c>
      <c r="C78" t="s">
        <v>71</v>
      </c>
      <c r="D78" s="85">
        <v>16</v>
      </c>
      <c r="E78" s="121">
        <f>Clusters[[#This Row],[Effort]]*1.2</f>
        <v>19.2</v>
      </c>
    </row>
    <row r="79" spans="1:5" x14ac:dyDescent="0.25">
      <c r="A79" s="23" t="s">
        <v>68</v>
      </c>
      <c r="B79" t="s">
        <v>20</v>
      </c>
      <c r="C79" t="s">
        <v>71</v>
      </c>
      <c r="D79" s="85">
        <v>24</v>
      </c>
      <c r="E79" s="121">
        <f>Clusters[[#This Row],[Effort]]*1.2</f>
        <v>28.799999999999997</v>
      </c>
    </row>
    <row r="80" spans="1:5" x14ac:dyDescent="0.25">
      <c r="A80" s="23" t="s">
        <v>68</v>
      </c>
      <c r="B80" t="s">
        <v>21</v>
      </c>
      <c r="C80" t="s">
        <v>71</v>
      </c>
      <c r="D80" s="85">
        <v>40</v>
      </c>
      <c r="E80" s="121">
        <f>Clusters[[#This Row],[Effort]]*1.2</f>
        <v>48</v>
      </c>
    </row>
    <row r="81" spans="1:5" x14ac:dyDescent="0.25">
      <c r="A81" s="23" t="s">
        <v>68</v>
      </c>
      <c r="B81" t="s">
        <v>22</v>
      </c>
      <c r="C81" t="s">
        <v>71</v>
      </c>
      <c r="D81" s="85">
        <v>48</v>
      </c>
      <c r="E81" s="121">
        <f>Clusters[[#This Row],[Effort]]*1.2</f>
        <v>57.599999999999994</v>
      </c>
    </row>
    <row r="82" spans="1:5" x14ac:dyDescent="0.25">
      <c r="A82" t="s">
        <v>69</v>
      </c>
      <c r="B82" t="s">
        <v>18</v>
      </c>
      <c r="C82" t="s">
        <v>71</v>
      </c>
      <c r="D82" s="85">
        <v>1.0638297872340425</v>
      </c>
      <c r="E82" s="121">
        <f>Clusters[[#This Row],[Effort]]*1.2</f>
        <v>1.2765957446808509</v>
      </c>
    </row>
    <row r="83" spans="1:5" x14ac:dyDescent="0.25">
      <c r="A83" s="23" t="s">
        <v>69</v>
      </c>
      <c r="B83" t="s">
        <v>19</v>
      </c>
      <c r="C83" t="s">
        <v>71</v>
      </c>
      <c r="D83" s="85">
        <v>2.1276595744680851</v>
      </c>
      <c r="E83" s="121">
        <f>Clusters[[#This Row],[Effort]]*1.2</f>
        <v>2.5531914893617018</v>
      </c>
    </row>
    <row r="84" spans="1:5" x14ac:dyDescent="0.25">
      <c r="A84" s="23" t="s">
        <v>69</v>
      </c>
      <c r="B84" t="s">
        <v>20</v>
      </c>
      <c r="C84" t="s">
        <v>71</v>
      </c>
      <c r="D84" s="85">
        <v>4.2553191489361701</v>
      </c>
      <c r="E84" s="121">
        <f>Clusters[[#This Row],[Effort]]*1.2</f>
        <v>5.1063829787234036</v>
      </c>
    </row>
    <row r="85" spans="1:5" x14ac:dyDescent="0.25">
      <c r="A85" s="23" t="s">
        <v>69</v>
      </c>
      <c r="B85" t="s">
        <v>21</v>
      </c>
      <c r="C85" t="s">
        <v>71</v>
      </c>
      <c r="D85" s="85">
        <v>8.5106382978723403</v>
      </c>
      <c r="E85" s="121">
        <f>Clusters[[#This Row],[Effort]]*1.2</f>
        <v>10.212765957446807</v>
      </c>
    </row>
    <row r="86" spans="1:5" x14ac:dyDescent="0.25">
      <c r="A86" s="23" t="s">
        <v>69</v>
      </c>
      <c r="B86" t="s">
        <v>22</v>
      </c>
      <c r="C86" t="s">
        <v>71</v>
      </c>
      <c r="D86" s="85">
        <v>16</v>
      </c>
      <c r="E86" s="121">
        <f>Clusters[[#This Row],[Effort]]*1.2</f>
        <v>19.2</v>
      </c>
    </row>
    <row r="87" spans="1:5" x14ac:dyDescent="0.25">
      <c r="A87" s="23" t="s">
        <v>70</v>
      </c>
      <c r="B87" t="s">
        <v>18</v>
      </c>
      <c r="C87" t="s">
        <v>153</v>
      </c>
      <c r="D87" s="85">
        <v>1</v>
      </c>
      <c r="E87" s="121">
        <f>Clusters[[#This Row],[Effort]]*1.2</f>
        <v>1.2</v>
      </c>
    </row>
    <row r="88" spans="1:5" x14ac:dyDescent="0.25">
      <c r="A88" s="23" t="s">
        <v>70</v>
      </c>
      <c r="B88" t="s">
        <v>19</v>
      </c>
      <c r="C88" t="s">
        <v>153</v>
      </c>
      <c r="D88" s="85">
        <v>2</v>
      </c>
      <c r="E88" s="121">
        <f>Clusters[[#This Row],[Effort]]*1.2</f>
        <v>2.4</v>
      </c>
    </row>
    <row r="89" spans="1:5" x14ac:dyDescent="0.25">
      <c r="A89" s="23" t="s">
        <v>70</v>
      </c>
      <c r="B89" t="s">
        <v>20</v>
      </c>
      <c r="C89" t="s">
        <v>153</v>
      </c>
      <c r="D89" s="85">
        <v>3</v>
      </c>
      <c r="E89" s="121">
        <f>Clusters[[#This Row],[Effort]]*1.2</f>
        <v>3.5999999999999996</v>
      </c>
    </row>
    <row r="90" spans="1:5" x14ac:dyDescent="0.25">
      <c r="A90" s="23" t="s">
        <v>70</v>
      </c>
      <c r="B90" t="s">
        <v>21</v>
      </c>
      <c r="C90" t="s">
        <v>153</v>
      </c>
      <c r="D90" s="85">
        <v>5</v>
      </c>
      <c r="E90" s="121">
        <f>Clusters[[#This Row],[Effort]]*1.2</f>
        <v>6</v>
      </c>
    </row>
    <row r="91" spans="1:5" x14ac:dyDescent="0.25">
      <c r="A91" s="23" t="s">
        <v>70</v>
      </c>
      <c r="B91" t="s">
        <v>22</v>
      </c>
      <c r="C91" t="s">
        <v>153</v>
      </c>
      <c r="D91" s="85">
        <v>8</v>
      </c>
      <c r="E91" s="121">
        <f>Clusters[[#This Row],[Effort]]*1.2</f>
        <v>9.6</v>
      </c>
    </row>
    <row r="92" spans="1:5" x14ac:dyDescent="0.25">
      <c r="A92" s="23" t="s">
        <v>182</v>
      </c>
      <c r="B92" t="s">
        <v>18</v>
      </c>
      <c r="C92" t="s">
        <v>152</v>
      </c>
      <c r="D92" s="85">
        <v>1</v>
      </c>
      <c r="E92" s="121">
        <f>Clusters[[#This Row],[Effort]]*1.2</f>
        <v>1.2</v>
      </c>
    </row>
    <row r="93" spans="1:5" x14ac:dyDescent="0.25">
      <c r="A93" s="23" t="s">
        <v>182</v>
      </c>
      <c r="B93" t="s">
        <v>19</v>
      </c>
      <c r="C93" t="s">
        <v>152</v>
      </c>
      <c r="D93" s="85">
        <v>2</v>
      </c>
      <c r="E93" s="121">
        <f>Clusters[[#This Row],[Effort]]*1.2</f>
        <v>2.4</v>
      </c>
    </row>
    <row r="94" spans="1:5" x14ac:dyDescent="0.25">
      <c r="A94" s="23" t="s">
        <v>182</v>
      </c>
      <c r="B94" t="s">
        <v>20</v>
      </c>
      <c r="C94" t="s">
        <v>152</v>
      </c>
      <c r="D94" s="85">
        <v>3</v>
      </c>
      <c r="E94" s="121">
        <f>Clusters[[#This Row],[Effort]]*1.2</f>
        <v>3.5999999999999996</v>
      </c>
    </row>
    <row r="95" spans="1:5" x14ac:dyDescent="0.25">
      <c r="A95" s="23" t="s">
        <v>182</v>
      </c>
      <c r="B95" t="s">
        <v>21</v>
      </c>
      <c r="C95" t="s">
        <v>152</v>
      </c>
      <c r="D95" s="85">
        <v>5</v>
      </c>
      <c r="E95" s="121">
        <f>Clusters[[#This Row],[Effort]]*1.2</f>
        <v>6</v>
      </c>
    </row>
    <row r="96" spans="1:5" x14ac:dyDescent="0.25">
      <c r="A96" s="23" t="s">
        <v>182</v>
      </c>
      <c r="B96" t="s">
        <v>22</v>
      </c>
      <c r="C96" t="s">
        <v>152</v>
      </c>
      <c r="D96" s="85">
        <v>8</v>
      </c>
      <c r="E96" s="121">
        <f>Clusters[[#This Row],[Effort]]*1.2</f>
        <v>9.6</v>
      </c>
    </row>
    <row r="97" spans="1:5" x14ac:dyDescent="0.25">
      <c r="A97" t="s">
        <v>176</v>
      </c>
      <c r="B97" t="s">
        <v>18</v>
      </c>
      <c r="C97" t="s">
        <v>71</v>
      </c>
      <c r="D97" s="85">
        <v>2.1276595744680851</v>
      </c>
      <c r="E97" s="121">
        <f>Clusters[[#This Row],[Effort]]*1.2</f>
        <v>2.5531914893617018</v>
      </c>
    </row>
    <row r="98" spans="1:5" x14ac:dyDescent="0.25">
      <c r="A98" t="s">
        <v>176</v>
      </c>
      <c r="B98" t="s">
        <v>19</v>
      </c>
      <c r="C98" t="s">
        <v>71</v>
      </c>
      <c r="D98" s="85">
        <v>4.2553191489361701</v>
      </c>
      <c r="E98" s="121">
        <f>Clusters[[#This Row],[Effort]]*1.2</f>
        <v>5.1063829787234036</v>
      </c>
    </row>
    <row r="99" spans="1:5" x14ac:dyDescent="0.25">
      <c r="A99" t="s">
        <v>176</v>
      </c>
      <c r="B99" t="s">
        <v>20</v>
      </c>
      <c r="C99" t="s">
        <v>71</v>
      </c>
      <c r="D99" s="85">
        <v>8.5106382978723403</v>
      </c>
      <c r="E99" s="121">
        <f>Clusters[[#This Row],[Effort]]*1.2</f>
        <v>10.212765957446807</v>
      </c>
    </row>
    <row r="100" spans="1:5" x14ac:dyDescent="0.25">
      <c r="A100" t="s">
        <v>176</v>
      </c>
      <c r="B100" t="s">
        <v>21</v>
      </c>
      <c r="C100" t="s">
        <v>71</v>
      </c>
      <c r="D100" s="85">
        <v>17.021276595744681</v>
      </c>
      <c r="E100" s="121">
        <f>Clusters[[#This Row],[Effort]]*1.2</f>
        <v>20.425531914893615</v>
      </c>
    </row>
    <row r="101" spans="1:5" x14ac:dyDescent="0.25">
      <c r="A101" t="s">
        <v>176</v>
      </c>
      <c r="B101" t="s">
        <v>22</v>
      </c>
      <c r="C101" t="s">
        <v>71</v>
      </c>
      <c r="D101" s="85">
        <v>35</v>
      </c>
      <c r="E101" s="121">
        <f>Clusters[[#This Row],[Effort]]*1.2</f>
        <v>42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BF3665"/>
  <sheetViews>
    <sheetView workbookViewId="0"/>
  </sheetViews>
  <sheetFormatPr defaultColWidth="8.7109375" defaultRowHeight="15" x14ac:dyDescent="0.25"/>
  <cols>
    <col min="1" max="1" width="35.28515625" bestFit="1" customWidth="1"/>
    <col min="2" max="2" width="15.7109375" bestFit="1" customWidth="1"/>
    <col min="3" max="3" width="17" bestFit="1" customWidth="1"/>
    <col min="4" max="4" width="15.7109375" bestFit="1" customWidth="1"/>
    <col min="5" max="5" width="47.5703125" bestFit="1" customWidth="1"/>
    <col min="6" max="6" width="54.28515625" bestFit="1" customWidth="1"/>
    <col min="7" max="7" width="17.42578125" bestFit="1" customWidth="1"/>
    <col min="8" max="8" width="24.7109375" bestFit="1" customWidth="1"/>
    <col min="9" max="9" width="17.42578125" bestFit="1" customWidth="1"/>
    <col min="10" max="10" width="81.140625" customWidth="1"/>
    <col min="11" max="12" width="81.140625" hidden="1" customWidth="1"/>
    <col min="13" max="13" width="28.7109375" bestFit="1" customWidth="1"/>
    <col min="14" max="14" width="24.7109375" customWidth="1"/>
    <col min="15" max="15" width="17.42578125" bestFit="1" customWidth="1"/>
    <col min="16" max="16" width="81.140625" customWidth="1"/>
    <col min="17" max="18" width="81.140625" hidden="1" customWidth="1"/>
    <col min="19" max="19" width="14.28515625" hidden="1" customWidth="1"/>
    <col min="20" max="20" width="10.5703125" hidden="1" customWidth="1"/>
    <col min="21" max="21" width="14.140625" hidden="1" customWidth="1"/>
    <col min="22" max="22" width="16.140625" hidden="1" customWidth="1"/>
    <col min="23" max="23" width="14.42578125" customWidth="1"/>
    <col min="24" max="24" width="10.42578125" customWidth="1"/>
    <col min="25" max="25" width="17.140625" style="25" customWidth="1"/>
    <col min="26" max="26" width="19" customWidth="1"/>
    <col min="27" max="27" width="17.7109375" customWidth="1"/>
    <col min="28" max="28" width="12.42578125" customWidth="1"/>
    <col min="29" max="29" width="19.28515625" customWidth="1"/>
    <col min="30" max="30" width="16.140625" customWidth="1"/>
    <col min="31" max="31" width="15.85546875" customWidth="1"/>
    <col min="32" max="32" width="17.7109375" bestFit="1" customWidth="1"/>
    <col min="33" max="33" width="17.42578125" bestFit="1" customWidth="1"/>
    <col min="34" max="34" width="15.5703125" bestFit="1" customWidth="1"/>
    <col min="35" max="35" width="15.7109375" bestFit="1" customWidth="1"/>
    <col min="36" max="36" width="13" bestFit="1" customWidth="1"/>
    <col min="37" max="37" width="12.7109375" bestFit="1" customWidth="1"/>
    <col min="38" max="38" width="15.7109375" bestFit="1" customWidth="1"/>
    <col min="39" max="39" width="16.140625" bestFit="1" customWidth="1"/>
    <col min="40" max="40" width="13.28515625" bestFit="1" customWidth="1"/>
    <col min="41" max="41" width="17" bestFit="1" customWidth="1"/>
    <col min="42" max="42" width="16.42578125" bestFit="1" customWidth="1"/>
    <col min="43" max="43" width="36.140625" bestFit="1" customWidth="1"/>
    <col min="44" max="44" width="24" bestFit="1" customWidth="1"/>
    <col min="45" max="45" width="20.28515625" bestFit="1" customWidth="1"/>
    <col min="46" max="46" width="23.28515625" bestFit="1" customWidth="1"/>
    <col min="47" max="47" width="81.140625" customWidth="1"/>
    <col min="48" max="48" width="21.7109375" bestFit="1" customWidth="1"/>
    <col min="49" max="49" width="16.85546875" bestFit="1" customWidth="1"/>
    <col min="50" max="51" width="16.85546875" customWidth="1"/>
    <col min="52" max="52" width="22.140625" bestFit="1" customWidth="1"/>
    <col min="53" max="53" width="80.7109375" bestFit="1" customWidth="1"/>
    <col min="54" max="54" width="13.42578125" bestFit="1" customWidth="1"/>
    <col min="55" max="55" width="20.7109375" bestFit="1" customWidth="1"/>
    <col min="56" max="56" width="16.140625" bestFit="1" customWidth="1"/>
    <col min="57" max="57" width="22.140625" bestFit="1" customWidth="1"/>
    <col min="58" max="58" width="17.42578125" bestFit="1" customWidth="1"/>
    <col min="59" max="59" width="22.7109375" bestFit="1" customWidth="1"/>
    <col min="60" max="60" width="19.140625" bestFit="1" customWidth="1"/>
    <col min="61" max="61" width="22.140625" bestFit="1" customWidth="1"/>
    <col min="62" max="62" width="80.7109375" bestFit="1" customWidth="1"/>
    <col min="63" max="63" width="13.42578125" bestFit="1" customWidth="1"/>
    <col min="64" max="64" width="20.7109375" bestFit="1" customWidth="1"/>
    <col min="65" max="65" width="16.140625" bestFit="1" customWidth="1"/>
    <col min="66" max="66" width="22.140625" bestFit="1" customWidth="1"/>
    <col min="67" max="68" width="17.42578125" bestFit="1" customWidth="1"/>
    <col min="69" max="69" width="11.42578125" bestFit="1" customWidth="1"/>
    <col min="70" max="71" width="80.7109375" bestFit="1" customWidth="1"/>
    <col min="72" max="72" width="11.42578125" customWidth="1"/>
    <col min="73" max="73" width="15.28515625" customWidth="1"/>
    <col min="74" max="74" width="19.7109375" bestFit="1" customWidth="1"/>
    <col min="75" max="75" width="16.7109375" bestFit="1" customWidth="1"/>
    <col min="76" max="76" width="13.28515625" bestFit="1" customWidth="1"/>
    <col min="77" max="77" width="15" customWidth="1"/>
    <col min="78" max="78" width="16.28515625" customWidth="1"/>
    <col min="79" max="79" width="15.140625" customWidth="1"/>
    <col min="80" max="80" width="45.42578125" customWidth="1"/>
    <col min="81" max="81" width="52.28515625" customWidth="1"/>
    <col min="82" max="82" width="20.28515625" customWidth="1"/>
    <col min="83" max="83" width="21.7109375" customWidth="1"/>
    <col min="84" max="84" width="15.28515625" bestFit="1" customWidth="1"/>
    <col min="85" max="85" width="11.42578125" bestFit="1" customWidth="1"/>
    <col min="86" max="87" width="80.7109375" bestFit="1" customWidth="1"/>
    <col min="88" max="89" width="57.28515625" bestFit="1" customWidth="1"/>
    <col min="90" max="90" width="80.7109375" bestFit="1" customWidth="1"/>
    <col min="91" max="91" width="24.140625" bestFit="1" customWidth="1"/>
    <col min="92" max="92" width="80.7109375" bestFit="1" customWidth="1"/>
    <col min="93" max="93" width="22.7109375" bestFit="1" customWidth="1"/>
    <col min="94" max="94" width="10.7109375" bestFit="1" customWidth="1"/>
    <col min="95" max="95" width="15.7109375" bestFit="1" customWidth="1"/>
    <col min="96" max="96" width="10.140625" bestFit="1" customWidth="1"/>
    <col min="97" max="97" width="22.7109375" bestFit="1" customWidth="1"/>
    <col min="98" max="98" width="14.7109375" bestFit="1" customWidth="1"/>
  </cols>
  <sheetData>
    <row r="1" spans="1:45" x14ac:dyDescent="0.25">
      <c r="A1" s="6" t="s">
        <v>0</v>
      </c>
      <c r="B1" t="s">
        <v>11</v>
      </c>
      <c r="C1" t="s">
        <v>12</v>
      </c>
      <c r="D1" t="s">
        <v>13</v>
      </c>
      <c r="E1" t="s">
        <v>160</v>
      </c>
      <c r="F1" t="s">
        <v>14</v>
      </c>
      <c r="G1" t="s">
        <v>161</v>
      </c>
      <c r="H1" t="s">
        <v>162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171</v>
      </c>
      <c r="P1" t="s">
        <v>172</v>
      </c>
      <c r="Q1" t="s">
        <v>173</v>
      </c>
      <c r="R1" t="s">
        <v>174</v>
      </c>
      <c r="S1" s="6" t="s">
        <v>159</v>
      </c>
      <c r="T1" s="6" t="s">
        <v>163</v>
      </c>
      <c r="U1" s="6" t="s">
        <v>170</v>
      </c>
      <c r="V1" s="6" t="s">
        <v>61</v>
      </c>
      <c r="W1" s="6" t="s">
        <v>62</v>
      </c>
      <c r="X1" s="6" t="s">
        <v>63</v>
      </c>
      <c r="Y1" s="6" t="s">
        <v>73</v>
      </c>
      <c r="Z1" s="6" t="s">
        <v>78</v>
      </c>
      <c r="AA1" s="6" t="s">
        <v>175</v>
      </c>
      <c r="AB1" s="6" t="s">
        <v>79</v>
      </c>
      <c r="AC1" s="6" t="s">
        <v>105</v>
      </c>
      <c r="AD1" s="6" t="s">
        <v>114</v>
      </c>
      <c r="AE1" s="6" t="s">
        <v>116</v>
      </c>
      <c r="AF1" s="6" t="s">
        <v>112</v>
      </c>
      <c r="AG1" s="6" t="s">
        <v>113</v>
      </c>
      <c r="AH1" s="6" t="s">
        <v>118</v>
      </c>
      <c r="AI1" s="6" t="s">
        <v>119</v>
      </c>
      <c r="AJ1" t="s">
        <v>72</v>
      </c>
      <c r="AK1" t="s">
        <v>115</v>
      </c>
      <c r="AL1" t="s">
        <v>133</v>
      </c>
      <c r="AM1" t="s">
        <v>134</v>
      </c>
      <c r="AN1" t="s">
        <v>28</v>
      </c>
      <c r="AO1" t="s">
        <v>27</v>
      </c>
      <c r="AP1" t="s">
        <v>29</v>
      </c>
      <c r="AQ1" t="s">
        <v>26</v>
      </c>
      <c r="AR1" t="s">
        <v>36</v>
      </c>
      <c r="AS1" t="s">
        <v>37</v>
      </c>
    </row>
    <row r="2" spans="1:45" x14ac:dyDescent="0.25">
      <c r="Y2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</row>
    <row r="3" spans="1:45" x14ac:dyDescent="0.25">
      <c r="Y3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</row>
    <row r="4" spans="1:45" x14ac:dyDescent="0.25">
      <c r="Y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45" x14ac:dyDescent="0.25">
      <c r="Y5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</row>
    <row r="6" spans="1:45" x14ac:dyDescent="0.25">
      <c r="Y6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</row>
    <row r="7" spans="1:45" x14ac:dyDescent="0.25">
      <c r="Y7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</row>
    <row r="8" spans="1:45" x14ac:dyDescent="0.25">
      <c r="Y8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</row>
    <row r="9" spans="1:45" x14ac:dyDescent="0.25">
      <c r="Y9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</row>
    <row r="10" spans="1:45" x14ac:dyDescent="0.25">
      <c r="Y10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</row>
    <row r="11" spans="1:45" x14ac:dyDescent="0.25">
      <c r="Y11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</row>
    <row r="12" spans="1:45" x14ac:dyDescent="0.25">
      <c r="Y12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</row>
    <row r="13" spans="1:45" x14ac:dyDescent="0.25">
      <c r="Y13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</row>
    <row r="14" spans="1:45" x14ac:dyDescent="0.25">
      <c r="Y1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</row>
    <row r="15" spans="1:45" x14ac:dyDescent="0.25">
      <c r="Y15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</row>
    <row r="16" spans="1:45" x14ac:dyDescent="0.25">
      <c r="Y16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</row>
    <row r="17" spans="25:45" x14ac:dyDescent="0.25">
      <c r="Y17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</row>
    <row r="18" spans="25:45" x14ac:dyDescent="0.25">
      <c r="Y18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</row>
    <row r="19" spans="25:45" x14ac:dyDescent="0.25">
      <c r="Y19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</row>
    <row r="20" spans="25:45" x14ac:dyDescent="0.25">
      <c r="Y20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</row>
    <row r="21" spans="25:45" x14ac:dyDescent="0.25">
      <c r="Y21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</row>
    <row r="22" spans="25:45" x14ac:dyDescent="0.25">
      <c r="Y22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</row>
    <row r="23" spans="25:45" x14ac:dyDescent="0.25">
      <c r="Y23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</row>
    <row r="24" spans="25:45" x14ac:dyDescent="0.25">
      <c r="Y2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</row>
    <row r="25" spans="25:45" x14ac:dyDescent="0.25">
      <c r="Y25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25:45" x14ac:dyDescent="0.25">
      <c r="Y26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25:45" x14ac:dyDescent="0.25">
      <c r="Y27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</row>
    <row r="28" spans="25:45" x14ac:dyDescent="0.25">
      <c r="Y28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</row>
    <row r="29" spans="25:45" x14ac:dyDescent="0.25">
      <c r="Y29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</row>
    <row r="30" spans="25:45" x14ac:dyDescent="0.25">
      <c r="Y30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</row>
    <row r="31" spans="25:45" x14ac:dyDescent="0.25">
      <c r="Y31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</row>
    <row r="32" spans="25:45" x14ac:dyDescent="0.25">
      <c r="Y32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</row>
    <row r="33" spans="25:45" x14ac:dyDescent="0.25">
      <c r="Y33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</row>
    <row r="34" spans="25:45" x14ac:dyDescent="0.25">
      <c r="Y3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</row>
    <row r="35" spans="25:45" x14ac:dyDescent="0.25">
      <c r="Y35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</row>
    <row r="36" spans="25:45" x14ac:dyDescent="0.25">
      <c r="Y36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</row>
    <row r="37" spans="25:45" x14ac:dyDescent="0.25">
      <c r="Y37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</row>
    <row r="38" spans="25:45" x14ac:dyDescent="0.25">
      <c r="Y38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</row>
    <row r="39" spans="25:45" x14ac:dyDescent="0.25">
      <c r="Y39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</row>
    <row r="40" spans="25:45" x14ac:dyDescent="0.25">
      <c r="Y40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</row>
    <row r="41" spans="25:45" x14ac:dyDescent="0.25">
      <c r="Y41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</row>
    <row r="42" spans="25:45" x14ac:dyDescent="0.25">
      <c r="Y42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</row>
    <row r="43" spans="25:45" x14ac:dyDescent="0.25">
      <c r="Y43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</row>
    <row r="44" spans="25:45" x14ac:dyDescent="0.25">
      <c r="Y4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</row>
    <row r="45" spans="25:45" x14ac:dyDescent="0.25">
      <c r="Y45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</row>
    <row r="46" spans="25:45" x14ac:dyDescent="0.25">
      <c r="Y46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</row>
    <row r="47" spans="25:45" x14ac:dyDescent="0.25">
      <c r="Y47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</row>
    <row r="48" spans="25:45" x14ac:dyDescent="0.25">
      <c r="Y48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</row>
    <row r="49" spans="25:45" x14ac:dyDescent="0.25">
      <c r="Y49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</row>
    <row r="50" spans="25:45" x14ac:dyDescent="0.25">
      <c r="Y50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</row>
    <row r="51" spans="25:45" x14ac:dyDescent="0.25">
      <c r="Y51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</row>
    <row r="52" spans="25:45" x14ac:dyDescent="0.25">
      <c r="Y52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</row>
    <row r="53" spans="25:45" x14ac:dyDescent="0.25">
      <c r="Y53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</row>
    <row r="54" spans="25:45" x14ac:dyDescent="0.25">
      <c r="Y5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</row>
    <row r="55" spans="25:45" x14ac:dyDescent="0.25">
      <c r="Y55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</row>
    <row r="56" spans="25:45" x14ac:dyDescent="0.25">
      <c r="Y56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</row>
    <row r="57" spans="25:45" x14ac:dyDescent="0.25">
      <c r="Y57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</row>
    <row r="58" spans="25:45" x14ac:dyDescent="0.25">
      <c r="Y58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</row>
    <row r="59" spans="25:45" x14ac:dyDescent="0.25">
      <c r="Y59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</row>
    <row r="60" spans="25:45" x14ac:dyDescent="0.25">
      <c r="Y60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</row>
    <row r="61" spans="25:45" x14ac:dyDescent="0.25">
      <c r="Y61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</row>
    <row r="62" spans="25:45" x14ac:dyDescent="0.25">
      <c r="Y62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</row>
    <row r="63" spans="25:45" x14ac:dyDescent="0.25">
      <c r="Y63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</row>
    <row r="64" spans="25:45" x14ac:dyDescent="0.25">
      <c r="Y6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</row>
    <row r="65" spans="25:45" x14ac:dyDescent="0.25">
      <c r="Y65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</row>
    <row r="66" spans="25:45" x14ac:dyDescent="0.25">
      <c r="Y66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</row>
    <row r="67" spans="25:45" x14ac:dyDescent="0.25">
      <c r="Y67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</row>
    <row r="68" spans="25:45" x14ac:dyDescent="0.25">
      <c r="Y68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</row>
    <row r="69" spans="25:45" x14ac:dyDescent="0.25">
      <c r="Y69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</row>
    <row r="70" spans="25:45" x14ac:dyDescent="0.25">
      <c r="Y70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</row>
    <row r="71" spans="25:45" x14ac:dyDescent="0.25">
      <c r="Y71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</row>
    <row r="72" spans="25:45" x14ac:dyDescent="0.25">
      <c r="Y72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</row>
    <row r="73" spans="25:45" x14ac:dyDescent="0.25">
      <c r="Y73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</row>
    <row r="74" spans="25:45" x14ac:dyDescent="0.25">
      <c r="Y7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</row>
    <row r="75" spans="25:45" x14ac:dyDescent="0.25">
      <c r="Y75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</row>
    <row r="76" spans="25:45" x14ac:dyDescent="0.25">
      <c r="Y76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</row>
    <row r="77" spans="25:45" x14ac:dyDescent="0.25">
      <c r="Y77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</row>
    <row r="78" spans="25:45" x14ac:dyDescent="0.25">
      <c r="Y78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</row>
    <row r="79" spans="25:45" x14ac:dyDescent="0.25">
      <c r="Y79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</row>
    <row r="80" spans="25:45" x14ac:dyDescent="0.25">
      <c r="Y80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</row>
    <row r="81" spans="25:45" x14ac:dyDescent="0.25">
      <c r="Y81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</row>
    <row r="82" spans="25:45" x14ac:dyDescent="0.25">
      <c r="Y82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</row>
    <row r="83" spans="25:45" x14ac:dyDescent="0.25">
      <c r="Y83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</row>
    <row r="84" spans="25:45" x14ac:dyDescent="0.25">
      <c r="Y8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</row>
    <row r="85" spans="25:45" x14ac:dyDescent="0.25">
      <c r="Y85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</row>
    <row r="86" spans="25:45" x14ac:dyDescent="0.25">
      <c r="Y86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</row>
    <row r="87" spans="25:45" x14ac:dyDescent="0.25">
      <c r="Y87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</row>
    <row r="88" spans="25:45" x14ac:dyDescent="0.25">
      <c r="Y88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</row>
    <row r="89" spans="25:45" x14ac:dyDescent="0.25">
      <c r="Y89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25:45" x14ac:dyDescent="0.25">
      <c r="Y90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</row>
    <row r="91" spans="25:45" x14ac:dyDescent="0.25">
      <c r="Y91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</row>
    <row r="92" spans="25:45" x14ac:dyDescent="0.25">
      <c r="Y92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</row>
    <row r="93" spans="25:45" x14ac:dyDescent="0.25">
      <c r="Y93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</row>
    <row r="94" spans="25:45" x14ac:dyDescent="0.25">
      <c r="Y9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</row>
    <row r="95" spans="25:45" x14ac:dyDescent="0.25">
      <c r="Y95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</row>
    <row r="96" spans="25:45" x14ac:dyDescent="0.25">
      <c r="Y96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</row>
    <row r="97" spans="25:45" x14ac:dyDescent="0.25">
      <c r="Y97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Z10000"/>
  <sheetViews>
    <sheetView zoomScale="115" zoomScaleNormal="115" zoomScalePageLayoutView="115" workbookViewId="0">
      <selection activeCell="A2" sqref="A2:R10000"/>
    </sheetView>
  </sheetViews>
  <sheetFormatPr defaultColWidth="8.140625" defaultRowHeight="15" x14ac:dyDescent="0.25"/>
  <cols>
    <col min="1" max="1" width="15.140625" style="16" bestFit="1" customWidth="1"/>
    <col min="2" max="2" width="22.42578125" style="16" bestFit="1" customWidth="1"/>
    <col min="3" max="3" width="57.7109375" style="16" bestFit="1" customWidth="1"/>
    <col min="4" max="4" width="69.7109375" style="16" bestFit="1" customWidth="1"/>
    <col min="5" max="5" width="14.85546875" style="84" bestFit="1" customWidth="1"/>
    <col min="6" max="6" width="24.28515625" style="16" bestFit="1" customWidth="1"/>
    <col min="7" max="7" width="9" style="16" bestFit="1" customWidth="1"/>
    <col min="8" max="8" width="8.28515625" style="16" bestFit="1" customWidth="1"/>
    <col min="9" max="9" width="9.7109375" style="91" bestFit="1" customWidth="1"/>
    <col min="10" max="10" width="14.7109375" style="91" bestFit="1" customWidth="1"/>
    <col min="11" max="11" width="31.42578125" style="90" bestFit="1" customWidth="1"/>
    <col min="12" max="12" width="10.85546875" style="16" bestFit="1" customWidth="1"/>
    <col min="13" max="13" width="9.85546875" style="92" bestFit="1" customWidth="1"/>
    <col min="14" max="14" width="9.140625" style="92" bestFit="1" customWidth="1"/>
    <col min="15" max="15" width="18.28515625" style="93" bestFit="1" customWidth="1"/>
    <col min="16" max="16" width="24" style="16" bestFit="1" customWidth="1"/>
    <col min="17" max="17" width="12.28515625" style="16" bestFit="1" customWidth="1"/>
    <col min="18" max="18" width="15.7109375" style="16" bestFit="1" customWidth="1"/>
    <col min="19" max="19" width="3.7109375" style="16" bestFit="1" customWidth="1"/>
    <col min="20" max="16384" width="8.140625" style="16"/>
  </cols>
  <sheetData>
    <row r="1" spans="1:26" s="67" customFormat="1" x14ac:dyDescent="0.25">
      <c r="A1" s="79" t="s">
        <v>90</v>
      </c>
      <c r="B1" s="79" t="s">
        <v>82</v>
      </c>
      <c r="C1" s="79" t="s">
        <v>83</v>
      </c>
      <c r="D1" s="79" t="s">
        <v>89</v>
      </c>
      <c r="E1" s="79" t="s">
        <v>91</v>
      </c>
      <c r="F1" s="79" t="s">
        <v>15</v>
      </c>
      <c r="G1" s="79" t="s">
        <v>48</v>
      </c>
      <c r="H1" s="79" t="s">
        <v>80</v>
      </c>
      <c r="I1" s="79" t="s">
        <v>17</v>
      </c>
      <c r="J1" s="79" t="s">
        <v>140</v>
      </c>
      <c r="K1" s="80" t="s">
        <v>143</v>
      </c>
      <c r="L1" s="79" t="s">
        <v>84</v>
      </c>
      <c r="M1" s="81" t="s">
        <v>86</v>
      </c>
      <c r="N1" s="82" t="s">
        <v>81</v>
      </c>
      <c r="O1" s="89" t="s">
        <v>97</v>
      </c>
      <c r="P1" s="83" t="s">
        <v>147</v>
      </c>
      <c r="Q1" s="67" t="s">
        <v>148</v>
      </c>
      <c r="R1" s="67" t="s">
        <v>149</v>
      </c>
    </row>
    <row r="2" spans="1:26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sortState ref="A2:R10000">
    <sortCondition ref="N1:N1048576"/>
    <sortCondition descending="1" ref="O1:O1048576"/>
    <sortCondition ref="B1:B1048576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A1:V1"/>
  <sheetViews>
    <sheetView workbookViewId="0">
      <selection activeCell="C17" sqref="C17"/>
    </sheetView>
  </sheetViews>
  <sheetFormatPr defaultColWidth="9.42578125" defaultRowHeight="15" x14ac:dyDescent="0.25"/>
  <cols>
    <col min="1" max="1" width="14.85546875" bestFit="1" customWidth="1"/>
    <col min="2" max="2" width="22.28515625" bestFit="1" customWidth="1"/>
    <col min="3" max="3" width="56.85546875" bestFit="1" customWidth="1"/>
    <col min="4" max="4" width="68.28515625" bestFit="1" customWidth="1"/>
    <col min="5" max="5" width="23.7109375" bestFit="1" customWidth="1"/>
    <col min="6" max="6" width="3.28515625" bestFit="1" customWidth="1"/>
    <col min="7" max="7" width="4.28515625" bestFit="1" customWidth="1"/>
    <col min="8" max="8" width="4.7109375" bestFit="1" customWidth="1"/>
    <col min="9" max="9" width="8.7109375" bestFit="1" customWidth="1"/>
    <col min="10" max="10" width="11.7109375" bestFit="1" customWidth="1"/>
    <col min="11" max="11" width="7.28515625" bestFit="1" customWidth="1"/>
    <col min="12" max="12" width="14.7109375" bestFit="1" customWidth="1"/>
    <col min="13" max="13" width="3.7109375" bestFit="1" customWidth="1"/>
    <col min="14" max="14" width="12.28515625" bestFit="1" customWidth="1"/>
    <col min="15" max="15" width="11.7109375" bestFit="1" customWidth="1"/>
    <col min="16" max="16" width="9.42578125" bestFit="1" customWidth="1"/>
    <col min="17" max="17" width="10.7109375" bestFit="1" customWidth="1"/>
    <col min="18" max="18" width="17.140625" bestFit="1" customWidth="1"/>
    <col min="19" max="19" width="10.7109375" bestFit="1" customWidth="1"/>
    <col min="20" max="20" width="8.140625" bestFit="1" customWidth="1"/>
    <col min="21" max="21" width="10.85546875" bestFit="1" customWidth="1"/>
    <col min="22" max="22" width="10.7109375" bestFit="1" customWidth="1"/>
  </cols>
  <sheetData>
    <row r="1" spans="1:22" ht="15.75" thickBot="1" x14ac:dyDescent="0.3">
      <c r="A1" s="26" t="s">
        <v>137</v>
      </c>
      <c r="B1" s="26" t="s">
        <v>41</v>
      </c>
      <c r="C1" s="26" t="s">
        <v>138</v>
      </c>
      <c r="D1" s="26" t="s">
        <v>139</v>
      </c>
      <c r="E1" s="26" t="s">
        <v>94</v>
      </c>
      <c r="F1" s="26" t="s">
        <v>80</v>
      </c>
      <c r="G1" s="26" t="s">
        <v>17</v>
      </c>
      <c r="H1" s="26" t="s">
        <v>107</v>
      </c>
      <c r="I1" s="26" t="s">
        <v>48</v>
      </c>
      <c r="J1" s="26" t="s">
        <v>95</v>
      </c>
      <c r="K1" s="26" t="s">
        <v>56</v>
      </c>
      <c r="L1" s="26" t="s">
        <v>142</v>
      </c>
      <c r="M1" s="26" t="s">
        <v>77</v>
      </c>
      <c r="N1" s="26" t="s">
        <v>141</v>
      </c>
      <c r="O1" s="26" t="s">
        <v>96</v>
      </c>
      <c r="P1" s="26" t="s">
        <v>87</v>
      </c>
      <c r="Q1" s="27" t="s">
        <v>97</v>
      </c>
      <c r="R1" s="27" t="s">
        <v>144</v>
      </c>
      <c r="S1" s="27" t="s">
        <v>98</v>
      </c>
      <c r="T1" s="27" t="s">
        <v>99</v>
      </c>
      <c r="U1" s="27" t="s">
        <v>100</v>
      </c>
      <c r="V1" s="27" t="s">
        <v>146</v>
      </c>
    </row>
  </sheetData>
  <sortState ref="A2:V90">
    <sortCondition ref="A1:A1048576"/>
    <sortCondition ref="U1:U1048576"/>
    <sortCondition ref="B1:B1048576"/>
    <sortCondition ref="C1:C104857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3</vt:i4>
      </vt:variant>
    </vt:vector>
  </HeadingPairs>
  <TitlesOfParts>
    <vt:vector size="12" baseType="lpstr">
      <vt:lpstr>Progress by Demand</vt:lpstr>
      <vt:lpstr>Demands by Status</vt:lpstr>
      <vt:lpstr>Timeline</vt:lpstr>
      <vt:lpstr>Gantt</vt:lpstr>
      <vt:lpstr>Role Mapping &amp; Issue Type</vt:lpstr>
      <vt:lpstr>T-shirt Size</vt:lpstr>
      <vt:lpstr>From Jira</vt:lpstr>
      <vt:lpstr>GanttBase</vt:lpstr>
      <vt:lpstr>Activities</vt:lpstr>
      <vt:lpstr>_</vt:lpstr>
      <vt:lpstr>Cluster_Name</vt:lpstr>
      <vt:lpstr>HipotesisTreshold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Tramontini</dc:creator>
  <cp:lastModifiedBy>Administrador</cp:lastModifiedBy>
  <dcterms:created xsi:type="dcterms:W3CDTF">2016-10-03T16:19:42Z</dcterms:created>
  <dcterms:modified xsi:type="dcterms:W3CDTF">2017-08-10T22:10:28Z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3a0d08ad-521e-48ab-bff8-be96a248b834</vt:lpwstr>
  </property>
</Properties>
</file>